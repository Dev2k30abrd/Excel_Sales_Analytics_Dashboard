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NA RAI\Downloads\"/>
    </mc:Choice>
  </mc:AlternateContent>
  <xr:revisionPtr revIDLastSave="0" documentId="13_ncr:1_{DA5EEA84-E991-4032-B261-4863E5F02025}" xr6:coauthVersionLast="47" xr6:coauthVersionMax="47" xr10:uidLastSave="{00000000-0000-0000-0000-000000000000}"/>
  <bookViews>
    <workbookView xWindow="-108" yWindow="-108" windowWidth="23256" windowHeight="12456" activeTab="4" xr2:uid="{533C7046-14B3-48AF-A232-DDC429EDB0E2}"/>
  </bookViews>
  <sheets>
    <sheet name="chart1" sheetId="6" r:id="rId1"/>
    <sheet name="chart2" sheetId="11" r:id="rId2"/>
    <sheet name="chart3" sheetId="12" r:id="rId3"/>
    <sheet name="clean_data" sheetId="4" r:id="rId4"/>
    <sheet name="KPI" sheetId="5" r:id="rId5"/>
    <sheet name="Raw_Sales_Data" sheetId="2" r:id="rId6"/>
  </sheets>
  <definedNames>
    <definedName name="ExternalData_1" localSheetId="3" hidden="1">'clean_data'!$A$1:$P$1201</definedName>
    <definedName name="ExternalData_1" localSheetId="5" hidden="1">'Raw_Sales_Data'!$A$1:$P$1201</definedName>
  </definedNames>
  <calcPr calcId="191029"/>
  <pivotCaches>
    <pivotCache cacheId="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V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2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1002" i="4"/>
  <c r="V1003" i="4"/>
  <c r="V1004" i="4"/>
  <c r="V1005" i="4"/>
  <c r="V1006" i="4"/>
  <c r="V1007" i="4"/>
  <c r="V1008" i="4"/>
  <c r="V1009" i="4"/>
  <c r="V1010" i="4"/>
  <c r="V1011" i="4"/>
  <c r="V1012" i="4"/>
  <c r="V1013" i="4"/>
  <c r="V1014" i="4"/>
  <c r="V1015" i="4"/>
  <c r="V1016" i="4"/>
  <c r="V1017" i="4"/>
  <c r="V1018" i="4"/>
  <c r="V1019" i="4"/>
  <c r="V1020" i="4"/>
  <c r="V1021" i="4"/>
  <c r="V1022" i="4"/>
  <c r="V1023" i="4"/>
  <c r="V1024" i="4"/>
  <c r="V1025" i="4"/>
  <c r="V1026" i="4"/>
  <c r="V1027" i="4"/>
  <c r="V1028" i="4"/>
  <c r="V1029" i="4"/>
  <c r="V1030" i="4"/>
  <c r="V1031" i="4"/>
  <c r="V1032" i="4"/>
  <c r="V1033" i="4"/>
  <c r="V1034" i="4"/>
  <c r="V1035" i="4"/>
  <c r="V1036" i="4"/>
  <c r="V1037" i="4"/>
  <c r="V1038" i="4"/>
  <c r="V1039" i="4"/>
  <c r="V1040" i="4"/>
  <c r="V1041" i="4"/>
  <c r="V1042" i="4"/>
  <c r="V1043" i="4"/>
  <c r="V1044" i="4"/>
  <c r="V1045" i="4"/>
  <c r="V1046" i="4"/>
  <c r="V1047" i="4"/>
  <c r="V1048" i="4"/>
  <c r="V1049" i="4"/>
  <c r="V1050" i="4"/>
  <c r="V1051" i="4"/>
  <c r="V1052" i="4"/>
  <c r="V1053" i="4"/>
  <c r="V1054" i="4"/>
  <c r="V1055" i="4"/>
  <c r="V1056" i="4"/>
  <c r="V1057" i="4"/>
  <c r="V1058" i="4"/>
  <c r="V1059" i="4"/>
  <c r="V1060" i="4"/>
  <c r="V1061" i="4"/>
  <c r="V1062" i="4"/>
  <c r="V1063" i="4"/>
  <c r="V1064" i="4"/>
  <c r="V1065" i="4"/>
  <c r="V1066" i="4"/>
  <c r="V1067" i="4"/>
  <c r="V1068" i="4"/>
  <c r="V1069" i="4"/>
  <c r="V1070" i="4"/>
  <c r="V1071" i="4"/>
  <c r="V1072" i="4"/>
  <c r="V1073" i="4"/>
  <c r="V1074" i="4"/>
  <c r="V1075" i="4"/>
  <c r="V1076" i="4"/>
  <c r="V1077" i="4"/>
  <c r="V1078" i="4"/>
  <c r="V1079" i="4"/>
  <c r="V1080" i="4"/>
  <c r="V1081" i="4"/>
  <c r="V1082" i="4"/>
  <c r="V1083" i="4"/>
  <c r="V1084" i="4"/>
  <c r="V1085" i="4"/>
  <c r="V1086" i="4"/>
  <c r="V1087" i="4"/>
  <c r="V1088" i="4"/>
  <c r="V1089" i="4"/>
  <c r="V1090" i="4"/>
  <c r="V1091" i="4"/>
  <c r="V1092" i="4"/>
  <c r="V1093" i="4"/>
  <c r="V1094" i="4"/>
  <c r="V1095" i="4"/>
  <c r="V1096" i="4"/>
  <c r="V1097" i="4"/>
  <c r="V1098" i="4"/>
  <c r="V1099" i="4"/>
  <c r="V1100" i="4"/>
  <c r="V1101" i="4"/>
  <c r="V1102" i="4"/>
  <c r="V1103" i="4"/>
  <c r="V1104" i="4"/>
  <c r="V1105" i="4"/>
  <c r="V1106" i="4"/>
  <c r="V1107" i="4"/>
  <c r="V1108" i="4"/>
  <c r="V1109" i="4"/>
  <c r="V1110" i="4"/>
  <c r="V1111" i="4"/>
  <c r="V1112" i="4"/>
  <c r="V1113" i="4"/>
  <c r="V1114" i="4"/>
  <c r="V1115" i="4"/>
  <c r="V1116" i="4"/>
  <c r="V1117" i="4"/>
  <c r="V1118" i="4"/>
  <c r="V1119" i="4"/>
  <c r="V1120" i="4"/>
  <c r="V1121" i="4"/>
  <c r="V1122" i="4"/>
  <c r="V1123" i="4"/>
  <c r="V1124" i="4"/>
  <c r="V1125" i="4"/>
  <c r="V1126" i="4"/>
  <c r="V1127" i="4"/>
  <c r="V1128" i="4"/>
  <c r="V1129" i="4"/>
  <c r="V1130" i="4"/>
  <c r="V1131" i="4"/>
  <c r="V1132" i="4"/>
  <c r="V1133" i="4"/>
  <c r="V1134" i="4"/>
  <c r="V1135" i="4"/>
  <c r="V1136" i="4"/>
  <c r="V1137" i="4"/>
  <c r="V1138" i="4"/>
  <c r="V1139" i="4"/>
  <c r="V1140" i="4"/>
  <c r="V1141" i="4"/>
  <c r="V1142" i="4"/>
  <c r="V1143" i="4"/>
  <c r="V1144" i="4"/>
  <c r="V1145" i="4"/>
  <c r="V1146" i="4"/>
  <c r="V1147" i="4"/>
  <c r="V1148" i="4"/>
  <c r="V1149" i="4"/>
  <c r="V1150" i="4"/>
  <c r="V1151" i="4"/>
  <c r="V1152" i="4"/>
  <c r="V1153" i="4"/>
  <c r="V1154" i="4"/>
  <c r="V1155" i="4"/>
  <c r="V1156" i="4"/>
  <c r="V1157" i="4"/>
  <c r="V1158" i="4"/>
  <c r="V1159" i="4"/>
  <c r="V1160" i="4"/>
  <c r="V1161" i="4"/>
  <c r="V1162" i="4"/>
  <c r="V1163" i="4"/>
  <c r="V1164" i="4"/>
  <c r="V1165" i="4"/>
  <c r="V1166" i="4"/>
  <c r="V1167" i="4"/>
  <c r="V1168" i="4"/>
  <c r="V1169" i="4"/>
  <c r="V1170" i="4"/>
  <c r="V1171" i="4"/>
  <c r="V1172" i="4"/>
  <c r="V1173" i="4"/>
  <c r="V1174" i="4"/>
  <c r="V1175" i="4"/>
  <c r="V1176" i="4"/>
  <c r="V1177" i="4"/>
  <c r="V1178" i="4"/>
  <c r="V1179" i="4"/>
  <c r="V1180" i="4"/>
  <c r="V1181" i="4"/>
  <c r="V1182" i="4"/>
  <c r="V1183" i="4"/>
  <c r="V1184" i="4"/>
  <c r="V1185" i="4"/>
  <c r="V1186" i="4"/>
  <c r="V1187" i="4"/>
  <c r="V1188" i="4"/>
  <c r="V1189" i="4"/>
  <c r="V1190" i="4"/>
  <c r="V1191" i="4"/>
  <c r="V1192" i="4"/>
  <c r="V1193" i="4"/>
  <c r="V1194" i="4"/>
  <c r="V1195" i="4"/>
  <c r="V1196" i="4"/>
  <c r="V1197" i="4"/>
  <c r="V1198" i="4"/>
  <c r="V1199" i="4"/>
  <c r="V1200" i="4"/>
  <c r="V1201" i="4"/>
  <c r="U439" i="4"/>
  <c r="U591" i="4"/>
  <c r="U691" i="4" a="1"/>
  <c r="U691" i="4" s="1"/>
  <c r="U744" i="4" a="1"/>
  <c r="U744" i="4" s="1"/>
  <c r="U827" i="4" a="1"/>
  <c r="U827" i="4" s="1"/>
  <c r="U891" i="4" a="1"/>
  <c r="U891" i="4" s="1"/>
  <c r="U912" i="4" a="1"/>
  <c r="U912" i="4" s="1"/>
  <c r="U992" i="4"/>
  <c r="U1043" i="4" a="1"/>
  <c r="U1043" i="4" s="1"/>
  <c r="U1075" i="4" a="1"/>
  <c r="U1075" i="4" s="1"/>
  <c r="U1084" i="4" a="1"/>
  <c r="U1084" i="4" s="1"/>
  <c r="U1171" i="4" a="1"/>
  <c r="U1171" i="4" s="1"/>
  <c r="T2" i="4" a="1"/>
  <c r="T2" i="4" s="1"/>
  <c r="C3" i="5"/>
  <c r="C2" i="5"/>
  <c r="C1" i="5"/>
  <c r="C4" i="5" s="1"/>
  <c r="T3" i="4" a="1"/>
  <c r="T3" i="4" s="1"/>
  <c r="T4" i="4" a="1"/>
  <c r="T4" i="4" s="1"/>
  <c r="T5" i="4" a="1"/>
  <c r="T5" i="4" s="1"/>
  <c r="T6" i="4" a="1"/>
  <c r="T6" i="4" s="1"/>
  <c r="T7" i="4" a="1"/>
  <c r="T7" i="4" s="1"/>
  <c r="T8" i="4" a="1"/>
  <c r="T8" i="4" s="1"/>
  <c r="T9" i="4" a="1"/>
  <c r="T9" i="4" s="1"/>
  <c r="T10" i="4" a="1"/>
  <c r="T10" i="4" s="1"/>
  <c r="T11" i="4" a="1"/>
  <c r="T11" i="4" s="1"/>
  <c r="T12" i="4" a="1"/>
  <c r="T12" i="4" s="1"/>
  <c r="T13" i="4" a="1"/>
  <c r="T13" i="4" s="1"/>
  <c r="T14" i="4" a="1"/>
  <c r="T14" i="4" s="1"/>
  <c r="T15" i="4" a="1"/>
  <c r="T15" i="4" s="1"/>
  <c r="T16" i="4" a="1"/>
  <c r="T16" i="4" s="1"/>
  <c r="T17" i="4" a="1"/>
  <c r="T17" i="4"/>
  <c r="T18" i="4" a="1"/>
  <c r="T18" i="4" s="1"/>
  <c r="T19" i="4" a="1"/>
  <c r="T19" i="4" s="1"/>
  <c r="T20" i="4" a="1"/>
  <c r="T20" i="4" s="1"/>
  <c r="T21" i="4" a="1"/>
  <c r="T21" i="4" s="1"/>
  <c r="T22" i="4" a="1"/>
  <c r="T22" i="4" s="1"/>
  <c r="T23" i="4" a="1"/>
  <c r="T23" i="4" s="1"/>
  <c r="T24" i="4" a="1"/>
  <c r="T24" i="4" s="1"/>
  <c r="T25" i="4" a="1"/>
  <c r="T25" i="4" s="1"/>
  <c r="T26" i="4" a="1"/>
  <c r="T26" i="4" s="1"/>
  <c r="T27" i="4" a="1"/>
  <c r="T27" i="4" s="1"/>
  <c r="T28" i="4" a="1"/>
  <c r="T28" i="4" s="1"/>
  <c r="T29" i="4" a="1"/>
  <c r="T29" i="4"/>
  <c r="T30" i="4" a="1"/>
  <c r="T30" i="4" s="1"/>
  <c r="T31" i="4" a="1"/>
  <c r="T31" i="4" s="1"/>
  <c r="T32" i="4" a="1"/>
  <c r="T32" i="4" s="1"/>
  <c r="T33" i="4" a="1"/>
  <c r="T33" i="4" s="1"/>
  <c r="T34" i="4" a="1"/>
  <c r="T34" i="4" s="1"/>
  <c r="T35" i="4" a="1"/>
  <c r="T35" i="4"/>
  <c r="T36" i="4" a="1"/>
  <c r="T36" i="4" s="1"/>
  <c r="T37" i="4" a="1"/>
  <c r="T37" i="4" s="1"/>
  <c r="T38" i="4" a="1"/>
  <c r="T38" i="4" s="1"/>
  <c r="T39" i="4" a="1"/>
  <c r="T39" i="4" s="1"/>
  <c r="T40" i="4" a="1"/>
  <c r="T40" i="4" s="1"/>
  <c r="T41" i="4" a="1"/>
  <c r="T41" i="4" s="1"/>
  <c r="T42" i="4" a="1"/>
  <c r="T42" i="4" s="1"/>
  <c r="T43" i="4" a="1"/>
  <c r="T43" i="4" s="1"/>
  <c r="T44" i="4" a="1"/>
  <c r="T44" i="4" s="1"/>
  <c r="T45" i="4" a="1"/>
  <c r="T45" i="4"/>
  <c r="T46" i="4" a="1"/>
  <c r="T46" i="4" s="1"/>
  <c r="T47" i="4" a="1"/>
  <c r="T47" i="4" s="1"/>
  <c r="T48" i="4" a="1"/>
  <c r="T48" i="4" s="1"/>
  <c r="T49" i="4" a="1"/>
  <c r="T49" i="4" s="1"/>
  <c r="T50" i="4" a="1"/>
  <c r="T50" i="4" s="1"/>
  <c r="T51" i="4" a="1"/>
  <c r="T51" i="4" s="1"/>
  <c r="T52" i="4" a="1"/>
  <c r="T52" i="4" s="1"/>
  <c r="T53" i="4" a="1"/>
  <c r="T53" i="4"/>
  <c r="T54" i="4" a="1"/>
  <c r="T54" i="4" s="1"/>
  <c r="T55" i="4" a="1"/>
  <c r="T55" i="4" s="1"/>
  <c r="T56" i="4" a="1"/>
  <c r="T56" i="4" s="1"/>
  <c r="T57" i="4" a="1"/>
  <c r="T57" i="4" s="1"/>
  <c r="T58" i="4" a="1"/>
  <c r="T58" i="4" s="1"/>
  <c r="T59" i="4" a="1"/>
  <c r="T59" i="4"/>
  <c r="T60" i="4" a="1"/>
  <c r="T60" i="4" s="1"/>
  <c r="T61" i="4" a="1"/>
  <c r="T61" i="4" s="1"/>
  <c r="T62" i="4" a="1"/>
  <c r="T62" i="4" s="1"/>
  <c r="T63" i="4" a="1"/>
  <c r="T63" i="4" s="1"/>
  <c r="T64" i="4" a="1"/>
  <c r="T64" i="4" s="1"/>
  <c r="T65" i="4" a="1"/>
  <c r="T65" i="4" s="1"/>
  <c r="T66" i="4" a="1"/>
  <c r="T66" i="4" s="1"/>
  <c r="T67" i="4" a="1"/>
  <c r="T67" i="4" s="1"/>
  <c r="T68" i="4" a="1"/>
  <c r="T68" i="4" s="1"/>
  <c r="T69" i="4" a="1"/>
  <c r="T69" i="4"/>
  <c r="T70" i="4" a="1"/>
  <c r="T70" i="4" s="1"/>
  <c r="T71" i="4" a="1"/>
  <c r="T71" i="4" s="1"/>
  <c r="T72" i="4" a="1"/>
  <c r="T72" i="4" s="1"/>
  <c r="T73" i="4" a="1"/>
  <c r="T73" i="4" s="1"/>
  <c r="T74" i="4" a="1"/>
  <c r="T74" i="4" s="1"/>
  <c r="T75" i="4" a="1"/>
  <c r="T75" i="4" s="1"/>
  <c r="T76" i="4" a="1"/>
  <c r="T76" i="4" s="1"/>
  <c r="T77" i="4" a="1"/>
  <c r="T77" i="4" s="1"/>
  <c r="T78" i="4" a="1"/>
  <c r="T78" i="4" s="1"/>
  <c r="T79" i="4" a="1"/>
  <c r="T79" i="4" s="1"/>
  <c r="T80" i="4" a="1"/>
  <c r="T80" i="4" s="1"/>
  <c r="T81" i="4" a="1"/>
  <c r="T81" i="4"/>
  <c r="T82" i="4" a="1"/>
  <c r="T82" i="4" s="1"/>
  <c r="T83" i="4" a="1"/>
  <c r="T83" i="4" s="1"/>
  <c r="T84" i="4" a="1"/>
  <c r="T84" i="4" s="1"/>
  <c r="T85" i="4" a="1"/>
  <c r="T85" i="4" s="1"/>
  <c r="T86" i="4" a="1"/>
  <c r="T86" i="4" s="1"/>
  <c r="T87" i="4" a="1"/>
  <c r="T87" i="4" s="1"/>
  <c r="T88" i="4" a="1"/>
  <c r="T88" i="4" s="1"/>
  <c r="T89" i="4" a="1"/>
  <c r="T89" i="4" s="1"/>
  <c r="T90" i="4" a="1"/>
  <c r="T90" i="4" s="1"/>
  <c r="T91" i="4" a="1"/>
  <c r="T91" i="4" s="1"/>
  <c r="T92" i="4" a="1"/>
  <c r="T92" i="4" s="1"/>
  <c r="T93" i="4" a="1"/>
  <c r="T93" i="4" s="1"/>
  <c r="T94" i="4" a="1"/>
  <c r="T94" i="4" s="1"/>
  <c r="T95" i="4" a="1"/>
  <c r="T95" i="4" s="1"/>
  <c r="T96" i="4" a="1"/>
  <c r="T96" i="4" s="1"/>
  <c r="T97" i="4" a="1"/>
  <c r="T97" i="4" s="1"/>
  <c r="T98" i="4" a="1"/>
  <c r="T98" i="4" s="1"/>
  <c r="T99" i="4" a="1"/>
  <c r="T99" i="4"/>
  <c r="T100" i="4" a="1"/>
  <c r="T100" i="4" s="1"/>
  <c r="T101" i="4" a="1"/>
  <c r="T101" i="4" s="1"/>
  <c r="T102" i="4" a="1"/>
  <c r="T102" i="4" s="1"/>
  <c r="T103" i="4" a="1"/>
  <c r="T103" i="4" s="1"/>
  <c r="T104" i="4" a="1"/>
  <c r="T104" i="4" s="1"/>
  <c r="T105" i="4" a="1"/>
  <c r="T105" i="4"/>
  <c r="T106" i="4" a="1"/>
  <c r="T106" i="4" s="1"/>
  <c r="T107" i="4" a="1"/>
  <c r="T107" i="4" s="1"/>
  <c r="T108" i="4" a="1"/>
  <c r="T108" i="4" s="1"/>
  <c r="T109" i="4" a="1"/>
  <c r="T109" i="4" s="1"/>
  <c r="T110" i="4" a="1"/>
  <c r="T110" i="4" s="1"/>
  <c r="T111" i="4" a="1"/>
  <c r="T111" i="4" s="1"/>
  <c r="T112" i="4" a="1"/>
  <c r="T112" i="4" s="1"/>
  <c r="T113" i="4" a="1"/>
  <c r="T113" i="4"/>
  <c r="T114" i="4" a="1"/>
  <c r="T114" i="4" s="1"/>
  <c r="T115" i="4" a="1"/>
  <c r="T115" i="4" s="1"/>
  <c r="T116" i="4" a="1"/>
  <c r="T116" i="4" s="1"/>
  <c r="T117" i="4" a="1"/>
  <c r="T117" i="4" s="1"/>
  <c r="T118" i="4" a="1"/>
  <c r="T118" i="4" s="1"/>
  <c r="T119" i="4" a="1"/>
  <c r="T119" i="4" s="1"/>
  <c r="T120" i="4" a="1"/>
  <c r="T120" i="4" s="1"/>
  <c r="T121" i="4" a="1"/>
  <c r="T121" i="4" s="1"/>
  <c r="T122" i="4" a="1"/>
  <c r="T122" i="4" s="1"/>
  <c r="T123" i="4" a="1"/>
  <c r="T123" i="4"/>
  <c r="T124" i="4" a="1"/>
  <c r="T124" i="4" s="1"/>
  <c r="T125" i="4" a="1"/>
  <c r="T125" i="4" s="1"/>
  <c r="T126" i="4" a="1"/>
  <c r="T126" i="4" s="1"/>
  <c r="T127" i="4" a="1"/>
  <c r="T127" i="4" s="1"/>
  <c r="T128" i="4" a="1"/>
  <c r="T128" i="4" s="1"/>
  <c r="T129" i="4" a="1"/>
  <c r="T129" i="4" s="1"/>
  <c r="T130" i="4" a="1"/>
  <c r="T130" i="4" s="1"/>
  <c r="T131" i="4" a="1"/>
  <c r="T131" i="4" s="1"/>
  <c r="T132" i="4" a="1"/>
  <c r="T132" i="4" s="1"/>
  <c r="T133" i="4" a="1"/>
  <c r="T133" i="4" s="1"/>
  <c r="T134" i="4" a="1"/>
  <c r="T134" i="4" s="1"/>
  <c r="T135" i="4" a="1"/>
  <c r="T135" i="4" s="1"/>
  <c r="T136" i="4" a="1"/>
  <c r="T136" i="4" s="1"/>
  <c r="T137" i="4" a="1"/>
  <c r="T137" i="4" s="1"/>
  <c r="T138" i="4" a="1"/>
  <c r="T138" i="4" s="1"/>
  <c r="T139" i="4" a="1"/>
  <c r="T139" i="4" s="1"/>
  <c r="T140" i="4" a="1"/>
  <c r="T140" i="4" s="1"/>
  <c r="T141" i="4" a="1"/>
  <c r="T141" i="4"/>
  <c r="T142" i="4" a="1"/>
  <c r="T142" i="4" s="1"/>
  <c r="T143" i="4" a="1"/>
  <c r="T143" i="4" s="1"/>
  <c r="T144" i="4" a="1"/>
  <c r="T144" i="4" s="1"/>
  <c r="T145" i="4" a="1"/>
  <c r="T145" i="4" s="1"/>
  <c r="T146" i="4" a="1"/>
  <c r="T146" i="4" s="1"/>
  <c r="T147" i="4" a="1"/>
  <c r="T147" i="4" s="1"/>
  <c r="T148" i="4" a="1"/>
  <c r="T148" i="4" s="1"/>
  <c r="T149" i="4" a="1"/>
  <c r="T149" i="4" s="1"/>
  <c r="T150" i="4" a="1"/>
  <c r="T150" i="4" s="1"/>
  <c r="T151" i="4" a="1"/>
  <c r="T151" i="4" s="1"/>
  <c r="T152" i="4" a="1"/>
  <c r="T152" i="4" s="1"/>
  <c r="T153" i="4" a="1"/>
  <c r="T153" i="4" s="1"/>
  <c r="T154" i="4" a="1"/>
  <c r="T154" i="4" s="1"/>
  <c r="T155" i="4" a="1"/>
  <c r="T155" i="4" s="1"/>
  <c r="T156" i="4" a="1"/>
  <c r="T156" i="4" s="1"/>
  <c r="T157" i="4" a="1"/>
  <c r="T157" i="4"/>
  <c r="T158" i="4" a="1"/>
  <c r="T158" i="4" s="1"/>
  <c r="T159" i="4" a="1"/>
  <c r="T159" i="4" s="1"/>
  <c r="T160" i="4" a="1"/>
  <c r="T160" i="4" s="1"/>
  <c r="T161" i="4" a="1"/>
  <c r="T161" i="4" s="1"/>
  <c r="T162" i="4" a="1"/>
  <c r="T162" i="4" s="1"/>
  <c r="T163" i="4" a="1"/>
  <c r="T163" i="4" s="1"/>
  <c r="T164" i="4" a="1"/>
  <c r="T164" i="4" s="1"/>
  <c r="T165" i="4" a="1"/>
  <c r="T165" i="4" s="1"/>
  <c r="T166" i="4" a="1"/>
  <c r="T166" i="4" s="1"/>
  <c r="T167" i="4" a="1"/>
  <c r="T167" i="4" s="1"/>
  <c r="T168" i="4" a="1"/>
  <c r="T168" i="4" s="1"/>
  <c r="T169" i="4" a="1"/>
  <c r="T169" i="4" s="1"/>
  <c r="T170" i="4" a="1"/>
  <c r="T170" i="4" s="1"/>
  <c r="T171" i="4" a="1"/>
  <c r="T171" i="4"/>
  <c r="T172" i="4" a="1"/>
  <c r="T172" i="4" s="1"/>
  <c r="T173" i="4" a="1"/>
  <c r="T173" i="4" s="1"/>
  <c r="T174" i="4" a="1"/>
  <c r="T174" i="4" s="1"/>
  <c r="T175" i="4" a="1"/>
  <c r="T175" i="4" s="1"/>
  <c r="T176" i="4" a="1"/>
  <c r="T176" i="4" s="1"/>
  <c r="T177" i="4" a="1"/>
  <c r="T177" i="4" s="1"/>
  <c r="T178" i="4" a="1"/>
  <c r="T178" i="4" s="1"/>
  <c r="T179" i="4" a="1"/>
  <c r="T179" i="4" s="1"/>
  <c r="T180" i="4" a="1"/>
  <c r="T180" i="4" s="1"/>
  <c r="T181" i="4" a="1"/>
  <c r="T181" i="4" s="1"/>
  <c r="T182" i="4" a="1"/>
  <c r="T182" i="4" s="1"/>
  <c r="T183" i="4" a="1"/>
  <c r="T183" i="4" s="1"/>
  <c r="T184" i="4" a="1"/>
  <c r="T184" i="4" s="1"/>
  <c r="T185" i="4" a="1"/>
  <c r="T185" i="4"/>
  <c r="T186" i="4" a="1"/>
  <c r="T186" i="4" s="1"/>
  <c r="T187" i="4" a="1"/>
  <c r="T187" i="4" s="1"/>
  <c r="T188" i="4" a="1"/>
  <c r="T188" i="4" s="1"/>
  <c r="T189" i="4" a="1"/>
  <c r="T189" i="4" s="1"/>
  <c r="T190" i="4" a="1"/>
  <c r="T190" i="4" s="1"/>
  <c r="T191" i="4" a="1"/>
  <c r="T191" i="4"/>
  <c r="T192" i="4" a="1"/>
  <c r="T192" i="4" s="1"/>
  <c r="T193" i="4" a="1"/>
  <c r="T193" i="4" s="1"/>
  <c r="T194" i="4" a="1"/>
  <c r="T194" i="4" s="1"/>
  <c r="T195" i="4" a="1"/>
  <c r="T195" i="4"/>
  <c r="T196" i="4" a="1"/>
  <c r="T196" i="4" s="1"/>
  <c r="T197" i="4" a="1"/>
  <c r="T197" i="4" s="1"/>
  <c r="T198" i="4" a="1"/>
  <c r="T198" i="4" s="1"/>
  <c r="T199" i="4" a="1"/>
  <c r="T199" i="4" s="1"/>
  <c r="T200" i="4" a="1"/>
  <c r="T200" i="4" s="1"/>
  <c r="T201" i="4" a="1"/>
  <c r="T201" i="4"/>
  <c r="T202" i="4" a="1"/>
  <c r="T202" i="4" s="1"/>
  <c r="T203" i="4" a="1"/>
  <c r="T203" i="4" s="1"/>
  <c r="T204" i="4" a="1"/>
  <c r="T204" i="4" s="1"/>
  <c r="T205" i="4" a="1"/>
  <c r="T205" i="4" s="1"/>
  <c r="T206" i="4" a="1"/>
  <c r="T206" i="4" s="1"/>
  <c r="T207" i="4" a="1"/>
  <c r="T207" i="4"/>
  <c r="T208" i="4" a="1"/>
  <c r="T208" i="4" s="1"/>
  <c r="T209" i="4" a="1"/>
  <c r="T209" i="4" s="1"/>
  <c r="T210" i="4" a="1"/>
  <c r="T210" i="4" s="1"/>
  <c r="T211" i="4" a="1"/>
  <c r="T211" i="4" s="1"/>
  <c r="T212" i="4" a="1"/>
  <c r="T212" i="4" s="1"/>
  <c r="T213" i="4" a="1"/>
  <c r="T213" i="4" s="1"/>
  <c r="T214" i="4" a="1"/>
  <c r="T214" i="4" s="1"/>
  <c r="T215" i="4" a="1"/>
  <c r="T215" i="4" s="1"/>
  <c r="T216" i="4" a="1"/>
  <c r="T216" i="4" s="1"/>
  <c r="T217" i="4" a="1"/>
  <c r="T217" i="4" s="1"/>
  <c r="T218" i="4" a="1"/>
  <c r="T218" i="4" s="1"/>
  <c r="T219" i="4" a="1"/>
  <c r="T219" i="4"/>
  <c r="T220" i="4" a="1"/>
  <c r="T220" i="4" s="1"/>
  <c r="T221" i="4" a="1"/>
  <c r="T221" i="4" s="1"/>
  <c r="T222" i="4" a="1"/>
  <c r="T222" i="4" s="1"/>
  <c r="T223" i="4" a="1"/>
  <c r="T223" i="4" s="1"/>
  <c r="T224" i="4" a="1"/>
  <c r="T224" i="4" s="1"/>
  <c r="T225" i="4" a="1"/>
  <c r="T225" i="4" s="1"/>
  <c r="T226" i="4" a="1"/>
  <c r="T226" i="4" s="1"/>
  <c r="T227" i="4" a="1"/>
  <c r="T227" i="4" s="1"/>
  <c r="T228" i="4" a="1"/>
  <c r="T228" i="4" s="1"/>
  <c r="T229" i="4" a="1"/>
  <c r="T229" i="4" s="1"/>
  <c r="T230" i="4" a="1"/>
  <c r="T230" i="4" s="1"/>
  <c r="T231" i="4" a="1"/>
  <c r="T231" i="4" s="1"/>
  <c r="T232" i="4" a="1"/>
  <c r="T232" i="4" s="1"/>
  <c r="T233" i="4" a="1"/>
  <c r="T233" i="4"/>
  <c r="T234" i="4" a="1"/>
  <c r="T234" i="4" s="1"/>
  <c r="T235" i="4" a="1"/>
  <c r="T235" i="4" s="1"/>
  <c r="T236" i="4" a="1"/>
  <c r="T236" i="4" s="1"/>
  <c r="T237" i="4" a="1"/>
  <c r="T237" i="4" s="1"/>
  <c r="T238" i="4" a="1"/>
  <c r="T238" i="4" s="1"/>
  <c r="T239" i="4" a="1"/>
  <c r="T239" i="4" s="1"/>
  <c r="T240" i="4" a="1"/>
  <c r="T240" i="4" s="1"/>
  <c r="T241" i="4" a="1"/>
  <c r="T241" i="4" s="1"/>
  <c r="T242" i="4" a="1"/>
  <c r="T242" i="4" s="1"/>
  <c r="T243" i="4" a="1"/>
  <c r="T243" i="4"/>
  <c r="T244" i="4" a="1"/>
  <c r="T244" i="4" s="1"/>
  <c r="T245" i="4" a="1"/>
  <c r="T245" i="4" s="1"/>
  <c r="T246" i="4" a="1"/>
  <c r="T246" i="4" s="1"/>
  <c r="T247" i="4" a="1"/>
  <c r="T247" i="4" s="1"/>
  <c r="T248" i="4" a="1"/>
  <c r="T248" i="4" s="1"/>
  <c r="T249" i="4" a="1"/>
  <c r="T249" i="4" s="1"/>
  <c r="T250" i="4" a="1"/>
  <c r="T250" i="4" s="1"/>
  <c r="T251" i="4" a="1"/>
  <c r="T251" i="4" s="1"/>
  <c r="T252" i="4" a="1"/>
  <c r="T252" i="4" s="1"/>
  <c r="T253" i="4" a="1"/>
  <c r="T253" i="4" s="1"/>
  <c r="T254" i="4" a="1"/>
  <c r="T254" i="4" s="1"/>
  <c r="T255" i="4" a="1"/>
  <c r="T255" i="4"/>
  <c r="T256" i="4" a="1"/>
  <c r="T256" i="4" s="1"/>
  <c r="T257" i="4" a="1"/>
  <c r="T257" i="4" s="1"/>
  <c r="T258" i="4" a="1"/>
  <c r="T258" i="4" s="1"/>
  <c r="T259" i="4" a="1"/>
  <c r="T259" i="4" s="1"/>
  <c r="T260" i="4" a="1"/>
  <c r="T260" i="4" s="1"/>
  <c r="T261" i="4" a="1"/>
  <c r="T261" i="4" s="1"/>
  <c r="T262" i="4" a="1"/>
  <c r="T262" i="4" s="1"/>
  <c r="T263" i="4" a="1"/>
  <c r="T263" i="4" s="1"/>
  <c r="T264" i="4" a="1"/>
  <c r="T264" i="4" s="1"/>
  <c r="T265" i="4" a="1"/>
  <c r="T265" i="4" s="1"/>
  <c r="T266" i="4" a="1"/>
  <c r="T266" i="4" s="1"/>
  <c r="T267" i="4" a="1"/>
  <c r="T267" i="4" s="1"/>
  <c r="T268" i="4" a="1"/>
  <c r="T268" i="4" s="1"/>
  <c r="T269" i="4" a="1"/>
  <c r="T269" i="4" s="1"/>
  <c r="T270" i="4" a="1"/>
  <c r="T270" i="4" s="1"/>
  <c r="T271" i="4" a="1"/>
  <c r="T271" i="4" s="1"/>
  <c r="T272" i="4" a="1"/>
  <c r="T272" i="4" s="1"/>
  <c r="T273" i="4" a="1"/>
  <c r="T273" i="4"/>
  <c r="T274" i="4" a="1"/>
  <c r="T274" i="4" s="1"/>
  <c r="T275" i="4" a="1"/>
  <c r="T275" i="4" s="1"/>
  <c r="T276" i="4" a="1"/>
  <c r="T276" i="4" s="1"/>
  <c r="T277" i="4" a="1"/>
  <c r="T277" i="4" s="1"/>
  <c r="T278" i="4" a="1"/>
  <c r="T278" i="4" s="1"/>
  <c r="T279" i="4" a="1"/>
  <c r="T279" i="4"/>
  <c r="T280" i="4" a="1"/>
  <c r="T280" i="4" s="1"/>
  <c r="T281" i="4" a="1"/>
  <c r="T281" i="4" s="1"/>
  <c r="T282" i="4" a="1"/>
  <c r="T282" i="4" s="1"/>
  <c r="T283" i="4" a="1"/>
  <c r="T283" i="4"/>
  <c r="T284" i="4" a="1"/>
  <c r="T284" i="4" s="1"/>
  <c r="T285" i="4" a="1"/>
  <c r="T285" i="4" s="1"/>
  <c r="T286" i="4" a="1"/>
  <c r="T286" i="4" s="1"/>
  <c r="T287" i="4" a="1"/>
  <c r="T287" i="4" s="1"/>
  <c r="T288" i="4" a="1"/>
  <c r="T288" i="4" s="1"/>
  <c r="T289" i="4" a="1"/>
  <c r="T289" i="4"/>
  <c r="T290" i="4" a="1"/>
  <c r="T290" i="4" s="1"/>
  <c r="T291" i="4" a="1"/>
  <c r="T291" i="4" s="1"/>
  <c r="T292" i="4" a="1"/>
  <c r="T292" i="4" s="1"/>
  <c r="T293" i="4" a="1"/>
  <c r="T293" i="4" s="1"/>
  <c r="T294" i="4" a="1"/>
  <c r="T294" i="4" s="1"/>
  <c r="T295" i="4" a="1"/>
  <c r="T295" i="4" s="1"/>
  <c r="T296" i="4" a="1"/>
  <c r="T296" i="4" s="1"/>
  <c r="T297" i="4" a="1"/>
  <c r="T297" i="4" s="1"/>
  <c r="T298" i="4" a="1"/>
  <c r="T298" i="4" s="1"/>
  <c r="T299" i="4" a="1"/>
  <c r="T299" i="4"/>
  <c r="T300" i="4" a="1"/>
  <c r="T300" i="4" s="1"/>
  <c r="T301" i="4" a="1"/>
  <c r="T301" i="4" s="1"/>
  <c r="T302" i="4" a="1"/>
  <c r="T302" i="4" s="1"/>
  <c r="T303" i="4" a="1"/>
  <c r="T303" i="4" s="1"/>
  <c r="T304" i="4" a="1"/>
  <c r="T304" i="4" s="1"/>
  <c r="T305" i="4" a="1"/>
  <c r="T305" i="4" s="1"/>
  <c r="T306" i="4" a="1"/>
  <c r="T306" i="4" s="1"/>
  <c r="T307" i="4" a="1"/>
  <c r="T307" i="4" s="1"/>
  <c r="T308" i="4" a="1"/>
  <c r="T308" i="4" s="1"/>
  <c r="T309" i="4" a="1"/>
  <c r="T309" i="4"/>
  <c r="T310" i="4" a="1"/>
  <c r="T310" i="4" s="1"/>
  <c r="T311" i="4" a="1"/>
  <c r="T311" i="4" s="1"/>
  <c r="T312" i="4" a="1"/>
  <c r="T312" i="4" s="1"/>
  <c r="T313" i="4" a="1"/>
  <c r="T313" i="4" s="1"/>
  <c r="T314" i="4" a="1"/>
  <c r="T314" i="4" s="1"/>
  <c r="T315" i="4" a="1"/>
  <c r="T315" i="4" s="1"/>
  <c r="T316" i="4" a="1"/>
  <c r="T316" i="4" s="1"/>
  <c r="T317" i="4" a="1"/>
  <c r="T317" i="4"/>
  <c r="T318" i="4" a="1"/>
  <c r="T318" i="4" s="1"/>
  <c r="T319" i="4" a="1"/>
  <c r="T319" i="4" s="1"/>
  <c r="T320" i="4" a="1"/>
  <c r="T320" i="4" s="1"/>
  <c r="T321" i="4" a="1"/>
  <c r="T321" i="4" s="1"/>
  <c r="T322" i="4" a="1"/>
  <c r="T322" i="4" s="1"/>
  <c r="T323" i="4" a="1"/>
  <c r="T323" i="4"/>
  <c r="T324" i="4" a="1"/>
  <c r="T324" i="4" s="1"/>
  <c r="T325" i="4" a="1"/>
  <c r="T325" i="4" s="1"/>
  <c r="T326" i="4" a="1"/>
  <c r="T326" i="4" s="1"/>
  <c r="T327" i="4" a="1"/>
  <c r="T327" i="4" s="1"/>
  <c r="T328" i="4" a="1"/>
  <c r="T328" i="4" s="1"/>
  <c r="T329" i="4" a="1"/>
  <c r="T329" i="4"/>
  <c r="T330" i="4" a="1"/>
  <c r="T330" i="4" s="1"/>
  <c r="T331" i="4" a="1"/>
  <c r="T331" i="4" s="1"/>
  <c r="T332" i="4" a="1"/>
  <c r="T332" i="4" s="1"/>
  <c r="T333" i="4" a="1"/>
  <c r="T333" i="4" s="1"/>
  <c r="T334" i="4" a="1"/>
  <c r="T334" i="4" s="1"/>
  <c r="T335" i="4" a="1"/>
  <c r="T335" i="4" s="1"/>
  <c r="T336" i="4" a="1"/>
  <c r="T336" i="4" s="1"/>
  <c r="T337" i="4" a="1"/>
  <c r="T337" i="4" s="1"/>
  <c r="T338" i="4" a="1"/>
  <c r="T338" i="4" s="1"/>
  <c r="T339" i="4" a="1"/>
  <c r="T339" i="4" s="1"/>
  <c r="T340" i="4" a="1"/>
  <c r="T340" i="4" s="1"/>
  <c r="T341" i="4" a="1"/>
  <c r="T341" i="4" s="1"/>
  <c r="T342" i="4" a="1"/>
  <c r="T342" i="4" s="1"/>
  <c r="T343" i="4" a="1"/>
  <c r="T343" i="4" s="1"/>
  <c r="T344" i="4" a="1"/>
  <c r="T344" i="4" s="1"/>
  <c r="T345" i="4" a="1"/>
  <c r="T345" i="4" s="1"/>
  <c r="T346" i="4" a="1"/>
  <c r="T346" i="4" s="1"/>
  <c r="T347" i="4" a="1"/>
  <c r="T347" i="4" s="1"/>
  <c r="T348" i="4" a="1"/>
  <c r="T348" i="4"/>
  <c r="T349" i="4" a="1"/>
  <c r="T349" i="4" s="1"/>
  <c r="T350" i="4" a="1"/>
  <c r="T350" i="4" s="1"/>
  <c r="T351" i="4" a="1"/>
  <c r="T351" i="4" s="1"/>
  <c r="T352" i="4" a="1"/>
  <c r="T352" i="4" s="1"/>
  <c r="T353" i="4" a="1"/>
  <c r="T353" i="4" s="1"/>
  <c r="T354" i="4" a="1"/>
  <c r="T354" i="4"/>
  <c r="T355" i="4" a="1"/>
  <c r="T355" i="4" s="1"/>
  <c r="T356" i="4" a="1"/>
  <c r="T356" i="4" s="1"/>
  <c r="T357" i="4" a="1"/>
  <c r="T357" i="4" s="1"/>
  <c r="T358" i="4" a="1"/>
  <c r="T358" i="4"/>
  <c r="T359" i="4" a="1"/>
  <c r="T359" i="4" s="1"/>
  <c r="T360" i="4" a="1"/>
  <c r="T360" i="4" s="1"/>
  <c r="T361" i="4" a="1"/>
  <c r="T361" i="4" s="1"/>
  <c r="T362" i="4" a="1"/>
  <c r="T362" i="4" s="1"/>
  <c r="T363" i="4" a="1"/>
  <c r="T363" i="4" s="1"/>
  <c r="T364" i="4" a="1"/>
  <c r="T364" i="4"/>
  <c r="T365" i="4" a="1"/>
  <c r="T365" i="4" s="1"/>
  <c r="T366" i="4" a="1"/>
  <c r="T366" i="4" s="1"/>
  <c r="T367" i="4" a="1"/>
  <c r="T367" i="4" s="1"/>
  <c r="T368" i="4" a="1"/>
  <c r="T368" i="4" s="1"/>
  <c r="T369" i="4" a="1"/>
  <c r="T369" i="4" s="1"/>
  <c r="T370" i="4" a="1"/>
  <c r="T370" i="4"/>
  <c r="T371" i="4" a="1"/>
  <c r="T371" i="4" s="1"/>
  <c r="T372" i="4" a="1"/>
  <c r="T372" i="4" s="1"/>
  <c r="T373" i="4" a="1"/>
  <c r="T373" i="4" s="1"/>
  <c r="T374" i="4" a="1"/>
  <c r="T374" i="4"/>
  <c r="T375" i="4" a="1"/>
  <c r="T375" i="4" s="1"/>
  <c r="T376" i="4" a="1"/>
  <c r="T376" i="4" s="1"/>
  <c r="T377" i="4" a="1"/>
  <c r="T377" i="4" s="1"/>
  <c r="T378" i="4" a="1"/>
  <c r="T378" i="4" s="1"/>
  <c r="T379" i="4" a="1"/>
  <c r="T379" i="4" s="1"/>
  <c r="T380" i="4" a="1"/>
  <c r="T380" i="4" s="1"/>
  <c r="T381" i="4" a="1"/>
  <c r="T381" i="4" s="1"/>
  <c r="T382" i="4" a="1"/>
  <c r="T382" i="4" s="1"/>
  <c r="T383" i="4" a="1"/>
  <c r="T383" i="4" s="1"/>
  <c r="T384" i="4" a="1"/>
  <c r="T384" i="4" s="1"/>
  <c r="T385" i="4" a="1"/>
  <c r="T385" i="4" s="1"/>
  <c r="T386" i="4" a="1"/>
  <c r="T386" i="4" s="1"/>
  <c r="T387" i="4" a="1"/>
  <c r="T387" i="4" s="1"/>
  <c r="T388" i="4" a="1"/>
  <c r="T388" i="4"/>
  <c r="T389" i="4" a="1"/>
  <c r="T389" i="4" s="1"/>
  <c r="T390" i="4" a="1"/>
  <c r="T390" i="4" s="1"/>
  <c r="T391" i="4" a="1"/>
  <c r="T391" i="4" s="1"/>
  <c r="T392" i="4" a="1"/>
  <c r="T392" i="4" s="1"/>
  <c r="T393" i="4" a="1"/>
  <c r="T393" i="4" s="1"/>
  <c r="T394" i="4" a="1"/>
  <c r="T394" i="4"/>
  <c r="T395" i="4" a="1"/>
  <c r="T395" i="4" s="1"/>
  <c r="T396" i="4" a="1"/>
  <c r="T396" i="4" s="1"/>
  <c r="T397" i="4" a="1"/>
  <c r="T397" i="4" s="1"/>
  <c r="T398" i="4" a="1"/>
  <c r="T398" i="4" s="1"/>
  <c r="T399" i="4" a="1"/>
  <c r="T399" i="4" s="1"/>
  <c r="T400" i="4" a="1"/>
  <c r="T400" i="4" s="1"/>
  <c r="T401" i="4" a="1"/>
  <c r="T401" i="4" s="1"/>
  <c r="T402" i="4" a="1"/>
  <c r="T402" i="4" s="1"/>
  <c r="T403" i="4" a="1"/>
  <c r="T403" i="4" s="1"/>
  <c r="T404" i="4" a="1"/>
  <c r="T404" i="4"/>
  <c r="T405" i="4" a="1"/>
  <c r="T405" i="4" s="1"/>
  <c r="T406" i="4" a="1"/>
  <c r="T406" i="4" s="1"/>
  <c r="T407" i="4" a="1"/>
  <c r="T407" i="4" s="1"/>
  <c r="T408" i="4" a="1"/>
  <c r="T408" i="4" s="1"/>
  <c r="T409" i="4" a="1"/>
  <c r="T409" i="4" s="1"/>
  <c r="T410" i="4" a="1"/>
  <c r="T410" i="4" s="1"/>
  <c r="T411" i="4" a="1"/>
  <c r="T411" i="4" s="1"/>
  <c r="T412" i="4" a="1"/>
  <c r="T412" i="4" s="1"/>
  <c r="T413" i="4" a="1"/>
  <c r="T413" i="4" s="1"/>
  <c r="T414" i="4" a="1"/>
  <c r="T414" i="4"/>
  <c r="T415" i="4" a="1"/>
  <c r="T415" i="4" s="1"/>
  <c r="T416" i="4" a="1"/>
  <c r="T416" i="4" s="1"/>
  <c r="T417" i="4" a="1"/>
  <c r="T417" i="4" s="1"/>
  <c r="T418" i="4" a="1"/>
  <c r="T418" i="4" s="1"/>
  <c r="T419" i="4" a="1"/>
  <c r="T419" i="4" s="1"/>
  <c r="T420" i="4" a="1"/>
  <c r="T420" i="4"/>
  <c r="T421" i="4" a="1"/>
  <c r="T421" i="4" s="1"/>
  <c r="T422" i="4" a="1"/>
  <c r="T422" i="4" s="1"/>
  <c r="T423" i="4" a="1"/>
  <c r="T423" i="4" s="1"/>
  <c r="T424" i="4" a="1"/>
  <c r="T424" i="4" s="1"/>
  <c r="T425" i="4" a="1"/>
  <c r="T425" i="4" s="1"/>
  <c r="T426" i="4" a="1"/>
  <c r="T426" i="4" s="1"/>
  <c r="T427" i="4" a="1"/>
  <c r="T427" i="4" s="1"/>
  <c r="T428" i="4" a="1"/>
  <c r="T428" i="4" s="1"/>
  <c r="T429" i="4" a="1"/>
  <c r="T429" i="4" s="1"/>
  <c r="T430" i="4" a="1"/>
  <c r="T430" i="4" s="1"/>
  <c r="T431" i="4" a="1"/>
  <c r="T431" i="4" s="1"/>
  <c r="T432" i="4" a="1"/>
  <c r="T432" i="4" s="1"/>
  <c r="T433" i="4" a="1"/>
  <c r="T433" i="4" s="1"/>
  <c r="T434" i="4" a="1"/>
  <c r="T434" i="4"/>
  <c r="T435" i="4" a="1"/>
  <c r="T435" i="4" s="1"/>
  <c r="T436" i="4" a="1"/>
  <c r="T436" i="4" s="1"/>
  <c r="T437" i="4" a="1"/>
  <c r="T437" i="4" s="1"/>
  <c r="T438" i="4" a="1"/>
  <c r="T438" i="4" s="1"/>
  <c r="T439" i="4" a="1"/>
  <c r="T439" i="4" s="1"/>
  <c r="T440" i="4" a="1"/>
  <c r="T440" i="4" s="1"/>
  <c r="T441" i="4" a="1"/>
  <c r="T441" i="4" s="1"/>
  <c r="T442" i="4" a="1"/>
  <c r="T442" i="4" s="1"/>
  <c r="T443" i="4" a="1"/>
  <c r="T443" i="4" s="1"/>
  <c r="T444" i="4" a="1"/>
  <c r="T444" i="4" s="1"/>
  <c r="T445" i="4" a="1"/>
  <c r="T445" i="4" s="1"/>
  <c r="T446" i="4" a="1"/>
  <c r="T446" i="4"/>
  <c r="T447" i="4" a="1"/>
  <c r="T447" i="4" s="1"/>
  <c r="T448" i="4" a="1"/>
  <c r="T448" i="4" s="1"/>
  <c r="T449" i="4" a="1"/>
  <c r="T449" i="4" s="1"/>
  <c r="T450" i="4" a="1"/>
  <c r="T450" i="4" s="1"/>
  <c r="T451" i="4" a="1"/>
  <c r="T451" i="4" s="1"/>
  <c r="T452" i="4" a="1"/>
  <c r="T452" i="4"/>
  <c r="T453" i="4" a="1"/>
  <c r="T453" i="4" s="1"/>
  <c r="T454" i="4" a="1"/>
  <c r="T454" i="4" s="1"/>
  <c r="T455" i="4" a="1"/>
  <c r="T455" i="4" s="1"/>
  <c r="T456" i="4" a="1"/>
  <c r="T456" i="4" s="1"/>
  <c r="T457" i="4" a="1"/>
  <c r="T457" i="4" s="1"/>
  <c r="T458" i="4" a="1"/>
  <c r="T458" i="4" s="1"/>
  <c r="T459" i="4" a="1"/>
  <c r="T459" i="4" s="1"/>
  <c r="T460" i="4" a="1"/>
  <c r="T460" i="4" s="1"/>
  <c r="T461" i="4" a="1"/>
  <c r="T461" i="4" s="1"/>
  <c r="T462" i="4" a="1"/>
  <c r="T462" i="4"/>
  <c r="T463" i="4" a="1"/>
  <c r="T463" i="4" s="1"/>
  <c r="T464" i="4" a="1"/>
  <c r="T464" i="4" s="1"/>
  <c r="T465" i="4" a="1"/>
  <c r="T465" i="4" s="1"/>
  <c r="T466" i="4" a="1"/>
  <c r="T466" i="4" s="1"/>
  <c r="T467" i="4" a="1"/>
  <c r="T467" i="4" s="1"/>
  <c r="T468" i="4" a="1"/>
  <c r="T468" i="4" s="1"/>
  <c r="T469" i="4" a="1"/>
  <c r="T469" i="4" s="1"/>
  <c r="T470" i="4" a="1"/>
  <c r="T470" i="4" s="1"/>
  <c r="T471" i="4" a="1"/>
  <c r="T471" i="4" s="1"/>
  <c r="T472" i="4" a="1"/>
  <c r="T472" i="4" s="1"/>
  <c r="T473" i="4" a="1"/>
  <c r="T473" i="4" s="1"/>
  <c r="T474" i="4" a="1"/>
  <c r="T474" i="4" s="1"/>
  <c r="T475" i="4" a="1"/>
  <c r="T475" i="4" s="1"/>
  <c r="T476" i="4" a="1"/>
  <c r="T476" i="4"/>
  <c r="T477" i="4" a="1"/>
  <c r="T477" i="4" s="1"/>
  <c r="T478" i="4" a="1"/>
  <c r="T478" i="4" s="1"/>
  <c r="T479" i="4" a="1"/>
  <c r="T479" i="4" s="1"/>
  <c r="T480" i="4" a="1"/>
  <c r="T480" i="4" s="1"/>
  <c r="T481" i="4" a="1"/>
  <c r="T481" i="4" s="1"/>
  <c r="T482" i="4" a="1"/>
  <c r="T482" i="4" s="1"/>
  <c r="T483" i="4" a="1"/>
  <c r="T483" i="4" s="1"/>
  <c r="T484" i="4" a="1"/>
  <c r="T484" i="4" s="1"/>
  <c r="T485" i="4" a="1"/>
  <c r="T485" i="4" s="1"/>
  <c r="T486" i="4" a="1"/>
  <c r="T486" i="4"/>
  <c r="T487" i="4" a="1"/>
  <c r="T487" i="4" s="1"/>
  <c r="T488" i="4" a="1"/>
  <c r="T488" i="4" s="1"/>
  <c r="T489" i="4" a="1"/>
  <c r="T489" i="4" s="1"/>
  <c r="T490" i="4" a="1"/>
  <c r="T490" i="4" s="1"/>
  <c r="T491" i="4" a="1"/>
  <c r="T491" i="4" s="1"/>
  <c r="T492" i="4" a="1"/>
  <c r="T492" i="4" s="1"/>
  <c r="T493" i="4" a="1"/>
  <c r="T493" i="4" s="1"/>
  <c r="T494" i="4" a="1"/>
  <c r="T494" i="4"/>
  <c r="T495" i="4" a="1"/>
  <c r="T495" i="4" s="1"/>
  <c r="T496" i="4" a="1"/>
  <c r="T496" i="4" s="1"/>
  <c r="T497" i="4" a="1"/>
  <c r="T497" i="4" s="1"/>
  <c r="T498" i="4" a="1"/>
  <c r="T498" i="4" s="1"/>
  <c r="T499" i="4" a="1"/>
  <c r="T499" i="4" s="1"/>
  <c r="T500" i="4" a="1"/>
  <c r="T500" i="4" s="1"/>
  <c r="T501" i="4" a="1"/>
  <c r="T501" i="4" s="1"/>
  <c r="T502" i="4" a="1"/>
  <c r="T502" i="4" s="1"/>
  <c r="T503" i="4" a="1"/>
  <c r="T503" i="4" s="1"/>
  <c r="T504" i="4" a="1"/>
  <c r="T504" i="4" s="1"/>
  <c r="T505" i="4" a="1"/>
  <c r="T505" i="4" s="1"/>
  <c r="T506" i="4" a="1"/>
  <c r="T506" i="4" s="1"/>
  <c r="T507" i="4" a="1"/>
  <c r="T507" i="4" s="1"/>
  <c r="T508" i="4" a="1"/>
  <c r="T508" i="4" s="1"/>
  <c r="T509" i="4" a="1"/>
  <c r="T509" i="4" s="1"/>
  <c r="T510" i="4" a="1"/>
  <c r="T510" i="4"/>
  <c r="T511" i="4" a="1"/>
  <c r="T511" i="4" s="1"/>
  <c r="T512" i="4" a="1"/>
  <c r="T512" i="4" s="1"/>
  <c r="T513" i="4" a="1"/>
  <c r="T513" i="4" s="1"/>
  <c r="T514" i="4" a="1"/>
  <c r="T514" i="4" s="1"/>
  <c r="T515" i="4" a="1"/>
  <c r="T515" i="4" s="1"/>
  <c r="T516" i="4" a="1"/>
  <c r="T516" i="4" s="1"/>
  <c r="T517" i="4" a="1"/>
  <c r="T517" i="4" s="1"/>
  <c r="T518" i="4" a="1"/>
  <c r="T518" i="4" s="1"/>
  <c r="T519" i="4" a="1"/>
  <c r="T519" i="4" s="1"/>
  <c r="T520" i="4" a="1"/>
  <c r="T520" i="4" s="1"/>
  <c r="T521" i="4" a="1"/>
  <c r="T521" i="4" s="1"/>
  <c r="T522" i="4" a="1"/>
  <c r="T522" i="4" s="1"/>
  <c r="T523" i="4" a="1"/>
  <c r="T523" i="4" s="1"/>
  <c r="T524" i="4" a="1"/>
  <c r="T524" i="4"/>
  <c r="T525" i="4" a="1"/>
  <c r="T525" i="4" s="1"/>
  <c r="T526" i="4" a="1"/>
  <c r="T526" i="4"/>
  <c r="T527" i="4" a="1"/>
  <c r="T527" i="4" s="1"/>
  <c r="T528" i="4" a="1"/>
  <c r="T528" i="4" s="1"/>
  <c r="T529" i="4" a="1"/>
  <c r="T529" i="4" s="1"/>
  <c r="T530" i="4" a="1"/>
  <c r="T530" i="4"/>
  <c r="T531" i="4" a="1"/>
  <c r="T531" i="4" s="1"/>
  <c r="T532" i="4" a="1"/>
  <c r="T532" i="4"/>
  <c r="T533" i="4" a="1"/>
  <c r="T533" i="4" s="1"/>
  <c r="T534" i="4" a="1"/>
  <c r="T534" i="4" s="1"/>
  <c r="T535" i="4" a="1"/>
  <c r="T535" i="4" s="1"/>
  <c r="T536" i="4" a="1"/>
  <c r="T536" i="4" s="1"/>
  <c r="T537" i="4" a="1"/>
  <c r="T537" i="4" s="1"/>
  <c r="T538" i="4" a="1"/>
  <c r="T538" i="4" s="1"/>
  <c r="T539" i="4" a="1"/>
  <c r="T539" i="4" s="1"/>
  <c r="T540" i="4" a="1"/>
  <c r="T540" i="4"/>
  <c r="T541" i="4" a="1"/>
  <c r="T541" i="4" s="1"/>
  <c r="T542" i="4" a="1"/>
  <c r="T542" i="4"/>
  <c r="T543" i="4" a="1"/>
  <c r="T543" i="4" s="1"/>
  <c r="T544" i="4" a="1"/>
  <c r="T544" i="4" s="1"/>
  <c r="T545" i="4" a="1"/>
  <c r="T545" i="4" s="1"/>
  <c r="T546" i="4" a="1"/>
  <c r="T546" i="4"/>
  <c r="T547" i="4" a="1"/>
  <c r="T547" i="4" s="1"/>
  <c r="T548" i="4" a="1"/>
  <c r="T548" i="4"/>
  <c r="T549" i="4" a="1"/>
  <c r="T549" i="4" s="1"/>
  <c r="T550" i="4" a="1"/>
  <c r="T550" i="4" s="1"/>
  <c r="T551" i="4" a="1"/>
  <c r="T551" i="4" s="1"/>
  <c r="T552" i="4" a="1"/>
  <c r="T552" i="4" s="1"/>
  <c r="T553" i="4" a="1"/>
  <c r="T553" i="4" s="1"/>
  <c r="T554" i="4" a="1"/>
  <c r="T554" i="4"/>
  <c r="T555" i="4" a="1"/>
  <c r="T555" i="4" s="1"/>
  <c r="T556" i="4" a="1"/>
  <c r="T556" i="4" s="1"/>
  <c r="T557" i="4" a="1"/>
  <c r="T557" i="4" s="1"/>
  <c r="T558" i="4" a="1"/>
  <c r="T558" i="4" s="1"/>
  <c r="T559" i="4" a="1"/>
  <c r="T559" i="4" s="1"/>
  <c r="T560" i="4" a="1"/>
  <c r="T560" i="4" s="1"/>
  <c r="T561" i="4" a="1"/>
  <c r="T561" i="4" s="1"/>
  <c r="T562" i="4" a="1"/>
  <c r="T562" i="4" s="1"/>
  <c r="T563" i="4" a="1"/>
  <c r="T563" i="4" s="1"/>
  <c r="T564" i="4" a="1"/>
  <c r="T564" i="4" s="1"/>
  <c r="T565" i="4" a="1"/>
  <c r="T565" i="4" s="1"/>
  <c r="T566" i="4" a="1"/>
  <c r="T566" i="4"/>
  <c r="T567" i="4" a="1"/>
  <c r="T567" i="4" s="1"/>
  <c r="T568" i="4" a="1"/>
  <c r="T568" i="4" s="1"/>
  <c r="T569" i="4" a="1"/>
  <c r="T569" i="4" s="1"/>
  <c r="T570" i="4" a="1"/>
  <c r="T570" i="4" s="1"/>
  <c r="T571" i="4" a="1"/>
  <c r="T571" i="4" s="1"/>
  <c r="T572" i="4" a="1"/>
  <c r="T572" i="4" s="1"/>
  <c r="T573" i="4" a="1"/>
  <c r="T573" i="4" s="1"/>
  <c r="T574" i="4" a="1"/>
  <c r="T574" i="4" s="1"/>
  <c r="T575" i="4" a="1"/>
  <c r="T575" i="4" s="1"/>
  <c r="T576" i="4" a="1"/>
  <c r="T576" i="4" s="1"/>
  <c r="T577" i="4" a="1"/>
  <c r="T577" i="4" s="1"/>
  <c r="T578" i="4" a="1"/>
  <c r="T578" i="4" s="1"/>
  <c r="T579" i="4" a="1"/>
  <c r="T579" i="4" s="1"/>
  <c r="T580" i="4" a="1"/>
  <c r="T580" i="4"/>
  <c r="T581" i="4" a="1"/>
  <c r="T581" i="4" s="1"/>
  <c r="T582" i="4" a="1"/>
  <c r="T582" i="4" s="1"/>
  <c r="T583" i="4" a="1"/>
  <c r="T583" i="4" s="1"/>
  <c r="T584" i="4" a="1"/>
  <c r="T584" i="4" s="1"/>
  <c r="T585" i="4" a="1"/>
  <c r="T585" i="4" s="1"/>
  <c r="T586" i="4" a="1"/>
  <c r="T586" i="4" s="1"/>
  <c r="T587" i="4" a="1"/>
  <c r="T587" i="4" s="1"/>
  <c r="T588" i="4" a="1"/>
  <c r="T588" i="4" s="1"/>
  <c r="T589" i="4" a="1"/>
  <c r="T589" i="4" s="1"/>
  <c r="T590" i="4" a="1"/>
  <c r="T590" i="4"/>
  <c r="T591" i="4" a="1"/>
  <c r="T591" i="4" s="1"/>
  <c r="T592" i="4" a="1"/>
  <c r="T592" i="4" s="1"/>
  <c r="T593" i="4" a="1"/>
  <c r="T593" i="4" s="1"/>
  <c r="T594" i="4" a="1"/>
  <c r="T594" i="4" s="1"/>
  <c r="T595" i="4" a="1"/>
  <c r="T595" i="4" s="1"/>
  <c r="T596" i="4" a="1"/>
  <c r="T596" i="4" s="1"/>
  <c r="T597" i="4" a="1"/>
  <c r="T597" i="4" s="1"/>
  <c r="T598" i="4" a="1"/>
  <c r="T598" i="4"/>
  <c r="T599" i="4" a="1"/>
  <c r="T599" i="4" s="1"/>
  <c r="T600" i="4" a="1"/>
  <c r="T600" i="4" s="1"/>
  <c r="T601" i="4" a="1"/>
  <c r="T601" i="4" s="1"/>
  <c r="T602" i="4" a="1"/>
  <c r="T602" i="4" s="1"/>
  <c r="T603" i="4" a="1"/>
  <c r="T603" i="4" s="1"/>
  <c r="T604" i="4" a="1"/>
  <c r="T604" i="4" s="1"/>
  <c r="T605" i="4" a="1"/>
  <c r="T605" i="4" s="1"/>
  <c r="T606" i="4" a="1"/>
  <c r="T606" i="4" s="1"/>
  <c r="T607" i="4" a="1"/>
  <c r="T607" i="4" s="1"/>
  <c r="T608" i="4" a="1"/>
  <c r="T608" i="4" s="1"/>
  <c r="T609" i="4" a="1"/>
  <c r="T609" i="4" s="1"/>
  <c r="T610" i="4" a="1"/>
  <c r="T610" i="4" s="1"/>
  <c r="T611" i="4" a="1"/>
  <c r="T611" i="4" s="1"/>
  <c r="T612" i="4" a="1"/>
  <c r="T612" i="4" s="1"/>
  <c r="T613" i="4" a="1"/>
  <c r="T613" i="4" s="1"/>
  <c r="T614" i="4" a="1"/>
  <c r="T614" i="4" s="1"/>
  <c r="T615" i="4" a="1"/>
  <c r="T615" i="4" s="1"/>
  <c r="T616" i="4" a="1"/>
  <c r="T616" i="4" s="1"/>
  <c r="T617" i="4" a="1"/>
  <c r="T617" i="4" s="1"/>
  <c r="T618" i="4" a="1"/>
  <c r="T618" i="4" s="1"/>
  <c r="T619" i="4" a="1"/>
  <c r="T619" i="4" s="1"/>
  <c r="T620" i="4" a="1"/>
  <c r="T620" i="4"/>
  <c r="T621" i="4" a="1"/>
  <c r="T621" i="4" s="1"/>
  <c r="T622" i="4" a="1"/>
  <c r="T622" i="4" s="1"/>
  <c r="T623" i="4" a="1"/>
  <c r="T623" i="4" s="1"/>
  <c r="T624" i="4" a="1"/>
  <c r="T624" i="4" s="1"/>
  <c r="T625" i="4" a="1"/>
  <c r="T625" i="4" s="1"/>
  <c r="T626" i="4" a="1"/>
  <c r="T626" i="4"/>
  <c r="T627" i="4" a="1"/>
  <c r="T627" i="4" s="1"/>
  <c r="T628" i="4" a="1"/>
  <c r="T628" i="4" s="1"/>
  <c r="T629" i="4" a="1"/>
  <c r="T629" i="4" s="1"/>
  <c r="T630" i="4" a="1"/>
  <c r="T630" i="4" s="1"/>
  <c r="T631" i="4" a="1"/>
  <c r="T631" i="4" s="1"/>
  <c r="T632" i="4" a="1"/>
  <c r="T632" i="4" s="1"/>
  <c r="T633" i="4" a="1"/>
  <c r="T633" i="4" s="1"/>
  <c r="T634" i="4" a="1"/>
  <c r="T634" i="4" s="1"/>
  <c r="T635" i="4" a="1"/>
  <c r="T635" i="4" s="1"/>
  <c r="T636" i="4" a="1"/>
  <c r="T636" i="4" s="1"/>
  <c r="T637" i="4" a="1"/>
  <c r="T637" i="4" s="1"/>
  <c r="T638" i="4" a="1"/>
  <c r="T638" i="4"/>
  <c r="T639" i="4" a="1"/>
  <c r="T639" i="4" s="1"/>
  <c r="T640" i="4" a="1"/>
  <c r="T640" i="4" s="1"/>
  <c r="T641" i="4" a="1"/>
  <c r="T641" i="4" s="1"/>
  <c r="T642" i="4" a="1"/>
  <c r="T642" i="4" s="1"/>
  <c r="T643" i="4" a="1"/>
  <c r="T643" i="4" s="1"/>
  <c r="T644" i="4" a="1"/>
  <c r="T644" i="4" s="1"/>
  <c r="T645" i="4" a="1"/>
  <c r="T645" i="4" s="1"/>
  <c r="T646" i="4" a="1"/>
  <c r="T646" i="4" s="1"/>
  <c r="T647" i="4" a="1"/>
  <c r="T647" i="4" s="1"/>
  <c r="T648" i="4" a="1"/>
  <c r="T648" i="4" s="1"/>
  <c r="T649" i="4" a="1"/>
  <c r="T649" i="4" s="1"/>
  <c r="T650" i="4" a="1"/>
  <c r="T650" i="4" s="1"/>
  <c r="T651" i="4" a="1"/>
  <c r="T651" i="4" s="1"/>
  <c r="T652" i="4" a="1"/>
  <c r="T652" i="4"/>
  <c r="T653" i="4" a="1"/>
  <c r="T653" i="4" s="1"/>
  <c r="T654" i="4" a="1"/>
  <c r="T654" i="4"/>
  <c r="T655" i="4" a="1"/>
  <c r="T655" i="4" s="1"/>
  <c r="T656" i="4" a="1"/>
  <c r="T656" i="4" s="1"/>
  <c r="T657" i="4" a="1"/>
  <c r="T657" i="4" s="1"/>
  <c r="T658" i="4" a="1"/>
  <c r="T658" i="4"/>
  <c r="T659" i="4" a="1"/>
  <c r="T659" i="4" s="1"/>
  <c r="T660" i="4" a="1"/>
  <c r="T660" i="4" s="1"/>
  <c r="T661" i="4" a="1"/>
  <c r="T661" i="4" s="1"/>
  <c r="T662" i="4" a="1"/>
  <c r="T662" i="4" s="1"/>
  <c r="T663" i="4" a="1"/>
  <c r="T663" i="4" s="1"/>
  <c r="T664" i="4" a="1"/>
  <c r="T664" i="4" s="1"/>
  <c r="T665" i="4" a="1"/>
  <c r="T665" i="4" s="1"/>
  <c r="T666" i="4" a="1"/>
  <c r="T666" i="4" s="1"/>
  <c r="T667" i="4" a="1"/>
  <c r="T667" i="4" s="1"/>
  <c r="T668" i="4" a="1"/>
  <c r="T668" i="4"/>
  <c r="T669" i="4" a="1"/>
  <c r="T669" i="4" s="1"/>
  <c r="T670" i="4" a="1"/>
  <c r="T670" i="4"/>
  <c r="T671" i="4" a="1"/>
  <c r="T671" i="4" s="1"/>
  <c r="T672" i="4" a="1"/>
  <c r="T672" i="4" s="1"/>
  <c r="T673" i="4" a="1"/>
  <c r="T673" i="4" s="1"/>
  <c r="T674" i="4" a="1"/>
  <c r="T674" i="4"/>
  <c r="T675" i="4" a="1"/>
  <c r="T675" i="4" s="1"/>
  <c r="T676" i="4" a="1"/>
  <c r="T676" i="4"/>
  <c r="T677" i="4" a="1"/>
  <c r="T677" i="4" s="1"/>
  <c r="T678" i="4" a="1"/>
  <c r="T678" i="4" s="1"/>
  <c r="T679" i="4" a="1"/>
  <c r="T679" i="4" s="1"/>
  <c r="T680" i="4" a="1"/>
  <c r="T680" i="4" s="1"/>
  <c r="T681" i="4" a="1"/>
  <c r="T681" i="4" s="1"/>
  <c r="T682" i="4" a="1"/>
  <c r="T682" i="4" s="1"/>
  <c r="T683" i="4" a="1"/>
  <c r="T683" i="4" s="1"/>
  <c r="T684" i="4" a="1"/>
  <c r="T684" i="4" s="1"/>
  <c r="T685" i="4" a="1"/>
  <c r="T685" i="4" s="1"/>
  <c r="T686" i="4" a="1"/>
  <c r="T686" i="4" s="1"/>
  <c r="T687" i="4" a="1"/>
  <c r="T687" i="4" s="1"/>
  <c r="T688" i="4" a="1"/>
  <c r="T688" i="4" s="1"/>
  <c r="T689" i="4" a="1"/>
  <c r="T689" i="4" s="1"/>
  <c r="T690" i="4" a="1"/>
  <c r="T690" i="4" s="1"/>
  <c r="T691" i="4" a="1"/>
  <c r="T691" i="4" s="1"/>
  <c r="T692" i="4" a="1"/>
  <c r="T692" i="4" s="1"/>
  <c r="T693" i="4" a="1"/>
  <c r="T693" i="4" s="1"/>
  <c r="T694" i="4" a="1"/>
  <c r="T694" i="4" s="1"/>
  <c r="T695" i="4" a="1"/>
  <c r="T695" i="4" s="1"/>
  <c r="T696" i="4" a="1"/>
  <c r="T696" i="4" s="1"/>
  <c r="T697" i="4" a="1"/>
  <c r="T697" i="4" s="1"/>
  <c r="T698" i="4" a="1"/>
  <c r="T698" i="4" s="1"/>
  <c r="T699" i="4" a="1"/>
  <c r="T699" i="4" s="1"/>
  <c r="T700" i="4" a="1"/>
  <c r="T700" i="4" s="1"/>
  <c r="T701" i="4" a="1"/>
  <c r="T701" i="4" s="1"/>
  <c r="T702" i="4" a="1"/>
  <c r="T702" i="4"/>
  <c r="T703" i="4" a="1"/>
  <c r="T703" i="4" s="1"/>
  <c r="T704" i="4" a="1"/>
  <c r="T704" i="4" s="1"/>
  <c r="T705" i="4" a="1"/>
  <c r="T705" i="4" s="1"/>
  <c r="T706" i="4" a="1"/>
  <c r="T706" i="4" s="1"/>
  <c r="T707" i="4" a="1"/>
  <c r="T707" i="4" s="1"/>
  <c r="T708" i="4" a="1"/>
  <c r="T708" i="4" s="1"/>
  <c r="T709" i="4" a="1"/>
  <c r="T709" i="4" s="1"/>
  <c r="T710" i="4" a="1"/>
  <c r="T710" i="4" s="1"/>
  <c r="T711" i="4" a="1"/>
  <c r="T711" i="4" s="1"/>
  <c r="T712" i="4" a="1"/>
  <c r="T712" i="4" s="1"/>
  <c r="T713" i="4" a="1"/>
  <c r="T713" i="4" s="1"/>
  <c r="T714" i="4" a="1"/>
  <c r="T714" i="4" s="1"/>
  <c r="T715" i="4" a="1"/>
  <c r="T715" i="4" s="1"/>
  <c r="T716" i="4" a="1"/>
  <c r="T716" i="4" s="1"/>
  <c r="T717" i="4" a="1"/>
  <c r="T717" i="4" s="1"/>
  <c r="T718" i="4" a="1"/>
  <c r="T718" i="4" s="1"/>
  <c r="T719" i="4" a="1"/>
  <c r="T719" i="4" s="1"/>
  <c r="T720" i="4" a="1"/>
  <c r="T720" i="4" s="1"/>
  <c r="T721" i="4" a="1"/>
  <c r="T721" i="4" s="1"/>
  <c r="T722" i="4" a="1"/>
  <c r="T722" i="4" s="1"/>
  <c r="T723" i="4" a="1"/>
  <c r="T723" i="4" s="1"/>
  <c r="T724" i="4" a="1"/>
  <c r="T724" i="4" s="1"/>
  <c r="T725" i="4" a="1"/>
  <c r="T725" i="4" s="1"/>
  <c r="T726" i="4" a="1"/>
  <c r="T726" i="4" s="1"/>
  <c r="T727" i="4" a="1"/>
  <c r="T727" i="4" s="1"/>
  <c r="T728" i="4" a="1"/>
  <c r="T728" i="4" s="1"/>
  <c r="T729" i="4" a="1"/>
  <c r="T729" i="4" s="1"/>
  <c r="T730" i="4" a="1"/>
  <c r="T730" i="4" s="1"/>
  <c r="T731" i="4" a="1"/>
  <c r="T731" i="4" s="1"/>
  <c r="T732" i="4" a="1"/>
  <c r="T732" i="4"/>
  <c r="T733" i="4" a="1"/>
  <c r="T733" i="4" s="1"/>
  <c r="T734" i="4" a="1"/>
  <c r="T734" i="4"/>
  <c r="T735" i="4" a="1"/>
  <c r="T735" i="4" s="1"/>
  <c r="T736" i="4" a="1"/>
  <c r="T736" i="4" s="1"/>
  <c r="T737" i="4" a="1"/>
  <c r="T737" i="4" s="1"/>
  <c r="T738" i="4" a="1"/>
  <c r="T738" i="4"/>
  <c r="T739" i="4" a="1"/>
  <c r="T739" i="4" s="1"/>
  <c r="T740" i="4" a="1"/>
  <c r="T740" i="4"/>
  <c r="T741" i="4" a="1"/>
  <c r="T741" i="4" s="1"/>
  <c r="T742" i="4" a="1"/>
  <c r="T742" i="4" s="1"/>
  <c r="T743" i="4" a="1"/>
  <c r="T743" i="4" s="1"/>
  <c r="T744" i="4" a="1"/>
  <c r="T744" i="4" s="1"/>
  <c r="T745" i="4" a="1"/>
  <c r="T745" i="4" s="1"/>
  <c r="T746" i="4" a="1"/>
  <c r="T746" i="4" s="1"/>
  <c r="T747" i="4" a="1"/>
  <c r="T747" i="4" s="1"/>
  <c r="T748" i="4" a="1"/>
  <c r="T748" i="4" s="1"/>
  <c r="T749" i="4" a="1"/>
  <c r="T749" i="4" s="1"/>
  <c r="T750" i="4" a="1"/>
  <c r="T750" i="4" s="1"/>
  <c r="T751" i="4" a="1"/>
  <c r="T751" i="4" s="1"/>
  <c r="T752" i="4" a="1"/>
  <c r="T752" i="4" s="1"/>
  <c r="T753" i="4" a="1"/>
  <c r="T753" i="4" s="1"/>
  <c r="T754" i="4" a="1"/>
  <c r="T754" i="4" s="1"/>
  <c r="T755" i="4" a="1"/>
  <c r="T755" i="4" s="1"/>
  <c r="T756" i="4" a="1"/>
  <c r="T756" i="4" s="1"/>
  <c r="T757" i="4" a="1"/>
  <c r="T757" i="4" s="1"/>
  <c r="T758" i="4" a="1"/>
  <c r="T758" i="4"/>
  <c r="T759" i="4" a="1"/>
  <c r="T759" i="4" s="1"/>
  <c r="T760" i="4" a="1"/>
  <c r="T760" i="4" s="1"/>
  <c r="T761" i="4" a="1"/>
  <c r="T761" i="4" s="1"/>
  <c r="T762" i="4" a="1"/>
  <c r="T762" i="4" s="1"/>
  <c r="T763" i="4" a="1"/>
  <c r="T763" i="4" s="1"/>
  <c r="T764" i="4" a="1"/>
  <c r="T764" i="4" s="1"/>
  <c r="T765" i="4" a="1"/>
  <c r="T765" i="4" s="1"/>
  <c r="T766" i="4" a="1"/>
  <c r="T766" i="4"/>
  <c r="T767" i="4" a="1"/>
  <c r="T767" i="4" s="1"/>
  <c r="T768" i="4" a="1"/>
  <c r="T768" i="4" s="1"/>
  <c r="T769" i="4" a="1"/>
  <c r="T769" i="4" s="1"/>
  <c r="T770" i="4" a="1"/>
  <c r="T770" i="4" s="1"/>
  <c r="T771" i="4" a="1"/>
  <c r="T771" i="4" s="1"/>
  <c r="T772" i="4" a="1"/>
  <c r="T772" i="4"/>
  <c r="T773" i="4" a="1"/>
  <c r="T773" i="4" s="1"/>
  <c r="T774" i="4" a="1"/>
  <c r="T774" i="4" s="1"/>
  <c r="T775" i="4" a="1"/>
  <c r="T775" i="4" s="1"/>
  <c r="T776" i="4" a="1"/>
  <c r="T776" i="4" s="1"/>
  <c r="T777" i="4" a="1"/>
  <c r="T777" i="4" s="1"/>
  <c r="T778" i="4" a="1"/>
  <c r="T778" i="4" s="1"/>
  <c r="T779" i="4" a="1"/>
  <c r="T779" i="4" s="1"/>
  <c r="T780" i="4" a="1"/>
  <c r="T780" i="4" s="1"/>
  <c r="T781" i="4" a="1"/>
  <c r="T781" i="4" s="1"/>
  <c r="T782" i="4" a="1"/>
  <c r="T782" i="4" s="1"/>
  <c r="T783" i="4" a="1"/>
  <c r="T783" i="4" s="1"/>
  <c r="T784" i="4" a="1"/>
  <c r="T784" i="4" s="1"/>
  <c r="T785" i="4" a="1"/>
  <c r="T785" i="4" s="1"/>
  <c r="T786" i="4" a="1"/>
  <c r="T786" i="4" s="1"/>
  <c r="T787" i="4" a="1"/>
  <c r="T787" i="4" s="1"/>
  <c r="T788" i="4" a="1"/>
  <c r="T788" i="4" s="1"/>
  <c r="T789" i="4" a="1"/>
  <c r="T789" i="4" s="1"/>
  <c r="T790" i="4" a="1"/>
  <c r="T790" i="4"/>
  <c r="T791" i="4" a="1"/>
  <c r="T791" i="4" s="1"/>
  <c r="T792" i="4" a="1"/>
  <c r="T792" i="4" s="1"/>
  <c r="T793" i="4" a="1"/>
  <c r="T793" i="4" s="1"/>
  <c r="T794" i="4" a="1"/>
  <c r="T794" i="4" s="1"/>
  <c r="T795" i="4" a="1"/>
  <c r="T795" i="4" s="1"/>
  <c r="T796" i="4" a="1"/>
  <c r="T796" i="4" s="1"/>
  <c r="T797" i="4" a="1"/>
  <c r="T797" i="4" s="1"/>
  <c r="T798" i="4" a="1"/>
  <c r="T798" i="4"/>
  <c r="T799" i="4" a="1"/>
  <c r="T799" i="4" s="1"/>
  <c r="T800" i="4" a="1"/>
  <c r="T800" i="4" s="1"/>
  <c r="T801" i="4" a="1"/>
  <c r="T801" i="4" s="1"/>
  <c r="T802" i="4" a="1"/>
  <c r="T802" i="4" s="1"/>
  <c r="T803" i="4" a="1"/>
  <c r="T803" i="4" s="1"/>
  <c r="T804" i="4" a="1"/>
  <c r="T804" i="4" s="1"/>
  <c r="T805" i="4" a="1"/>
  <c r="T805" i="4" s="1"/>
  <c r="T806" i="4" a="1"/>
  <c r="T806" i="4" s="1"/>
  <c r="T807" i="4" a="1"/>
  <c r="T807" i="4" s="1"/>
  <c r="T808" i="4" a="1"/>
  <c r="T808" i="4" s="1"/>
  <c r="T809" i="4" a="1"/>
  <c r="T809" i="4" s="1"/>
  <c r="T810" i="4" a="1"/>
  <c r="T810" i="4" s="1"/>
  <c r="T811" i="4" a="1"/>
  <c r="T811" i="4" s="1"/>
  <c r="T812" i="4" a="1"/>
  <c r="T812" i="4" s="1"/>
  <c r="T813" i="4" a="1"/>
  <c r="T813" i="4" s="1"/>
  <c r="T814" i="4" a="1"/>
  <c r="T814" i="4" s="1"/>
  <c r="T815" i="4" a="1"/>
  <c r="T815" i="4" s="1"/>
  <c r="T816" i="4" a="1"/>
  <c r="T816" i="4" s="1"/>
  <c r="T817" i="4" a="1"/>
  <c r="T817" i="4" s="1"/>
  <c r="T818" i="4" a="1"/>
  <c r="T818" i="4" s="1"/>
  <c r="T819" i="4" a="1"/>
  <c r="T819" i="4" s="1"/>
  <c r="T820" i="4" a="1"/>
  <c r="T820" i="4" s="1"/>
  <c r="T821" i="4" a="1"/>
  <c r="T821" i="4" s="1"/>
  <c r="T822" i="4" a="1"/>
  <c r="T822" i="4"/>
  <c r="T823" i="4" a="1"/>
  <c r="T823" i="4" s="1"/>
  <c r="T824" i="4" a="1"/>
  <c r="T824" i="4" s="1"/>
  <c r="T825" i="4" a="1"/>
  <c r="T825" i="4" s="1"/>
  <c r="T826" i="4" a="1"/>
  <c r="T826" i="4" s="1"/>
  <c r="T827" i="4" a="1"/>
  <c r="T827" i="4" s="1"/>
  <c r="T828" i="4" a="1"/>
  <c r="T828" i="4" s="1"/>
  <c r="T829" i="4" a="1"/>
  <c r="T829" i="4" s="1"/>
  <c r="T830" i="4" a="1"/>
  <c r="T830" i="4" s="1"/>
  <c r="T831" i="4" a="1"/>
  <c r="T831" i="4" s="1"/>
  <c r="T832" i="4" a="1"/>
  <c r="T832" i="4" s="1"/>
  <c r="T833" i="4" a="1"/>
  <c r="T833" i="4" s="1"/>
  <c r="T834" i="4" a="1"/>
  <c r="T834" i="4" s="1"/>
  <c r="T835" i="4" a="1"/>
  <c r="T835" i="4" s="1"/>
  <c r="T836" i="4" a="1"/>
  <c r="T836" i="4"/>
  <c r="T837" i="4" a="1"/>
  <c r="T837" i="4" s="1"/>
  <c r="T838" i="4" a="1"/>
  <c r="T838" i="4" s="1"/>
  <c r="T839" i="4" a="1"/>
  <c r="T839" i="4" s="1"/>
  <c r="T840" i="4" a="1"/>
  <c r="T840" i="4" s="1"/>
  <c r="T841" i="4" a="1"/>
  <c r="T841" i="4" s="1"/>
  <c r="T842" i="4" a="1"/>
  <c r="T842" i="4" s="1"/>
  <c r="T843" i="4" a="1"/>
  <c r="T843" i="4" s="1"/>
  <c r="T844" i="4" a="1"/>
  <c r="T844" i="4" s="1"/>
  <c r="T845" i="4" a="1"/>
  <c r="T845" i="4" s="1"/>
  <c r="T846" i="4" a="1"/>
  <c r="T846" i="4" s="1"/>
  <c r="T847" i="4" a="1"/>
  <c r="T847" i="4" s="1"/>
  <c r="T848" i="4" a="1"/>
  <c r="T848" i="4" s="1"/>
  <c r="T849" i="4" a="1"/>
  <c r="T849" i="4" s="1"/>
  <c r="T850" i="4" a="1"/>
  <c r="T850" i="4" s="1"/>
  <c r="T851" i="4" a="1"/>
  <c r="T851" i="4" s="1"/>
  <c r="T852" i="4" a="1"/>
  <c r="T852" i="4" s="1"/>
  <c r="T853" i="4" a="1"/>
  <c r="T853" i="4" s="1"/>
  <c r="T854" i="4" a="1"/>
  <c r="T854" i="4"/>
  <c r="T855" i="4" a="1"/>
  <c r="T855" i="4" s="1"/>
  <c r="T856" i="4" a="1"/>
  <c r="T856" i="4" s="1"/>
  <c r="T857" i="4" a="1"/>
  <c r="T857" i="4" s="1"/>
  <c r="T858" i="4" a="1"/>
  <c r="T858" i="4" s="1"/>
  <c r="T859" i="4" a="1"/>
  <c r="T859" i="4" s="1"/>
  <c r="T860" i="4" a="1"/>
  <c r="T860" i="4" s="1"/>
  <c r="T861" i="4" a="1"/>
  <c r="T861" i="4" s="1"/>
  <c r="T862" i="4" a="1"/>
  <c r="T862" i="4"/>
  <c r="T863" i="4" a="1"/>
  <c r="T863" i="4" s="1"/>
  <c r="T864" i="4" a="1"/>
  <c r="T864" i="4" s="1"/>
  <c r="T865" i="4" a="1"/>
  <c r="T865" i="4" s="1"/>
  <c r="T866" i="4" a="1"/>
  <c r="T866" i="4" s="1"/>
  <c r="T867" i="4" a="1"/>
  <c r="T867" i="4" s="1"/>
  <c r="T868" i="4" a="1"/>
  <c r="T868" i="4"/>
  <c r="T869" i="4" a="1"/>
  <c r="T869" i="4" s="1"/>
  <c r="T870" i="4" a="1"/>
  <c r="T870" i="4" s="1"/>
  <c r="T871" i="4" a="1"/>
  <c r="T871" i="4" s="1"/>
  <c r="T872" i="4" a="1"/>
  <c r="T872" i="4" s="1"/>
  <c r="T873" i="4" a="1"/>
  <c r="T873" i="4" s="1"/>
  <c r="T874" i="4" a="1"/>
  <c r="T874" i="4" s="1"/>
  <c r="T875" i="4" a="1"/>
  <c r="T875" i="4" s="1"/>
  <c r="T876" i="4" a="1"/>
  <c r="T876" i="4" s="1"/>
  <c r="T877" i="4" a="1"/>
  <c r="T877" i="4" s="1"/>
  <c r="T878" i="4" a="1"/>
  <c r="T878" i="4" s="1"/>
  <c r="T879" i="4" a="1"/>
  <c r="T879" i="4" s="1"/>
  <c r="T880" i="4" a="1"/>
  <c r="T880" i="4" s="1"/>
  <c r="T881" i="4" a="1"/>
  <c r="T881" i="4" s="1"/>
  <c r="T882" i="4" a="1"/>
  <c r="T882" i="4" s="1"/>
  <c r="T883" i="4" a="1"/>
  <c r="T883" i="4" s="1"/>
  <c r="T884" i="4" a="1"/>
  <c r="T884" i="4" s="1"/>
  <c r="T885" i="4" a="1"/>
  <c r="T885" i="4" s="1"/>
  <c r="T886" i="4" a="1"/>
  <c r="T886" i="4" s="1"/>
  <c r="T887" i="4" a="1"/>
  <c r="T887" i="4" s="1"/>
  <c r="T888" i="4" a="1"/>
  <c r="T888" i="4" s="1"/>
  <c r="T889" i="4" a="1"/>
  <c r="T889" i="4" s="1"/>
  <c r="T890" i="4" a="1"/>
  <c r="T890" i="4" s="1"/>
  <c r="T891" i="4" a="1"/>
  <c r="T891" i="4" s="1"/>
  <c r="T892" i="4" a="1"/>
  <c r="T892" i="4" s="1"/>
  <c r="T893" i="4" a="1"/>
  <c r="T893" i="4" s="1"/>
  <c r="T894" i="4" a="1"/>
  <c r="T894" i="4" s="1"/>
  <c r="T895" i="4" a="1"/>
  <c r="T895" i="4" s="1"/>
  <c r="T896" i="4" a="1"/>
  <c r="T896" i="4" s="1"/>
  <c r="T897" i="4" a="1"/>
  <c r="T897" i="4" s="1"/>
  <c r="T898" i="4" a="1"/>
  <c r="T898" i="4" s="1"/>
  <c r="T899" i="4" a="1"/>
  <c r="T899" i="4"/>
  <c r="T900" i="4" a="1"/>
  <c r="T900" i="4" s="1"/>
  <c r="T901" i="4" a="1"/>
  <c r="T901" i="4"/>
  <c r="T902" i="4" a="1"/>
  <c r="T902" i="4" s="1"/>
  <c r="T903" i="4" a="1"/>
  <c r="T903" i="4" s="1"/>
  <c r="T904" i="4" a="1"/>
  <c r="T904" i="4" s="1"/>
  <c r="T905" i="4" a="1"/>
  <c r="T905" i="4" s="1"/>
  <c r="T906" i="4" a="1"/>
  <c r="T906" i="4" s="1"/>
  <c r="T907" i="4" a="1"/>
  <c r="T907" i="4" s="1"/>
  <c r="T908" i="4" a="1"/>
  <c r="T908" i="4" s="1"/>
  <c r="T909" i="4" a="1"/>
  <c r="T909" i="4"/>
  <c r="T910" i="4" a="1"/>
  <c r="T910" i="4" s="1"/>
  <c r="T911" i="4" a="1"/>
  <c r="T911" i="4"/>
  <c r="T912" i="4" a="1"/>
  <c r="T912" i="4" s="1"/>
  <c r="T913" i="4" a="1"/>
  <c r="T913" i="4"/>
  <c r="T914" i="4" a="1"/>
  <c r="T914" i="4" s="1"/>
  <c r="T915" i="4" a="1"/>
  <c r="T915" i="4" s="1"/>
  <c r="T916" i="4" a="1"/>
  <c r="T916" i="4" s="1"/>
  <c r="T917" i="4" a="1"/>
  <c r="T917" i="4"/>
  <c r="T918" i="4" a="1"/>
  <c r="T918" i="4" s="1"/>
  <c r="T919" i="4" a="1"/>
  <c r="T919" i="4"/>
  <c r="T920" i="4" a="1"/>
  <c r="T920" i="4" s="1"/>
  <c r="T921" i="4" a="1"/>
  <c r="T921" i="4" s="1"/>
  <c r="T922" i="4" a="1"/>
  <c r="T922" i="4" s="1"/>
  <c r="T923" i="4" a="1"/>
  <c r="T923" i="4" s="1"/>
  <c r="T924" i="4" a="1"/>
  <c r="T924" i="4" s="1"/>
  <c r="T925" i="4" a="1"/>
  <c r="T925" i="4" s="1"/>
  <c r="T926" i="4" a="1"/>
  <c r="T926" i="4" s="1"/>
  <c r="T927" i="4" a="1"/>
  <c r="T927" i="4" s="1"/>
  <c r="T928" i="4" a="1"/>
  <c r="T928" i="4" s="1"/>
  <c r="T929" i="4" a="1"/>
  <c r="T929" i="4"/>
  <c r="T930" i="4" a="1"/>
  <c r="T930" i="4" s="1"/>
  <c r="T931" i="4" a="1"/>
  <c r="T931" i="4" s="1"/>
  <c r="T932" i="4" a="1"/>
  <c r="T932" i="4" s="1"/>
  <c r="T933" i="4" a="1"/>
  <c r="T933" i="4" s="1"/>
  <c r="T934" i="4" a="1"/>
  <c r="T934" i="4" s="1"/>
  <c r="T935" i="4" a="1"/>
  <c r="T935" i="4" s="1"/>
  <c r="T936" i="4" a="1"/>
  <c r="T936" i="4" s="1"/>
  <c r="T937" i="4" a="1"/>
  <c r="T937" i="4" s="1"/>
  <c r="T938" i="4" a="1"/>
  <c r="T938" i="4" s="1"/>
  <c r="T939" i="4" a="1"/>
  <c r="T939" i="4" s="1"/>
  <c r="T940" i="4" a="1"/>
  <c r="T940" i="4" s="1"/>
  <c r="T941" i="4" a="1"/>
  <c r="T941" i="4" s="1"/>
  <c r="T942" i="4" a="1"/>
  <c r="T942" i="4" s="1"/>
  <c r="T943" i="4" a="1"/>
  <c r="T943" i="4"/>
  <c r="T944" i="4" a="1"/>
  <c r="T944" i="4" s="1"/>
  <c r="T945" i="4" a="1"/>
  <c r="T945" i="4"/>
  <c r="T946" i="4" a="1"/>
  <c r="T946" i="4" s="1"/>
  <c r="T947" i="4" a="1"/>
  <c r="T947" i="4" s="1"/>
  <c r="T948" i="4" a="1"/>
  <c r="T948" i="4" s="1"/>
  <c r="T949" i="4" a="1"/>
  <c r="T949" i="4"/>
  <c r="T950" i="4" a="1"/>
  <c r="T950" i="4" s="1"/>
  <c r="T951" i="4" a="1"/>
  <c r="T951" i="4"/>
  <c r="T952" i="4" a="1"/>
  <c r="T952" i="4" s="1"/>
  <c r="T953" i="4" a="1"/>
  <c r="T953" i="4" s="1"/>
  <c r="T954" i="4" a="1"/>
  <c r="T954" i="4" s="1"/>
  <c r="T955" i="4" a="1"/>
  <c r="T955" i="4" s="1"/>
  <c r="T956" i="4" a="1"/>
  <c r="T956" i="4" s="1"/>
  <c r="T957" i="4" a="1"/>
  <c r="T957" i="4"/>
  <c r="T958" i="4" a="1"/>
  <c r="T958" i="4" s="1"/>
  <c r="T959" i="4" a="1"/>
  <c r="T959" i="4" s="1"/>
  <c r="T960" i="4" a="1"/>
  <c r="T960" i="4" s="1"/>
  <c r="T961" i="4" a="1"/>
  <c r="T961" i="4"/>
  <c r="T962" i="4" a="1"/>
  <c r="T962" i="4" s="1"/>
  <c r="T963" i="4" a="1"/>
  <c r="T963" i="4" s="1"/>
  <c r="T964" i="4" a="1"/>
  <c r="T964" i="4" s="1"/>
  <c r="T965" i="4" a="1"/>
  <c r="T965" i="4" s="1"/>
  <c r="T966" i="4" a="1"/>
  <c r="T966" i="4" s="1"/>
  <c r="T967" i="4" a="1"/>
  <c r="T967" i="4"/>
  <c r="T968" i="4" a="1"/>
  <c r="T968" i="4" s="1"/>
  <c r="T969" i="4" a="1"/>
  <c r="T969" i="4" s="1"/>
  <c r="T970" i="4" a="1"/>
  <c r="T970" i="4" s="1"/>
  <c r="T971" i="4" a="1"/>
  <c r="T971" i="4" s="1"/>
  <c r="T972" i="4" a="1"/>
  <c r="T972" i="4" s="1"/>
  <c r="T973" i="4" a="1"/>
  <c r="T973" i="4"/>
  <c r="T974" i="4" a="1"/>
  <c r="T974" i="4" s="1"/>
  <c r="T975" i="4" a="1"/>
  <c r="T975" i="4" s="1"/>
  <c r="T976" i="4" a="1"/>
  <c r="T976" i="4" s="1"/>
  <c r="T977" i="4" a="1"/>
  <c r="T977" i="4"/>
  <c r="T978" i="4" a="1"/>
  <c r="T978" i="4" s="1"/>
  <c r="T979" i="4" a="1"/>
  <c r="T979" i="4" s="1"/>
  <c r="T980" i="4" a="1"/>
  <c r="T980" i="4" s="1"/>
  <c r="T981" i="4" a="1"/>
  <c r="T981" i="4" s="1"/>
  <c r="T982" i="4" a="1"/>
  <c r="T982" i="4" s="1"/>
  <c r="T983" i="4" a="1"/>
  <c r="T983" i="4"/>
  <c r="T984" i="4" a="1"/>
  <c r="T984" i="4" s="1"/>
  <c r="T985" i="4" a="1"/>
  <c r="T985" i="4" s="1"/>
  <c r="T986" i="4" a="1"/>
  <c r="T986" i="4" s="1"/>
  <c r="T987" i="4" a="1"/>
  <c r="T987" i="4" s="1"/>
  <c r="T988" i="4" a="1"/>
  <c r="T988" i="4" s="1"/>
  <c r="T989" i="4" a="1"/>
  <c r="T989" i="4"/>
  <c r="T990" i="4" a="1"/>
  <c r="T990" i="4" s="1"/>
  <c r="T991" i="4" a="1"/>
  <c r="T991" i="4" s="1"/>
  <c r="T992" i="4" a="1"/>
  <c r="T992" i="4" s="1"/>
  <c r="T993" i="4" a="1"/>
  <c r="T993" i="4"/>
  <c r="T994" i="4" a="1"/>
  <c r="T994" i="4" s="1"/>
  <c r="T995" i="4" a="1"/>
  <c r="T995" i="4" s="1"/>
  <c r="T996" i="4" a="1"/>
  <c r="T996" i="4" s="1"/>
  <c r="T997" i="4" a="1"/>
  <c r="T997" i="4" s="1"/>
  <c r="T998" i="4" a="1"/>
  <c r="T998" i="4" s="1"/>
  <c r="T999" i="4" a="1"/>
  <c r="T999" i="4"/>
  <c r="T1000" i="4" a="1"/>
  <c r="T1000" i="4" s="1"/>
  <c r="T1001" i="4" a="1"/>
  <c r="T1001" i="4"/>
  <c r="T1002" i="4" a="1"/>
  <c r="T1002" i="4" s="1"/>
  <c r="T1003" i="4" a="1"/>
  <c r="T1003" i="4" s="1"/>
  <c r="T1004" i="4" a="1"/>
  <c r="T1004" i="4" s="1"/>
  <c r="T1005" i="4" a="1"/>
  <c r="T1005" i="4"/>
  <c r="T1006" i="4" a="1"/>
  <c r="T1006" i="4" s="1"/>
  <c r="T1007" i="4" a="1"/>
  <c r="T1007" i="4"/>
  <c r="T1008" i="4" a="1"/>
  <c r="T1008" i="4" s="1"/>
  <c r="T1009" i="4" a="1"/>
  <c r="T1009" i="4" s="1"/>
  <c r="T1010" i="4" a="1"/>
  <c r="T1010" i="4" s="1"/>
  <c r="T1011" i="4" a="1"/>
  <c r="T1011" i="4" s="1"/>
  <c r="T1012" i="4" a="1"/>
  <c r="T1012" i="4" s="1"/>
  <c r="T1013" i="4" a="1"/>
  <c r="T1013" i="4"/>
  <c r="T1014" i="4" a="1"/>
  <c r="T1014" i="4" s="1"/>
  <c r="T1015" i="4" a="1"/>
  <c r="T1015" i="4" s="1"/>
  <c r="T1016" i="4" a="1"/>
  <c r="T1016" i="4" s="1"/>
  <c r="T1017" i="4" a="1"/>
  <c r="T1017" i="4" s="1"/>
  <c r="T1018" i="4" a="1"/>
  <c r="T1018" i="4" s="1"/>
  <c r="T1019" i="4" a="1"/>
  <c r="T1019" i="4" s="1"/>
  <c r="T1020" i="4" a="1"/>
  <c r="T1020" i="4" s="1"/>
  <c r="T1021" i="4" a="1"/>
  <c r="T1021" i="4"/>
  <c r="T1022" i="4" a="1"/>
  <c r="T1022" i="4" s="1"/>
  <c r="T1023" i="4" a="1"/>
  <c r="T1023" i="4" s="1"/>
  <c r="T1024" i="4" a="1"/>
  <c r="T1024" i="4" s="1"/>
  <c r="T1025" i="4" a="1"/>
  <c r="T1025" i="4" s="1"/>
  <c r="T1026" i="4" a="1"/>
  <c r="T1026" i="4" s="1"/>
  <c r="T1027" i="4" a="1"/>
  <c r="T1027" i="4" s="1"/>
  <c r="T1028" i="4" a="1"/>
  <c r="T1028" i="4" s="1"/>
  <c r="T1029" i="4" a="1"/>
  <c r="T1029" i="4" s="1"/>
  <c r="T1030" i="4" a="1"/>
  <c r="T1030" i="4" s="1"/>
  <c r="T1031" i="4" a="1"/>
  <c r="T1031" i="4"/>
  <c r="T1032" i="4" a="1"/>
  <c r="T1032" i="4" s="1"/>
  <c r="T1033" i="4" a="1"/>
  <c r="T1033" i="4"/>
  <c r="T1034" i="4" a="1"/>
  <c r="T1034" i="4" s="1"/>
  <c r="T1035" i="4" a="1"/>
  <c r="T1035" i="4" s="1"/>
  <c r="T1036" i="4" a="1"/>
  <c r="T1036" i="4" s="1"/>
  <c r="T1037" i="4" a="1"/>
  <c r="T1037" i="4"/>
  <c r="T1038" i="4" a="1"/>
  <c r="T1038" i="4" s="1"/>
  <c r="T1039" i="4" a="1"/>
  <c r="T1039" i="4"/>
  <c r="T1040" i="4" a="1"/>
  <c r="T1040" i="4" s="1"/>
  <c r="T1041" i="4" a="1"/>
  <c r="T1041" i="4"/>
  <c r="T1042" i="4" a="1"/>
  <c r="T1042" i="4" s="1"/>
  <c r="T1043" i="4" a="1"/>
  <c r="T1043" i="4" s="1"/>
  <c r="T1044" i="4" a="1"/>
  <c r="T1044" i="4" s="1"/>
  <c r="T1045" i="4" a="1"/>
  <c r="T1045" i="4"/>
  <c r="T1046" i="4" a="1"/>
  <c r="T1046" i="4" s="1"/>
  <c r="T1047" i="4" a="1"/>
  <c r="T1047" i="4"/>
  <c r="T1048" i="4" a="1"/>
  <c r="T1048" i="4" s="1"/>
  <c r="T1049" i="4" a="1"/>
  <c r="T1049" i="4" s="1"/>
  <c r="T1050" i="4" a="1"/>
  <c r="T1050" i="4" s="1"/>
  <c r="T1051" i="4" a="1"/>
  <c r="T1051" i="4" s="1"/>
  <c r="T1052" i="4" a="1"/>
  <c r="T1052" i="4" s="1"/>
  <c r="T1053" i="4" a="1"/>
  <c r="T1053" i="4" s="1"/>
  <c r="T1054" i="4" a="1"/>
  <c r="T1054" i="4" s="1"/>
  <c r="T1055" i="4" a="1"/>
  <c r="T1055" i="4" s="1"/>
  <c r="T1056" i="4" a="1"/>
  <c r="T1056" i="4" s="1"/>
  <c r="T1057" i="4" a="1"/>
  <c r="T1057" i="4"/>
  <c r="T1058" i="4" a="1"/>
  <c r="T1058" i="4" s="1"/>
  <c r="T1059" i="4" a="1"/>
  <c r="T1059" i="4" s="1"/>
  <c r="T1060" i="4" a="1"/>
  <c r="T1060" i="4" s="1"/>
  <c r="T1061" i="4" a="1"/>
  <c r="T1061" i="4" s="1"/>
  <c r="T1062" i="4" a="1"/>
  <c r="T1062" i="4" s="1"/>
  <c r="T1063" i="4" a="1"/>
  <c r="T1063" i="4" s="1"/>
  <c r="T1064" i="4" a="1"/>
  <c r="T1064" i="4" s="1"/>
  <c r="T1065" i="4" a="1"/>
  <c r="T1065" i="4"/>
  <c r="T1066" i="4" a="1"/>
  <c r="T1066" i="4" s="1"/>
  <c r="T1067" i="4" a="1"/>
  <c r="T1067" i="4" s="1"/>
  <c r="T1068" i="4" a="1"/>
  <c r="T1068" i="4" s="1"/>
  <c r="T1069" i="4" a="1"/>
  <c r="T1069" i="4" s="1"/>
  <c r="T1070" i="4" a="1"/>
  <c r="T1070" i="4" s="1"/>
  <c r="T1071" i="4" a="1"/>
  <c r="T1071" i="4"/>
  <c r="T1072" i="4" a="1"/>
  <c r="T1072" i="4" s="1"/>
  <c r="T1073" i="4" a="1"/>
  <c r="T1073" i="4"/>
  <c r="T1074" i="4" a="1"/>
  <c r="T1074" i="4" s="1"/>
  <c r="T1075" i="4" a="1"/>
  <c r="T1075" i="4" s="1"/>
  <c r="T1076" i="4" a="1"/>
  <c r="T1076" i="4" s="1"/>
  <c r="T1077" i="4" a="1"/>
  <c r="T1077" i="4"/>
  <c r="T1078" i="4" a="1"/>
  <c r="T1078" i="4" s="1"/>
  <c r="T1079" i="4" a="1"/>
  <c r="T1079" i="4"/>
  <c r="T1080" i="4" a="1"/>
  <c r="T1080" i="4" s="1"/>
  <c r="T1081" i="4" a="1"/>
  <c r="T1081" i="4" s="1"/>
  <c r="T1082" i="4" a="1"/>
  <c r="T1082" i="4" s="1"/>
  <c r="T1083" i="4" a="1"/>
  <c r="T1083" i="4" s="1"/>
  <c r="T1084" i="4" a="1"/>
  <c r="T1084" i="4" s="1"/>
  <c r="T1085" i="4" a="1"/>
  <c r="T1085" i="4"/>
  <c r="T1086" i="4" a="1"/>
  <c r="T1086" i="4" s="1"/>
  <c r="T1087" i="4" a="1"/>
  <c r="T1087" i="4" s="1"/>
  <c r="T1088" i="4" a="1"/>
  <c r="T1088" i="4" s="1"/>
  <c r="T1089" i="4" a="1"/>
  <c r="T1089" i="4"/>
  <c r="T1090" i="4" a="1"/>
  <c r="T1090" i="4" s="1"/>
  <c r="T1091" i="4" a="1"/>
  <c r="T1091" i="4" s="1"/>
  <c r="T1092" i="4" a="1"/>
  <c r="T1092" i="4" s="1"/>
  <c r="T1093" i="4" a="1"/>
  <c r="T1093" i="4" s="1"/>
  <c r="T1094" i="4" a="1"/>
  <c r="T1094" i="4" s="1"/>
  <c r="T1095" i="4" a="1"/>
  <c r="T1095" i="4"/>
  <c r="T1096" i="4" a="1"/>
  <c r="T1096" i="4" s="1"/>
  <c r="T1097" i="4" a="1"/>
  <c r="T1097" i="4" s="1"/>
  <c r="T1098" i="4" a="1"/>
  <c r="T1098" i="4" s="1"/>
  <c r="T1099" i="4" a="1"/>
  <c r="T1099" i="4" s="1"/>
  <c r="T1100" i="4" a="1"/>
  <c r="T1100" i="4" s="1"/>
  <c r="T1101" i="4" a="1"/>
  <c r="T1101" i="4"/>
  <c r="T1102" i="4" a="1"/>
  <c r="T1102" i="4" s="1"/>
  <c r="T1103" i="4" a="1"/>
  <c r="T1103" i="4" s="1"/>
  <c r="T1104" i="4" a="1"/>
  <c r="T1104" i="4" s="1"/>
  <c r="T1105" i="4" a="1"/>
  <c r="T1105" i="4"/>
  <c r="T1106" i="4" a="1"/>
  <c r="T1106" i="4" s="1"/>
  <c r="T1107" i="4" a="1"/>
  <c r="T1107" i="4" s="1"/>
  <c r="T1108" i="4" a="1"/>
  <c r="T1108" i="4" s="1"/>
  <c r="T1109" i="4" a="1"/>
  <c r="T1109" i="4" s="1"/>
  <c r="T1110" i="4" a="1"/>
  <c r="T1110" i="4" s="1"/>
  <c r="T1111" i="4" a="1"/>
  <c r="T1111" i="4"/>
  <c r="T1112" i="4" a="1"/>
  <c r="T1112" i="4" s="1"/>
  <c r="T1113" i="4" a="1"/>
  <c r="T1113" i="4" s="1"/>
  <c r="T1114" i="4" a="1"/>
  <c r="T1114" i="4" s="1"/>
  <c r="T1115" i="4" a="1"/>
  <c r="T1115" i="4" s="1"/>
  <c r="T1116" i="4" a="1"/>
  <c r="T1116" i="4" s="1"/>
  <c r="T1117" i="4" a="1"/>
  <c r="T1117" i="4"/>
  <c r="T1118" i="4" a="1"/>
  <c r="T1118" i="4" s="1"/>
  <c r="T1119" i="4" a="1"/>
  <c r="T1119" i="4" s="1"/>
  <c r="T1120" i="4" a="1"/>
  <c r="T1120" i="4" s="1"/>
  <c r="T1121" i="4" a="1"/>
  <c r="T1121" i="4"/>
  <c r="T1122" i="4" a="1"/>
  <c r="T1122" i="4" s="1"/>
  <c r="T1123" i="4" a="1"/>
  <c r="T1123" i="4" s="1"/>
  <c r="T1124" i="4" a="1"/>
  <c r="T1124" i="4" s="1"/>
  <c r="T1125" i="4" a="1"/>
  <c r="T1125" i="4" s="1"/>
  <c r="T1126" i="4" a="1"/>
  <c r="T1126" i="4" s="1"/>
  <c r="T1127" i="4" a="1"/>
  <c r="T1127" i="4"/>
  <c r="T1128" i="4" a="1"/>
  <c r="T1128" i="4" s="1"/>
  <c r="T1129" i="4" a="1"/>
  <c r="T1129" i="4"/>
  <c r="T1130" i="4" a="1"/>
  <c r="T1130" i="4" s="1"/>
  <c r="T1131" i="4" a="1"/>
  <c r="T1131" i="4" s="1"/>
  <c r="T1132" i="4" a="1"/>
  <c r="T1132" i="4" s="1"/>
  <c r="T1133" i="4" a="1"/>
  <c r="T1133" i="4"/>
  <c r="T1134" i="4" a="1"/>
  <c r="T1134" i="4" s="1"/>
  <c r="T1135" i="4" a="1"/>
  <c r="T1135" i="4"/>
  <c r="T1136" i="4" a="1"/>
  <c r="T1136" i="4" s="1"/>
  <c r="T1137" i="4" a="1"/>
  <c r="T1137" i="4" s="1"/>
  <c r="T1138" i="4" a="1"/>
  <c r="T1138" i="4" s="1"/>
  <c r="T1139" i="4" a="1"/>
  <c r="T1139" i="4" s="1"/>
  <c r="T1140" i="4" a="1"/>
  <c r="T1140" i="4" s="1"/>
  <c r="T1141" i="4" a="1"/>
  <c r="T1141" i="4"/>
  <c r="T1142" i="4" a="1"/>
  <c r="T1142" i="4" s="1"/>
  <c r="T1143" i="4" a="1"/>
  <c r="T1143" i="4" s="1"/>
  <c r="T1144" i="4" a="1"/>
  <c r="T1144" i="4" s="1"/>
  <c r="T1145" i="4" a="1"/>
  <c r="T1145" i="4" s="1"/>
  <c r="T1146" i="4" a="1"/>
  <c r="T1146" i="4" s="1"/>
  <c r="T1147" i="4" a="1"/>
  <c r="T1147" i="4" s="1"/>
  <c r="T1148" i="4" a="1"/>
  <c r="T1148" i="4" s="1"/>
  <c r="T1149" i="4" a="1"/>
  <c r="T1149" i="4"/>
  <c r="T1150" i="4" a="1"/>
  <c r="T1150" i="4" s="1"/>
  <c r="T1151" i="4" a="1"/>
  <c r="T1151" i="4" s="1"/>
  <c r="T1152" i="4" a="1"/>
  <c r="T1152" i="4" s="1"/>
  <c r="T1153" i="4" a="1"/>
  <c r="T1153" i="4" s="1"/>
  <c r="T1154" i="4" a="1"/>
  <c r="T1154" i="4" s="1"/>
  <c r="T1155" i="4" a="1"/>
  <c r="T1155" i="4" s="1"/>
  <c r="T1156" i="4" a="1"/>
  <c r="T1156" i="4" s="1"/>
  <c r="T1157" i="4" a="1"/>
  <c r="T1157" i="4" s="1"/>
  <c r="T1158" i="4" a="1"/>
  <c r="T1158" i="4" s="1"/>
  <c r="T1159" i="4" a="1"/>
  <c r="T1159" i="4"/>
  <c r="T1160" i="4" a="1"/>
  <c r="T1160" i="4" s="1"/>
  <c r="T1161" i="4" a="1"/>
  <c r="T1161" i="4"/>
  <c r="T1162" i="4" a="1"/>
  <c r="T1162" i="4" s="1"/>
  <c r="T1163" i="4" a="1"/>
  <c r="T1163" i="4" s="1"/>
  <c r="T1164" i="4" a="1"/>
  <c r="T1164" i="4" s="1"/>
  <c r="T1165" i="4" a="1"/>
  <c r="T1165" i="4"/>
  <c r="T1166" i="4" a="1"/>
  <c r="T1166" i="4" s="1"/>
  <c r="T1167" i="4" a="1"/>
  <c r="T1167" i="4"/>
  <c r="T1168" i="4" a="1"/>
  <c r="T1168" i="4" s="1"/>
  <c r="T1169" i="4" a="1"/>
  <c r="T1169" i="4"/>
  <c r="T1170" i="4" a="1"/>
  <c r="T1170" i="4" s="1"/>
  <c r="T1171" i="4" a="1"/>
  <c r="T1171" i="4" s="1"/>
  <c r="T1172" i="4" a="1"/>
  <c r="T1172" i="4" s="1"/>
  <c r="T1173" i="4" a="1"/>
  <c r="T1173" i="4"/>
  <c r="T1174" i="4" a="1"/>
  <c r="T1174" i="4" s="1"/>
  <c r="T1175" i="4" a="1"/>
  <c r="T1175" i="4"/>
  <c r="T1176" i="4" a="1"/>
  <c r="T1176" i="4" s="1"/>
  <c r="T1177" i="4" a="1"/>
  <c r="T1177" i="4" s="1"/>
  <c r="T1178" i="4" a="1"/>
  <c r="T1178" i="4" s="1"/>
  <c r="T1179" i="4" a="1"/>
  <c r="T1179" i="4" s="1"/>
  <c r="T1180" i="4" a="1"/>
  <c r="T1180" i="4" s="1"/>
  <c r="T1181" i="4" a="1"/>
  <c r="T1181" i="4" s="1"/>
  <c r="T1182" i="4" a="1"/>
  <c r="T1182" i="4" s="1"/>
  <c r="T1183" i="4" a="1"/>
  <c r="T1183" i="4" s="1"/>
  <c r="T1184" i="4" a="1"/>
  <c r="T1184" i="4" s="1"/>
  <c r="T1185" i="4" a="1"/>
  <c r="T1185" i="4"/>
  <c r="T1186" i="4" a="1"/>
  <c r="T1186" i="4" s="1"/>
  <c r="T1187" i="4" a="1"/>
  <c r="T1187" i="4" s="1"/>
  <c r="T1188" i="4" a="1"/>
  <c r="T1188" i="4" s="1"/>
  <c r="T1189" i="4" a="1"/>
  <c r="T1189" i="4" s="1"/>
  <c r="T1190" i="4" a="1"/>
  <c r="T1190" i="4" s="1"/>
  <c r="T1191" i="4" a="1"/>
  <c r="T1191" i="4" s="1"/>
  <c r="T1192" i="4" a="1"/>
  <c r="T1192" i="4" s="1"/>
  <c r="T1193" i="4" a="1"/>
  <c r="T1193" i="4"/>
  <c r="T1194" i="4" a="1"/>
  <c r="T1194" i="4" s="1"/>
  <c r="T1195" i="4" a="1"/>
  <c r="T1195" i="4" s="1"/>
  <c r="T1196" i="4" a="1"/>
  <c r="T1196" i="4" s="1"/>
  <c r="T1197" i="4" a="1"/>
  <c r="T1197" i="4" s="1"/>
  <c r="T1198" i="4" a="1"/>
  <c r="T1198" i="4" s="1"/>
  <c r="T1199" i="4" a="1"/>
  <c r="T1199" i="4"/>
  <c r="T1200" i="4" a="1"/>
  <c r="T1200" i="4" s="1"/>
  <c r="T1201" i="4" a="1"/>
  <c r="T1201" i="4"/>
  <c r="K1202" i="4"/>
  <c r="S2" i="4"/>
  <c r="U2" i="4" s="1" a="1"/>
  <c r="U2" i="4" s="1"/>
  <c r="S3" i="4"/>
  <c r="U3" i="4" s="1" a="1"/>
  <c r="U3" i="4" s="1"/>
  <c r="S4" i="4"/>
  <c r="U4" i="4" s="1" a="1"/>
  <c r="U4" i="4" s="1"/>
  <c r="S5" i="4"/>
  <c r="U5" i="4" s="1" a="1"/>
  <c r="U5" i="4" s="1"/>
  <c r="S6" i="4"/>
  <c r="U6" i="4" s="1" a="1"/>
  <c r="U6" i="4" s="1"/>
  <c r="S7" i="4"/>
  <c r="U7" i="4" s="1" a="1"/>
  <c r="U7" i="4" s="1"/>
  <c r="S8" i="4"/>
  <c r="U8" i="4" s="1" a="1"/>
  <c r="U8" i="4" s="1"/>
  <c r="S9" i="4"/>
  <c r="U9" i="4" s="1" a="1"/>
  <c r="U9" i="4" s="1"/>
  <c r="S10" i="4"/>
  <c r="U10" i="4" s="1" a="1"/>
  <c r="U10" i="4" s="1"/>
  <c r="S11" i="4"/>
  <c r="U11" i="4" s="1" a="1"/>
  <c r="U11" i="4" s="1"/>
  <c r="S12" i="4"/>
  <c r="U12" i="4" s="1" a="1"/>
  <c r="U12" i="4" s="1"/>
  <c r="S13" i="4"/>
  <c r="U13" i="4" s="1" a="1"/>
  <c r="U13" i="4" s="1"/>
  <c r="S14" i="4"/>
  <c r="U14" i="4" s="1" a="1"/>
  <c r="U14" i="4" s="1"/>
  <c r="S15" i="4"/>
  <c r="U15" i="4" s="1" a="1"/>
  <c r="U15" i="4" s="1"/>
  <c r="S16" i="4"/>
  <c r="U16" i="4" s="1" a="1"/>
  <c r="U16" i="4" s="1"/>
  <c r="S17" i="4"/>
  <c r="U17" i="4" s="1" a="1"/>
  <c r="U17" i="4" s="1"/>
  <c r="S18" i="4"/>
  <c r="U18" i="4" s="1" a="1"/>
  <c r="U18" i="4" s="1"/>
  <c r="S19" i="4"/>
  <c r="U19" i="4" s="1" a="1"/>
  <c r="U19" i="4" s="1"/>
  <c r="S20" i="4"/>
  <c r="U20" i="4" s="1" a="1"/>
  <c r="U20" i="4" s="1"/>
  <c r="S21" i="4"/>
  <c r="U21" i="4" s="1" a="1"/>
  <c r="U21" i="4" s="1"/>
  <c r="S22" i="4"/>
  <c r="U22" i="4" s="1" a="1"/>
  <c r="U22" i="4" s="1"/>
  <c r="S23" i="4"/>
  <c r="U23" i="4" s="1" a="1"/>
  <c r="U23" i="4" s="1"/>
  <c r="S24" i="4"/>
  <c r="U24" i="4" s="1" a="1"/>
  <c r="U24" i="4" s="1"/>
  <c r="S25" i="4"/>
  <c r="U25" i="4" s="1" a="1"/>
  <c r="U25" i="4" s="1"/>
  <c r="S26" i="4"/>
  <c r="U26" i="4" s="1" a="1"/>
  <c r="U26" i="4" s="1"/>
  <c r="S27" i="4"/>
  <c r="U27" i="4" s="1" a="1"/>
  <c r="U27" i="4" s="1"/>
  <c r="S28" i="4"/>
  <c r="U28" i="4" s="1" a="1"/>
  <c r="U28" i="4" s="1"/>
  <c r="S29" i="4"/>
  <c r="U29" i="4" s="1" a="1"/>
  <c r="U29" i="4" s="1"/>
  <c r="S30" i="4"/>
  <c r="U30" i="4" s="1" a="1"/>
  <c r="U30" i="4" s="1"/>
  <c r="S31" i="4"/>
  <c r="U31" i="4" s="1" a="1"/>
  <c r="U31" i="4" s="1"/>
  <c r="S32" i="4"/>
  <c r="U32" i="4" s="1" a="1"/>
  <c r="U32" i="4" s="1"/>
  <c r="S33" i="4"/>
  <c r="U33" i="4" s="1" a="1"/>
  <c r="U33" i="4" s="1"/>
  <c r="S34" i="4"/>
  <c r="U34" i="4" s="1" a="1"/>
  <c r="U34" i="4" s="1"/>
  <c r="S35" i="4"/>
  <c r="U35" i="4" s="1" a="1"/>
  <c r="U35" i="4" s="1"/>
  <c r="S36" i="4"/>
  <c r="U36" i="4" s="1" a="1"/>
  <c r="U36" i="4" s="1"/>
  <c r="S37" i="4"/>
  <c r="U37" i="4" s="1" a="1"/>
  <c r="U37" i="4" s="1"/>
  <c r="S38" i="4"/>
  <c r="U38" i="4" s="1" a="1"/>
  <c r="U38" i="4" s="1"/>
  <c r="S39" i="4"/>
  <c r="U39" i="4" s="1" a="1"/>
  <c r="U39" i="4" s="1"/>
  <c r="S40" i="4"/>
  <c r="U40" i="4" s="1" a="1"/>
  <c r="U40" i="4" s="1"/>
  <c r="S41" i="4"/>
  <c r="U41" i="4" s="1" a="1"/>
  <c r="U41" i="4" s="1"/>
  <c r="S42" i="4"/>
  <c r="U42" i="4" s="1" a="1"/>
  <c r="U42" i="4" s="1"/>
  <c r="S43" i="4"/>
  <c r="U43" i="4" s="1" a="1"/>
  <c r="U43" i="4" s="1"/>
  <c r="S44" i="4"/>
  <c r="U44" i="4" s="1" a="1"/>
  <c r="U44" i="4" s="1"/>
  <c r="S45" i="4"/>
  <c r="U45" i="4" s="1" a="1"/>
  <c r="U45" i="4" s="1"/>
  <c r="S46" i="4"/>
  <c r="U46" i="4" s="1" a="1"/>
  <c r="U46" i="4" s="1"/>
  <c r="S47" i="4"/>
  <c r="U47" i="4" s="1" a="1"/>
  <c r="U47" i="4" s="1"/>
  <c r="S48" i="4"/>
  <c r="U48" i="4" s="1" a="1"/>
  <c r="U48" i="4" s="1"/>
  <c r="S49" i="4"/>
  <c r="U49" i="4" s="1" a="1"/>
  <c r="U49" i="4" s="1"/>
  <c r="S50" i="4"/>
  <c r="U50" i="4" s="1" a="1"/>
  <c r="U50" i="4" s="1"/>
  <c r="S51" i="4"/>
  <c r="U51" i="4" s="1" a="1"/>
  <c r="U51" i="4" s="1"/>
  <c r="S52" i="4"/>
  <c r="U52" i="4" s="1" a="1"/>
  <c r="U52" i="4" s="1"/>
  <c r="S53" i="4"/>
  <c r="U53" i="4" s="1" a="1"/>
  <c r="U53" i="4" s="1"/>
  <c r="S54" i="4"/>
  <c r="U54" i="4" s="1" a="1"/>
  <c r="U54" i="4" s="1"/>
  <c r="S55" i="4"/>
  <c r="U55" i="4" s="1" a="1"/>
  <c r="U55" i="4" s="1"/>
  <c r="S56" i="4"/>
  <c r="U56" i="4" s="1" a="1"/>
  <c r="U56" i="4" s="1"/>
  <c r="S57" i="4"/>
  <c r="U57" i="4" s="1" a="1"/>
  <c r="U57" i="4" s="1"/>
  <c r="S58" i="4"/>
  <c r="U58" i="4" s="1" a="1"/>
  <c r="U58" i="4" s="1"/>
  <c r="S59" i="4"/>
  <c r="U59" i="4" s="1" a="1"/>
  <c r="U59" i="4" s="1"/>
  <c r="S60" i="4"/>
  <c r="U60" i="4" s="1" a="1"/>
  <c r="U60" i="4" s="1"/>
  <c r="S61" i="4"/>
  <c r="U61" i="4" s="1" a="1"/>
  <c r="U61" i="4" s="1"/>
  <c r="S62" i="4"/>
  <c r="U62" i="4" s="1" a="1"/>
  <c r="U62" i="4" s="1"/>
  <c r="S63" i="4"/>
  <c r="U63" i="4" s="1" a="1"/>
  <c r="U63" i="4" s="1"/>
  <c r="S64" i="4"/>
  <c r="U64" i="4" s="1" a="1"/>
  <c r="U64" i="4" s="1"/>
  <c r="S65" i="4"/>
  <c r="U65" i="4" s="1" a="1"/>
  <c r="U65" i="4" s="1"/>
  <c r="S66" i="4"/>
  <c r="U66" i="4" s="1" a="1"/>
  <c r="U66" i="4" s="1"/>
  <c r="S67" i="4"/>
  <c r="U67" i="4" s="1" a="1"/>
  <c r="U67" i="4" s="1"/>
  <c r="S68" i="4"/>
  <c r="U68" i="4" s="1" a="1"/>
  <c r="U68" i="4" s="1"/>
  <c r="S69" i="4"/>
  <c r="U69" i="4" s="1" a="1"/>
  <c r="U69" i="4" s="1"/>
  <c r="S70" i="4"/>
  <c r="U70" i="4" s="1" a="1"/>
  <c r="U70" i="4" s="1"/>
  <c r="S71" i="4"/>
  <c r="U71" i="4" s="1" a="1"/>
  <c r="U71" i="4" s="1"/>
  <c r="S72" i="4"/>
  <c r="U72" i="4" s="1" a="1"/>
  <c r="U72" i="4" s="1"/>
  <c r="S73" i="4"/>
  <c r="U73" i="4" s="1" a="1"/>
  <c r="U73" i="4" s="1"/>
  <c r="S74" i="4"/>
  <c r="U74" i="4" s="1" a="1"/>
  <c r="U74" i="4" s="1"/>
  <c r="S75" i="4"/>
  <c r="U75" i="4" s="1" a="1"/>
  <c r="U75" i="4" s="1"/>
  <c r="S76" i="4"/>
  <c r="U76" i="4" s="1" a="1"/>
  <c r="U76" i="4" s="1"/>
  <c r="S77" i="4"/>
  <c r="U77" i="4" s="1" a="1"/>
  <c r="U77" i="4" s="1"/>
  <c r="S78" i="4"/>
  <c r="U78" i="4" s="1" a="1"/>
  <c r="U78" i="4" s="1"/>
  <c r="S79" i="4"/>
  <c r="U79" i="4" s="1" a="1"/>
  <c r="U79" i="4" s="1"/>
  <c r="S80" i="4"/>
  <c r="U80" i="4" s="1" a="1"/>
  <c r="U80" i="4" s="1"/>
  <c r="S81" i="4"/>
  <c r="U81" i="4" s="1" a="1"/>
  <c r="U81" i="4" s="1"/>
  <c r="S82" i="4"/>
  <c r="U82" i="4" s="1" a="1"/>
  <c r="U82" i="4" s="1"/>
  <c r="S83" i="4"/>
  <c r="U83" i="4" s="1" a="1"/>
  <c r="U83" i="4" s="1"/>
  <c r="S84" i="4"/>
  <c r="U84" i="4" s="1" a="1"/>
  <c r="U84" i="4" s="1"/>
  <c r="S85" i="4"/>
  <c r="U85" i="4" s="1" a="1"/>
  <c r="U85" i="4" s="1"/>
  <c r="S86" i="4"/>
  <c r="U86" i="4" s="1" a="1"/>
  <c r="U86" i="4" s="1"/>
  <c r="S87" i="4"/>
  <c r="U87" i="4" s="1" a="1"/>
  <c r="U87" i="4" s="1"/>
  <c r="S88" i="4"/>
  <c r="U88" i="4" s="1" a="1"/>
  <c r="U88" i="4" s="1"/>
  <c r="S89" i="4"/>
  <c r="U89" i="4" s="1" a="1"/>
  <c r="U89" i="4" s="1"/>
  <c r="S90" i="4"/>
  <c r="U90" i="4" s="1" a="1"/>
  <c r="U90" i="4" s="1"/>
  <c r="S91" i="4"/>
  <c r="U91" i="4" s="1" a="1"/>
  <c r="U91" i="4" s="1"/>
  <c r="S92" i="4"/>
  <c r="U92" i="4" s="1" a="1"/>
  <c r="U92" i="4" s="1"/>
  <c r="S93" i="4"/>
  <c r="U93" i="4" s="1" a="1"/>
  <c r="U93" i="4" s="1"/>
  <c r="S94" i="4"/>
  <c r="U94" i="4" s="1" a="1"/>
  <c r="U94" i="4" s="1"/>
  <c r="S95" i="4"/>
  <c r="U95" i="4" s="1" a="1"/>
  <c r="U95" i="4" s="1"/>
  <c r="S96" i="4"/>
  <c r="U96" i="4" s="1" a="1"/>
  <c r="U96" i="4" s="1"/>
  <c r="S97" i="4"/>
  <c r="U97" i="4" s="1" a="1"/>
  <c r="U97" i="4" s="1"/>
  <c r="S98" i="4"/>
  <c r="U98" i="4" s="1" a="1"/>
  <c r="U98" i="4" s="1"/>
  <c r="S99" i="4"/>
  <c r="U99" i="4" s="1" a="1"/>
  <c r="U99" i="4" s="1"/>
  <c r="S100" i="4"/>
  <c r="U100" i="4" s="1" a="1"/>
  <c r="U100" i="4" s="1"/>
  <c r="S101" i="4"/>
  <c r="U101" i="4" s="1" a="1"/>
  <c r="U101" i="4" s="1"/>
  <c r="S102" i="4"/>
  <c r="U102" i="4" s="1" a="1"/>
  <c r="U102" i="4" s="1"/>
  <c r="S103" i="4"/>
  <c r="U103" i="4" s="1" a="1"/>
  <c r="U103" i="4" s="1"/>
  <c r="S104" i="4"/>
  <c r="U104" i="4" s="1" a="1"/>
  <c r="U104" i="4" s="1"/>
  <c r="S105" i="4"/>
  <c r="U105" i="4" s="1" a="1"/>
  <c r="U105" i="4" s="1"/>
  <c r="S106" i="4"/>
  <c r="U106" i="4" s="1" a="1"/>
  <c r="U106" i="4" s="1"/>
  <c r="S107" i="4"/>
  <c r="U107" i="4" s="1" a="1"/>
  <c r="U107" i="4" s="1"/>
  <c r="S108" i="4"/>
  <c r="U108" i="4" s="1" a="1"/>
  <c r="U108" i="4" s="1"/>
  <c r="S109" i="4"/>
  <c r="U109" i="4" s="1" a="1"/>
  <c r="U109" i="4" s="1"/>
  <c r="S110" i="4"/>
  <c r="U110" i="4" s="1" a="1"/>
  <c r="U110" i="4" s="1"/>
  <c r="S111" i="4"/>
  <c r="U111" i="4" s="1" a="1"/>
  <c r="U111" i="4" s="1"/>
  <c r="S112" i="4"/>
  <c r="U112" i="4" s="1" a="1"/>
  <c r="U112" i="4" s="1"/>
  <c r="S113" i="4"/>
  <c r="U113" i="4" s="1" a="1"/>
  <c r="U113" i="4" s="1"/>
  <c r="S114" i="4"/>
  <c r="U114" i="4" s="1" a="1"/>
  <c r="U114" i="4" s="1"/>
  <c r="S115" i="4"/>
  <c r="U115" i="4" s="1" a="1"/>
  <c r="U115" i="4" s="1"/>
  <c r="S116" i="4"/>
  <c r="U116" i="4" s="1" a="1"/>
  <c r="U116" i="4" s="1"/>
  <c r="S117" i="4"/>
  <c r="U117" i="4" s="1" a="1"/>
  <c r="U117" i="4" s="1"/>
  <c r="S118" i="4"/>
  <c r="U118" i="4" s="1" a="1"/>
  <c r="U118" i="4" s="1"/>
  <c r="S119" i="4"/>
  <c r="U119" i="4" s="1" a="1"/>
  <c r="U119" i="4" s="1"/>
  <c r="S120" i="4"/>
  <c r="U120" i="4" s="1" a="1"/>
  <c r="U120" i="4" s="1"/>
  <c r="S121" i="4"/>
  <c r="U121" i="4" s="1" a="1"/>
  <c r="U121" i="4" s="1"/>
  <c r="S122" i="4"/>
  <c r="U122" i="4" s="1" a="1"/>
  <c r="U122" i="4" s="1"/>
  <c r="S123" i="4"/>
  <c r="U123" i="4" s="1" a="1"/>
  <c r="U123" i="4" s="1"/>
  <c r="S124" i="4"/>
  <c r="U124" i="4" s="1" a="1"/>
  <c r="U124" i="4" s="1"/>
  <c r="S125" i="4"/>
  <c r="U125" i="4" s="1" a="1"/>
  <c r="U125" i="4" s="1"/>
  <c r="S126" i="4"/>
  <c r="U126" i="4" s="1" a="1"/>
  <c r="U126" i="4" s="1"/>
  <c r="S127" i="4"/>
  <c r="U127" i="4" s="1" a="1"/>
  <c r="U127" i="4" s="1"/>
  <c r="S128" i="4"/>
  <c r="U128" i="4" s="1" a="1"/>
  <c r="U128" i="4" s="1"/>
  <c r="S129" i="4"/>
  <c r="U129" i="4" s="1" a="1"/>
  <c r="U129" i="4" s="1"/>
  <c r="S130" i="4"/>
  <c r="U130" i="4" s="1" a="1"/>
  <c r="U130" i="4" s="1"/>
  <c r="S131" i="4"/>
  <c r="U131" i="4" s="1" a="1"/>
  <c r="U131" i="4" s="1"/>
  <c r="S132" i="4"/>
  <c r="U132" i="4" s="1" a="1"/>
  <c r="U132" i="4" s="1"/>
  <c r="S133" i="4"/>
  <c r="U133" i="4" s="1" a="1"/>
  <c r="U133" i="4" s="1"/>
  <c r="S134" i="4"/>
  <c r="U134" i="4" s="1" a="1"/>
  <c r="U134" i="4" s="1"/>
  <c r="S135" i="4"/>
  <c r="U135" i="4" s="1" a="1"/>
  <c r="U135" i="4" s="1"/>
  <c r="S136" i="4"/>
  <c r="U136" i="4" s="1" a="1"/>
  <c r="U136" i="4" s="1"/>
  <c r="S137" i="4"/>
  <c r="U137" i="4" s="1" a="1"/>
  <c r="U137" i="4" s="1"/>
  <c r="S138" i="4"/>
  <c r="U138" i="4" s="1" a="1"/>
  <c r="U138" i="4" s="1"/>
  <c r="S139" i="4"/>
  <c r="U139" i="4" s="1" a="1"/>
  <c r="U139" i="4" s="1"/>
  <c r="S140" i="4"/>
  <c r="U140" i="4" s="1" a="1"/>
  <c r="U140" i="4" s="1"/>
  <c r="S141" i="4"/>
  <c r="U141" i="4" s="1" a="1"/>
  <c r="U141" i="4" s="1"/>
  <c r="S142" i="4"/>
  <c r="U142" i="4" s="1" a="1"/>
  <c r="U142" i="4" s="1"/>
  <c r="S143" i="4"/>
  <c r="U143" i="4" s="1" a="1"/>
  <c r="U143" i="4" s="1"/>
  <c r="S144" i="4"/>
  <c r="U144" i="4" s="1" a="1"/>
  <c r="U144" i="4" s="1"/>
  <c r="S145" i="4"/>
  <c r="U145" i="4" s="1" a="1"/>
  <c r="U145" i="4" s="1"/>
  <c r="S146" i="4"/>
  <c r="U146" i="4" s="1" a="1"/>
  <c r="U146" i="4" s="1"/>
  <c r="S147" i="4"/>
  <c r="U147" i="4" s="1" a="1"/>
  <c r="U147" i="4" s="1"/>
  <c r="S148" i="4"/>
  <c r="U148" i="4" s="1" a="1"/>
  <c r="U148" i="4" s="1"/>
  <c r="S149" i="4"/>
  <c r="U149" i="4" s="1" a="1"/>
  <c r="U149" i="4" s="1"/>
  <c r="S150" i="4"/>
  <c r="U150" i="4" s="1" a="1"/>
  <c r="U150" i="4" s="1"/>
  <c r="S151" i="4"/>
  <c r="U151" i="4" s="1" a="1"/>
  <c r="U151" i="4" s="1"/>
  <c r="S152" i="4"/>
  <c r="U152" i="4" s="1" a="1"/>
  <c r="U152" i="4" s="1"/>
  <c r="S153" i="4"/>
  <c r="U153" i="4" s="1" a="1"/>
  <c r="U153" i="4" s="1"/>
  <c r="S154" i="4"/>
  <c r="U154" i="4" s="1" a="1"/>
  <c r="U154" i="4" s="1"/>
  <c r="S155" i="4"/>
  <c r="U155" i="4" s="1" a="1"/>
  <c r="U155" i="4" s="1"/>
  <c r="S156" i="4"/>
  <c r="U156" i="4" s="1" a="1"/>
  <c r="U156" i="4" s="1"/>
  <c r="S157" i="4"/>
  <c r="U157" i="4" s="1" a="1"/>
  <c r="U157" i="4" s="1"/>
  <c r="S158" i="4"/>
  <c r="U158" i="4" s="1" a="1"/>
  <c r="U158" i="4" s="1"/>
  <c r="S159" i="4"/>
  <c r="U159" i="4" s="1" a="1"/>
  <c r="U159" i="4" s="1"/>
  <c r="S160" i="4"/>
  <c r="U160" i="4" s="1" a="1"/>
  <c r="U160" i="4" s="1"/>
  <c r="S161" i="4"/>
  <c r="U161" i="4" s="1" a="1"/>
  <c r="U161" i="4" s="1"/>
  <c r="S162" i="4"/>
  <c r="U162" i="4" s="1" a="1"/>
  <c r="U162" i="4" s="1"/>
  <c r="S163" i="4"/>
  <c r="U163" i="4" s="1" a="1"/>
  <c r="U163" i="4" s="1"/>
  <c r="S164" i="4"/>
  <c r="U164" i="4" s="1" a="1"/>
  <c r="U164" i="4" s="1"/>
  <c r="S165" i="4"/>
  <c r="U165" i="4" s="1" a="1"/>
  <c r="U165" i="4" s="1"/>
  <c r="S166" i="4"/>
  <c r="U166" i="4" s="1" a="1"/>
  <c r="U166" i="4" s="1"/>
  <c r="S167" i="4"/>
  <c r="U167" i="4" s="1" a="1"/>
  <c r="U167" i="4" s="1"/>
  <c r="S168" i="4"/>
  <c r="U168" i="4" s="1" a="1"/>
  <c r="U168" i="4" s="1"/>
  <c r="S169" i="4"/>
  <c r="U169" i="4" s="1" a="1"/>
  <c r="U169" i="4" s="1"/>
  <c r="S170" i="4"/>
  <c r="U170" i="4" s="1" a="1"/>
  <c r="U170" i="4" s="1"/>
  <c r="S171" i="4"/>
  <c r="U171" i="4" s="1" a="1"/>
  <c r="U171" i="4" s="1"/>
  <c r="S172" i="4"/>
  <c r="U172" i="4" s="1" a="1"/>
  <c r="U172" i="4" s="1"/>
  <c r="S173" i="4"/>
  <c r="U173" i="4" s="1" a="1"/>
  <c r="U173" i="4" s="1"/>
  <c r="S174" i="4"/>
  <c r="U174" i="4" s="1" a="1"/>
  <c r="U174" i="4" s="1"/>
  <c r="S175" i="4"/>
  <c r="U175" i="4" s="1" a="1"/>
  <c r="U175" i="4" s="1"/>
  <c r="S176" i="4"/>
  <c r="U176" i="4" s="1" a="1"/>
  <c r="U176" i="4" s="1"/>
  <c r="S177" i="4"/>
  <c r="U177" i="4" s="1" a="1"/>
  <c r="U177" i="4" s="1"/>
  <c r="S178" i="4"/>
  <c r="U178" i="4" s="1" a="1"/>
  <c r="U178" i="4" s="1"/>
  <c r="S179" i="4"/>
  <c r="U179" i="4" s="1" a="1"/>
  <c r="U179" i="4" s="1"/>
  <c r="S180" i="4"/>
  <c r="U180" i="4" s="1" a="1"/>
  <c r="U180" i="4" s="1"/>
  <c r="S181" i="4"/>
  <c r="U181" i="4" s="1" a="1"/>
  <c r="U181" i="4" s="1"/>
  <c r="S182" i="4"/>
  <c r="U182" i="4" s="1" a="1"/>
  <c r="U182" i="4" s="1"/>
  <c r="S183" i="4"/>
  <c r="U183" i="4" s="1" a="1"/>
  <c r="U183" i="4" s="1"/>
  <c r="S184" i="4"/>
  <c r="U184" i="4" s="1" a="1"/>
  <c r="U184" i="4" s="1"/>
  <c r="S185" i="4"/>
  <c r="U185" i="4" s="1" a="1"/>
  <c r="U185" i="4" s="1"/>
  <c r="S186" i="4"/>
  <c r="U186" i="4" s="1" a="1"/>
  <c r="U186" i="4" s="1"/>
  <c r="S187" i="4"/>
  <c r="U187" i="4" s="1" a="1"/>
  <c r="U187" i="4" s="1"/>
  <c r="S188" i="4"/>
  <c r="U188" i="4" s="1" a="1"/>
  <c r="U188" i="4" s="1"/>
  <c r="S189" i="4"/>
  <c r="U189" i="4" s="1" a="1"/>
  <c r="U189" i="4" s="1"/>
  <c r="S190" i="4"/>
  <c r="U190" i="4" s="1" a="1"/>
  <c r="U190" i="4" s="1"/>
  <c r="S191" i="4"/>
  <c r="U191" i="4" s="1" a="1"/>
  <c r="U191" i="4" s="1"/>
  <c r="S192" i="4"/>
  <c r="U192" i="4" s="1" a="1"/>
  <c r="U192" i="4" s="1"/>
  <c r="S193" i="4"/>
  <c r="U193" i="4" s="1" a="1"/>
  <c r="U193" i="4" s="1"/>
  <c r="S194" i="4"/>
  <c r="U194" i="4" s="1" a="1"/>
  <c r="U194" i="4" s="1"/>
  <c r="S195" i="4"/>
  <c r="U195" i="4" s="1" a="1"/>
  <c r="U195" i="4" s="1"/>
  <c r="S196" i="4"/>
  <c r="U196" i="4" s="1" a="1"/>
  <c r="U196" i="4" s="1"/>
  <c r="S197" i="4"/>
  <c r="U197" i="4" s="1" a="1"/>
  <c r="U197" i="4" s="1"/>
  <c r="S198" i="4"/>
  <c r="U198" i="4" s="1" a="1"/>
  <c r="U198" i="4" s="1"/>
  <c r="S199" i="4"/>
  <c r="U199" i="4" s="1" a="1"/>
  <c r="U199" i="4" s="1"/>
  <c r="S200" i="4"/>
  <c r="U200" i="4" s="1" a="1"/>
  <c r="U200" i="4" s="1"/>
  <c r="S201" i="4"/>
  <c r="U201" i="4" s="1" a="1"/>
  <c r="U201" i="4" s="1"/>
  <c r="S202" i="4"/>
  <c r="U202" i="4" s="1" a="1"/>
  <c r="U202" i="4" s="1"/>
  <c r="S203" i="4"/>
  <c r="U203" i="4" s="1" a="1"/>
  <c r="U203" i="4" s="1"/>
  <c r="S204" i="4"/>
  <c r="U204" i="4" s="1" a="1"/>
  <c r="U204" i="4" s="1"/>
  <c r="S205" i="4"/>
  <c r="U205" i="4" s="1" a="1"/>
  <c r="U205" i="4" s="1"/>
  <c r="S206" i="4"/>
  <c r="U206" i="4" s="1" a="1"/>
  <c r="U206" i="4" s="1"/>
  <c r="S207" i="4"/>
  <c r="U207" i="4" s="1" a="1"/>
  <c r="U207" i="4" s="1"/>
  <c r="S208" i="4"/>
  <c r="U208" i="4" s="1" a="1"/>
  <c r="U208" i="4" s="1"/>
  <c r="S209" i="4"/>
  <c r="U209" i="4" s="1" a="1"/>
  <c r="U209" i="4" s="1"/>
  <c r="S210" i="4"/>
  <c r="U210" i="4" s="1" a="1"/>
  <c r="U210" i="4" s="1"/>
  <c r="S211" i="4"/>
  <c r="U211" i="4" s="1" a="1"/>
  <c r="U211" i="4" s="1"/>
  <c r="S212" i="4"/>
  <c r="U212" i="4" s="1" a="1"/>
  <c r="U212" i="4" s="1"/>
  <c r="S213" i="4"/>
  <c r="U213" i="4" s="1" a="1"/>
  <c r="U213" i="4" s="1"/>
  <c r="S214" i="4"/>
  <c r="U214" i="4" s="1" a="1"/>
  <c r="U214" i="4" s="1"/>
  <c r="S215" i="4"/>
  <c r="U215" i="4" s="1" a="1"/>
  <c r="U215" i="4" s="1"/>
  <c r="S216" i="4"/>
  <c r="U216" i="4" s="1" a="1"/>
  <c r="U216" i="4" s="1"/>
  <c r="S217" i="4"/>
  <c r="U217" i="4" s="1" a="1"/>
  <c r="U217" i="4" s="1"/>
  <c r="S218" i="4"/>
  <c r="U218" i="4" s="1" a="1"/>
  <c r="U218" i="4" s="1"/>
  <c r="S219" i="4"/>
  <c r="U219" i="4" s="1" a="1"/>
  <c r="U219" i="4" s="1"/>
  <c r="S220" i="4"/>
  <c r="U220" i="4" s="1" a="1"/>
  <c r="U220" i="4" s="1"/>
  <c r="S221" i="4"/>
  <c r="U221" i="4" s="1" a="1"/>
  <c r="U221" i="4" s="1"/>
  <c r="S222" i="4"/>
  <c r="U222" i="4" s="1" a="1"/>
  <c r="U222" i="4" s="1"/>
  <c r="S223" i="4"/>
  <c r="U223" i="4" s="1" a="1"/>
  <c r="U223" i="4" s="1"/>
  <c r="S224" i="4"/>
  <c r="U224" i="4" s="1" a="1"/>
  <c r="U224" i="4" s="1"/>
  <c r="S225" i="4"/>
  <c r="U225" i="4" s="1" a="1"/>
  <c r="U225" i="4" s="1"/>
  <c r="S226" i="4"/>
  <c r="U226" i="4" s="1" a="1"/>
  <c r="U226" i="4" s="1"/>
  <c r="S227" i="4"/>
  <c r="U227" i="4" s="1" a="1"/>
  <c r="U227" i="4" s="1"/>
  <c r="S228" i="4"/>
  <c r="U228" i="4" s="1" a="1"/>
  <c r="U228" i="4" s="1"/>
  <c r="S229" i="4"/>
  <c r="U229" i="4" s="1" a="1"/>
  <c r="U229" i="4" s="1"/>
  <c r="S230" i="4"/>
  <c r="U230" i="4" s="1" a="1"/>
  <c r="U230" i="4" s="1"/>
  <c r="S231" i="4"/>
  <c r="U231" i="4" s="1" a="1"/>
  <c r="U231" i="4" s="1"/>
  <c r="S232" i="4"/>
  <c r="U232" i="4" s="1" a="1"/>
  <c r="U232" i="4" s="1"/>
  <c r="S233" i="4"/>
  <c r="U233" i="4" s="1" a="1"/>
  <c r="U233" i="4" s="1"/>
  <c r="S234" i="4"/>
  <c r="U234" i="4" s="1" a="1"/>
  <c r="U234" i="4" s="1"/>
  <c r="S235" i="4"/>
  <c r="U235" i="4" s="1" a="1"/>
  <c r="U235" i="4" s="1"/>
  <c r="S236" i="4"/>
  <c r="U236" i="4" s="1" a="1"/>
  <c r="U236" i="4" s="1"/>
  <c r="S237" i="4"/>
  <c r="U237" i="4" s="1" a="1"/>
  <c r="U237" i="4" s="1"/>
  <c r="S238" i="4"/>
  <c r="U238" i="4" s="1" a="1"/>
  <c r="U238" i="4" s="1"/>
  <c r="S239" i="4"/>
  <c r="U239" i="4" s="1" a="1"/>
  <c r="U239" i="4" s="1"/>
  <c r="S240" i="4"/>
  <c r="U240" i="4" s="1" a="1"/>
  <c r="U240" i="4" s="1"/>
  <c r="S241" i="4"/>
  <c r="U241" i="4" s="1" a="1"/>
  <c r="U241" i="4" s="1"/>
  <c r="S242" i="4"/>
  <c r="U242" i="4" s="1" a="1"/>
  <c r="U242" i="4" s="1"/>
  <c r="S243" i="4"/>
  <c r="U243" i="4" s="1" a="1"/>
  <c r="U243" i="4" s="1"/>
  <c r="S244" i="4"/>
  <c r="U244" i="4" s="1" a="1"/>
  <c r="U244" i="4" s="1"/>
  <c r="S245" i="4"/>
  <c r="U245" i="4" s="1" a="1"/>
  <c r="U245" i="4" s="1"/>
  <c r="S246" i="4"/>
  <c r="U246" i="4" s="1" a="1"/>
  <c r="U246" i="4" s="1"/>
  <c r="S247" i="4"/>
  <c r="U247" i="4" s="1" a="1"/>
  <c r="U247" i="4" s="1"/>
  <c r="S248" i="4"/>
  <c r="U248" i="4" s="1" a="1"/>
  <c r="U248" i="4" s="1"/>
  <c r="S249" i="4"/>
  <c r="U249" i="4" s="1" a="1"/>
  <c r="U249" i="4" s="1"/>
  <c r="S250" i="4"/>
  <c r="U250" i="4" s="1" a="1"/>
  <c r="U250" i="4" s="1"/>
  <c r="S251" i="4"/>
  <c r="U251" i="4" s="1" a="1"/>
  <c r="U251" i="4" s="1"/>
  <c r="S252" i="4"/>
  <c r="U252" i="4" s="1" a="1"/>
  <c r="U252" i="4" s="1"/>
  <c r="S253" i="4"/>
  <c r="U253" i="4" s="1" a="1"/>
  <c r="U253" i="4" s="1"/>
  <c r="S254" i="4"/>
  <c r="U254" i="4" s="1" a="1"/>
  <c r="U254" i="4" s="1"/>
  <c r="S255" i="4"/>
  <c r="U255" i="4" s="1" a="1"/>
  <c r="U255" i="4" s="1"/>
  <c r="S256" i="4"/>
  <c r="U256" i="4" s="1" a="1"/>
  <c r="U256" i="4" s="1"/>
  <c r="S257" i="4"/>
  <c r="U257" i="4" s="1" a="1"/>
  <c r="U257" i="4" s="1"/>
  <c r="S258" i="4"/>
  <c r="U258" i="4" s="1" a="1"/>
  <c r="U258" i="4" s="1"/>
  <c r="S259" i="4"/>
  <c r="U259" i="4" s="1" a="1"/>
  <c r="U259" i="4" s="1"/>
  <c r="S260" i="4"/>
  <c r="U260" i="4" s="1" a="1"/>
  <c r="U260" i="4" s="1"/>
  <c r="S261" i="4"/>
  <c r="U261" i="4" s="1" a="1"/>
  <c r="U261" i="4" s="1"/>
  <c r="S262" i="4"/>
  <c r="U262" i="4" s="1" a="1"/>
  <c r="U262" i="4" s="1"/>
  <c r="S263" i="4"/>
  <c r="U263" i="4" s="1" a="1"/>
  <c r="U263" i="4" s="1"/>
  <c r="S264" i="4"/>
  <c r="U264" i="4" s="1" a="1"/>
  <c r="U264" i="4" s="1"/>
  <c r="S265" i="4"/>
  <c r="U265" i="4" s="1" a="1"/>
  <c r="U265" i="4" s="1"/>
  <c r="S266" i="4"/>
  <c r="U266" i="4" s="1" a="1"/>
  <c r="U266" i="4" s="1"/>
  <c r="S267" i="4"/>
  <c r="U267" i="4" s="1" a="1"/>
  <c r="U267" i="4" s="1"/>
  <c r="S268" i="4"/>
  <c r="U268" i="4" s="1" a="1"/>
  <c r="U268" i="4" s="1"/>
  <c r="S269" i="4"/>
  <c r="U269" i="4" s="1" a="1"/>
  <c r="U269" i="4" s="1"/>
  <c r="S270" i="4"/>
  <c r="U270" i="4" s="1" a="1"/>
  <c r="U270" i="4" s="1"/>
  <c r="S271" i="4"/>
  <c r="U271" i="4" s="1" a="1"/>
  <c r="U271" i="4" s="1"/>
  <c r="S272" i="4"/>
  <c r="U272" i="4" s="1" a="1"/>
  <c r="U272" i="4" s="1"/>
  <c r="S273" i="4"/>
  <c r="U273" i="4" s="1" a="1"/>
  <c r="U273" i="4" s="1"/>
  <c r="S274" i="4"/>
  <c r="U274" i="4" s="1" a="1"/>
  <c r="U274" i="4" s="1"/>
  <c r="S275" i="4"/>
  <c r="U275" i="4" s="1" a="1"/>
  <c r="U275" i="4" s="1"/>
  <c r="S276" i="4"/>
  <c r="U276" i="4" s="1" a="1"/>
  <c r="U276" i="4" s="1"/>
  <c r="S277" i="4"/>
  <c r="U277" i="4" s="1" a="1"/>
  <c r="U277" i="4" s="1"/>
  <c r="S278" i="4"/>
  <c r="U278" i="4" s="1" a="1"/>
  <c r="U278" i="4" s="1"/>
  <c r="S279" i="4"/>
  <c r="U279" i="4" s="1" a="1"/>
  <c r="U279" i="4" s="1"/>
  <c r="S280" i="4"/>
  <c r="U280" i="4" s="1" a="1"/>
  <c r="U280" i="4" s="1"/>
  <c r="S281" i="4"/>
  <c r="U281" i="4" s="1" a="1"/>
  <c r="U281" i="4" s="1"/>
  <c r="S282" i="4"/>
  <c r="U282" i="4" s="1" a="1"/>
  <c r="U282" i="4" s="1"/>
  <c r="S283" i="4"/>
  <c r="U283" i="4" s="1" a="1"/>
  <c r="U283" i="4" s="1"/>
  <c r="S284" i="4"/>
  <c r="U284" i="4" s="1" a="1"/>
  <c r="U284" i="4" s="1"/>
  <c r="S285" i="4"/>
  <c r="U285" i="4" s="1" a="1"/>
  <c r="U285" i="4" s="1"/>
  <c r="S286" i="4"/>
  <c r="U286" i="4" s="1" a="1"/>
  <c r="U286" i="4" s="1"/>
  <c r="S287" i="4"/>
  <c r="U287" i="4" s="1" a="1"/>
  <c r="U287" i="4" s="1"/>
  <c r="S288" i="4"/>
  <c r="U288" i="4" s="1" a="1"/>
  <c r="U288" i="4" s="1"/>
  <c r="S289" i="4"/>
  <c r="U289" i="4" s="1" a="1"/>
  <c r="U289" i="4" s="1"/>
  <c r="S290" i="4"/>
  <c r="U290" i="4" s="1" a="1"/>
  <c r="U290" i="4" s="1"/>
  <c r="S291" i="4"/>
  <c r="U291" i="4" s="1" a="1"/>
  <c r="U291" i="4" s="1"/>
  <c r="S292" i="4"/>
  <c r="U292" i="4" s="1" a="1"/>
  <c r="U292" i="4" s="1"/>
  <c r="S293" i="4"/>
  <c r="U293" i="4" s="1" a="1"/>
  <c r="U293" i="4" s="1"/>
  <c r="S294" i="4"/>
  <c r="U294" i="4" s="1" a="1"/>
  <c r="U294" i="4" s="1"/>
  <c r="S295" i="4"/>
  <c r="U295" i="4" s="1" a="1"/>
  <c r="U295" i="4" s="1"/>
  <c r="S296" i="4"/>
  <c r="U296" i="4" s="1" a="1"/>
  <c r="U296" i="4" s="1"/>
  <c r="S297" i="4"/>
  <c r="U297" i="4" s="1" a="1"/>
  <c r="U297" i="4" s="1"/>
  <c r="S298" i="4"/>
  <c r="U298" i="4" s="1" a="1"/>
  <c r="U298" i="4" s="1"/>
  <c r="S299" i="4"/>
  <c r="U299" i="4" s="1" a="1"/>
  <c r="U299" i="4" s="1"/>
  <c r="S300" i="4"/>
  <c r="U300" i="4" s="1" a="1"/>
  <c r="U300" i="4" s="1"/>
  <c r="S301" i="4"/>
  <c r="U301" i="4" s="1" a="1"/>
  <c r="U301" i="4" s="1"/>
  <c r="S302" i="4"/>
  <c r="U302" i="4" s="1" a="1"/>
  <c r="U302" i="4" s="1"/>
  <c r="S303" i="4"/>
  <c r="U303" i="4" s="1" a="1"/>
  <c r="U303" i="4" s="1"/>
  <c r="S304" i="4"/>
  <c r="U304" i="4" s="1" a="1"/>
  <c r="U304" i="4" s="1"/>
  <c r="S305" i="4"/>
  <c r="U305" i="4" s="1" a="1"/>
  <c r="U305" i="4" s="1"/>
  <c r="S306" i="4"/>
  <c r="U306" i="4" s="1" a="1"/>
  <c r="U306" i="4" s="1"/>
  <c r="S307" i="4"/>
  <c r="U307" i="4" s="1" a="1"/>
  <c r="U307" i="4" s="1"/>
  <c r="S308" i="4"/>
  <c r="U308" i="4" s="1" a="1"/>
  <c r="U308" i="4" s="1"/>
  <c r="S309" i="4"/>
  <c r="U309" i="4" s="1" a="1"/>
  <c r="U309" i="4" s="1"/>
  <c r="S310" i="4"/>
  <c r="U310" i="4" s="1" a="1"/>
  <c r="U310" i="4" s="1"/>
  <c r="S311" i="4"/>
  <c r="U311" i="4" s="1" a="1"/>
  <c r="U311" i="4" s="1"/>
  <c r="S312" i="4"/>
  <c r="U312" i="4" s="1" a="1"/>
  <c r="U312" i="4" s="1"/>
  <c r="S313" i="4"/>
  <c r="U313" i="4" s="1" a="1"/>
  <c r="U313" i="4" s="1"/>
  <c r="S314" i="4"/>
  <c r="U314" i="4" s="1" a="1"/>
  <c r="U314" i="4" s="1"/>
  <c r="S315" i="4"/>
  <c r="U315" i="4" s="1" a="1"/>
  <c r="U315" i="4" s="1"/>
  <c r="S316" i="4"/>
  <c r="U316" i="4" s="1" a="1"/>
  <c r="U316" i="4" s="1"/>
  <c r="S317" i="4"/>
  <c r="U317" i="4" s="1" a="1"/>
  <c r="U317" i="4" s="1"/>
  <c r="S318" i="4"/>
  <c r="U318" i="4" s="1" a="1"/>
  <c r="U318" i="4" s="1"/>
  <c r="S319" i="4"/>
  <c r="U319" i="4" s="1" a="1"/>
  <c r="U319" i="4" s="1"/>
  <c r="S320" i="4"/>
  <c r="U320" i="4" s="1" a="1"/>
  <c r="U320" i="4" s="1"/>
  <c r="S321" i="4"/>
  <c r="U321" i="4" s="1" a="1"/>
  <c r="U321" i="4" s="1"/>
  <c r="S322" i="4"/>
  <c r="U322" i="4" s="1" a="1"/>
  <c r="U322" i="4" s="1"/>
  <c r="S323" i="4"/>
  <c r="U323" i="4" s="1" a="1"/>
  <c r="U323" i="4" s="1"/>
  <c r="S324" i="4"/>
  <c r="U324" i="4" s="1" a="1"/>
  <c r="U324" i="4" s="1"/>
  <c r="S325" i="4"/>
  <c r="U325" i="4" s="1" a="1"/>
  <c r="U325" i="4" s="1"/>
  <c r="S326" i="4"/>
  <c r="U326" i="4" s="1" a="1"/>
  <c r="U326" i="4" s="1"/>
  <c r="S327" i="4"/>
  <c r="U327" i="4" s="1" a="1"/>
  <c r="U327" i="4" s="1"/>
  <c r="S328" i="4"/>
  <c r="U328" i="4" s="1" a="1"/>
  <c r="U328" i="4" s="1"/>
  <c r="S329" i="4"/>
  <c r="U329" i="4" s="1" a="1"/>
  <c r="U329" i="4" s="1"/>
  <c r="S330" i="4"/>
  <c r="U330" i="4" s="1" a="1"/>
  <c r="U330" i="4" s="1"/>
  <c r="S331" i="4"/>
  <c r="U331" i="4" s="1" a="1"/>
  <c r="U331" i="4" s="1"/>
  <c r="S332" i="4"/>
  <c r="U332" i="4" s="1" a="1"/>
  <c r="U332" i="4" s="1"/>
  <c r="S333" i="4"/>
  <c r="U333" i="4" s="1" a="1"/>
  <c r="U333" i="4" s="1"/>
  <c r="S334" i="4"/>
  <c r="U334" i="4" s="1" a="1"/>
  <c r="U334" i="4" s="1"/>
  <c r="S335" i="4"/>
  <c r="U335" i="4" s="1" a="1"/>
  <c r="U335" i="4" s="1"/>
  <c r="S336" i="4"/>
  <c r="U336" i="4" s="1" a="1"/>
  <c r="U336" i="4" s="1"/>
  <c r="S337" i="4"/>
  <c r="U337" i="4" s="1" a="1"/>
  <c r="U337" i="4" s="1"/>
  <c r="S338" i="4"/>
  <c r="U338" i="4" s="1" a="1"/>
  <c r="U338" i="4" s="1"/>
  <c r="S339" i="4"/>
  <c r="U339" i="4" s="1" a="1"/>
  <c r="U339" i="4" s="1"/>
  <c r="S340" i="4"/>
  <c r="U340" i="4" s="1" a="1"/>
  <c r="U340" i="4" s="1"/>
  <c r="S341" i="4"/>
  <c r="U341" i="4" s="1" a="1"/>
  <c r="U341" i="4" s="1"/>
  <c r="S342" i="4"/>
  <c r="U342" i="4" s="1" a="1"/>
  <c r="U342" i="4" s="1"/>
  <c r="S343" i="4"/>
  <c r="U343" i="4" s="1" a="1"/>
  <c r="U343" i="4" s="1"/>
  <c r="S344" i="4"/>
  <c r="U344" i="4" s="1" a="1"/>
  <c r="U344" i="4" s="1"/>
  <c r="S345" i="4"/>
  <c r="U345" i="4" s="1" a="1"/>
  <c r="U345" i="4" s="1"/>
  <c r="S346" i="4"/>
  <c r="U346" i="4" s="1" a="1"/>
  <c r="U346" i="4" s="1"/>
  <c r="S347" i="4"/>
  <c r="U347" i="4" s="1" a="1"/>
  <c r="U347" i="4" s="1"/>
  <c r="S348" i="4"/>
  <c r="U348" i="4" s="1" a="1"/>
  <c r="U348" i="4" s="1"/>
  <c r="S349" i="4"/>
  <c r="U349" i="4" s="1" a="1"/>
  <c r="U349" i="4" s="1"/>
  <c r="S350" i="4"/>
  <c r="U350" i="4" s="1" a="1"/>
  <c r="U350" i="4" s="1"/>
  <c r="S351" i="4"/>
  <c r="U351" i="4" s="1" a="1"/>
  <c r="U351" i="4" s="1"/>
  <c r="S352" i="4"/>
  <c r="U352" i="4" s="1" a="1"/>
  <c r="U352" i="4" s="1"/>
  <c r="S353" i="4"/>
  <c r="U353" i="4" s="1" a="1"/>
  <c r="U353" i="4" s="1"/>
  <c r="S354" i="4"/>
  <c r="U354" i="4" s="1" a="1"/>
  <c r="U354" i="4" s="1"/>
  <c r="S355" i="4"/>
  <c r="U355" i="4" s="1" a="1"/>
  <c r="U355" i="4" s="1"/>
  <c r="S356" i="4"/>
  <c r="U356" i="4" s="1" a="1"/>
  <c r="U356" i="4" s="1"/>
  <c r="S357" i="4"/>
  <c r="U357" i="4" s="1" a="1"/>
  <c r="U357" i="4" s="1"/>
  <c r="S358" i="4"/>
  <c r="U358" i="4" s="1" a="1"/>
  <c r="U358" i="4" s="1"/>
  <c r="S359" i="4"/>
  <c r="U359" i="4" s="1" a="1"/>
  <c r="U359" i="4" s="1"/>
  <c r="S360" i="4"/>
  <c r="U360" i="4" s="1" a="1"/>
  <c r="U360" i="4" s="1"/>
  <c r="S361" i="4"/>
  <c r="U361" i="4" s="1" a="1"/>
  <c r="U361" i="4" s="1"/>
  <c r="S362" i="4"/>
  <c r="U362" i="4" s="1" a="1"/>
  <c r="U362" i="4" s="1"/>
  <c r="S363" i="4"/>
  <c r="U363" i="4" s="1" a="1"/>
  <c r="U363" i="4" s="1"/>
  <c r="S364" i="4"/>
  <c r="U364" i="4" s="1" a="1"/>
  <c r="U364" i="4" s="1"/>
  <c r="S365" i="4"/>
  <c r="U365" i="4" s="1" a="1"/>
  <c r="U365" i="4" s="1"/>
  <c r="S366" i="4"/>
  <c r="U366" i="4" s="1" a="1"/>
  <c r="U366" i="4" s="1"/>
  <c r="S367" i="4"/>
  <c r="U367" i="4" s="1" a="1"/>
  <c r="U367" i="4" s="1"/>
  <c r="S368" i="4"/>
  <c r="U368" i="4" s="1" a="1"/>
  <c r="U368" i="4" s="1"/>
  <c r="S369" i="4"/>
  <c r="U369" i="4" s="1" a="1"/>
  <c r="U369" i="4" s="1"/>
  <c r="S370" i="4"/>
  <c r="U370" i="4" s="1" a="1"/>
  <c r="U370" i="4" s="1"/>
  <c r="S371" i="4"/>
  <c r="U371" i="4" s="1" a="1"/>
  <c r="U371" i="4" s="1"/>
  <c r="S372" i="4"/>
  <c r="U372" i="4" s="1" a="1"/>
  <c r="U372" i="4" s="1"/>
  <c r="S373" i="4"/>
  <c r="U373" i="4" s="1" a="1"/>
  <c r="U373" i="4" s="1"/>
  <c r="S374" i="4"/>
  <c r="U374" i="4" s="1" a="1"/>
  <c r="U374" i="4" s="1"/>
  <c r="S375" i="4"/>
  <c r="U375" i="4" s="1" a="1"/>
  <c r="U375" i="4" s="1"/>
  <c r="S376" i="4"/>
  <c r="U376" i="4" s="1" a="1"/>
  <c r="U376" i="4" s="1"/>
  <c r="S377" i="4"/>
  <c r="U377" i="4" s="1" a="1"/>
  <c r="U377" i="4" s="1"/>
  <c r="S378" i="4"/>
  <c r="U378" i="4" s="1" a="1"/>
  <c r="U378" i="4" s="1"/>
  <c r="S379" i="4"/>
  <c r="U379" i="4" s="1" a="1"/>
  <c r="U379" i="4" s="1"/>
  <c r="S380" i="4"/>
  <c r="U380" i="4" s="1" a="1"/>
  <c r="U380" i="4" s="1"/>
  <c r="S381" i="4"/>
  <c r="U381" i="4" s="1" a="1"/>
  <c r="U381" i="4" s="1"/>
  <c r="S382" i="4"/>
  <c r="U382" i="4" s="1" a="1"/>
  <c r="U382" i="4" s="1"/>
  <c r="S383" i="4"/>
  <c r="U383" i="4" s="1" a="1"/>
  <c r="U383" i="4" s="1"/>
  <c r="S384" i="4"/>
  <c r="U384" i="4" s="1" a="1"/>
  <c r="U384" i="4" s="1"/>
  <c r="S385" i="4"/>
  <c r="U385" i="4" s="1" a="1"/>
  <c r="U385" i="4" s="1"/>
  <c r="S386" i="4"/>
  <c r="U386" i="4" s="1" a="1"/>
  <c r="U386" i="4" s="1"/>
  <c r="S387" i="4"/>
  <c r="U387" i="4" s="1" a="1"/>
  <c r="U387" i="4" s="1"/>
  <c r="S388" i="4"/>
  <c r="U388" i="4" s="1" a="1"/>
  <c r="U388" i="4" s="1"/>
  <c r="S389" i="4"/>
  <c r="U389" i="4" s="1" a="1"/>
  <c r="U389" i="4" s="1"/>
  <c r="S390" i="4"/>
  <c r="U390" i="4" s="1" a="1"/>
  <c r="U390" i="4" s="1"/>
  <c r="S391" i="4"/>
  <c r="U391" i="4" s="1" a="1"/>
  <c r="U391" i="4" s="1"/>
  <c r="S392" i="4"/>
  <c r="U392" i="4" s="1" a="1"/>
  <c r="U392" i="4" s="1"/>
  <c r="S393" i="4"/>
  <c r="U393" i="4" s="1" a="1"/>
  <c r="U393" i="4" s="1"/>
  <c r="S394" i="4"/>
  <c r="U394" i="4" s="1" a="1"/>
  <c r="U394" i="4" s="1"/>
  <c r="S395" i="4"/>
  <c r="U395" i="4" s="1" a="1"/>
  <c r="U395" i="4" s="1"/>
  <c r="S396" i="4"/>
  <c r="U396" i="4" s="1" a="1"/>
  <c r="U396" i="4" s="1"/>
  <c r="S397" i="4"/>
  <c r="U397" i="4" s="1" a="1"/>
  <c r="U397" i="4" s="1"/>
  <c r="S398" i="4"/>
  <c r="U398" i="4" s="1" a="1"/>
  <c r="U398" i="4" s="1"/>
  <c r="S399" i="4"/>
  <c r="U399" i="4" s="1" a="1"/>
  <c r="U399" i="4" s="1"/>
  <c r="S400" i="4"/>
  <c r="U400" i="4" s="1" a="1"/>
  <c r="U400" i="4" s="1"/>
  <c r="S401" i="4"/>
  <c r="U401" i="4" s="1" a="1"/>
  <c r="U401" i="4" s="1"/>
  <c r="S402" i="4"/>
  <c r="U402" i="4" s="1" a="1"/>
  <c r="U402" i="4" s="1"/>
  <c r="S403" i="4"/>
  <c r="U403" i="4" s="1" a="1"/>
  <c r="U403" i="4" s="1"/>
  <c r="S404" i="4"/>
  <c r="U404" i="4" s="1" a="1"/>
  <c r="U404" i="4" s="1"/>
  <c r="S405" i="4"/>
  <c r="U405" i="4" s="1" a="1"/>
  <c r="U405" i="4" s="1"/>
  <c r="S406" i="4"/>
  <c r="U406" i="4" s="1" a="1"/>
  <c r="U406" i="4" s="1"/>
  <c r="S407" i="4"/>
  <c r="U407" i="4" s="1" a="1"/>
  <c r="U407" i="4" s="1"/>
  <c r="S408" i="4"/>
  <c r="U408" i="4" s="1" a="1"/>
  <c r="U408" i="4" s="1"/>
  <c r="S409" i="4"/>
  <c r="U409" i="4" s="1" a="1"/>
  <c r="U409" i="4" s="1"/>
  <c r="S410" i="4"/>
  <c r="U410" i="4" s="1" a="1"/>
  <c r="U410" i="4" s="1"/>
  <c r="S411" i="4"/>
  <c r="U411" i="4" s="1" a="1"/>
  <c r="U411" i="4" s="1"/>
  <c r="S412" i="4"/>
  <c r="U412" i="4" s="1" a="1"/>
  <c r="U412" i="4" s="1"/>
  <c r="S413" i="4"/>
  <c r="U413" i="4" s="1" a="1"/>
  <c r="U413" i="4" s="1"/>
  <c r="S414" i="4"/>
  <c r="U414" i="4" s="1" a="1"/>
  <c r="U414" i="4" s="1"/>
  <c r="S415" i="4"/>
  <c r="U415" i="4" s="1" a="1"/>
  <c r="U415" i="4" s="1"/>
  <c r="S416" i="4"/>
  <c r="U416" i="4" s="1" a="1"/>
  <c r="U416" i="4" s="1"/>
  <c r="S417" i="4"/>
  <c r="U417" i="4" s="1" a="1"/>
  <c r="U417" i="4" s="1"/>
  <c r="S418" i="4"/>
  <c r="U418" i="4" s="1" a="1"/>
  <c r="U418" i="4" s="1"/>
  <c r="S419" i="4"/>
  <c r="U419" i="4" s="1" a="1"/>
  <c r="U419" i="4" s="1"/>
  <c r="S420" i="4"/>
  <c r="U420" i="4" s="1" a="1"/>
  <c r="U420" i="4" s="1"/>
  <c r="S421" i="4"/>
  <c r="U421" i="4" s="1" a="1"/>
  <c r="U421" i="4" s="1"/>
  <c r="S422" i="4"/>
  <c r="U422" i="4" s="1" a="1"/>
  <c r="U422" i="4" s="1"/>
  <c r="S423" i="4"/>
  <c r="U423" i="4" s="1" a="1"/>
  <c r="U423" i="4" s="1"/>
  <c r="S424" i="4"/>
  <c r="U424" i="4" s="1" a="1"/>
  <c r="U424" i="4" s="1"/>
  <c r="S425" i="4"/>
  <c r="U425" i="4" s="1" a="1"/>
  <c r="U425" i="4" s="1"/>
  <c r="S426" i="4"/>
  <c r="U426" i="4" s="1" a="1"/>
  <c r="U426" i="4" s="1"/>
  <c r="S427" i="4"/>
  <c r="U427" i="4" s="1" a="1"/>
  <c r="U427" i="4" s="1"/>
  <c r="S428" i="4"/>
  <c r="U428" i="4" s="1" a="1"/>
  <c r="U428" i="4" s="1"/>
  <c r="S429" i="4"/>
  <c r="U429" i="4" s="1" a="1"/>
  <c r="U429" i="4" s="1"/>
  <c r="S430" i="4"/>
  <c r="U430" i="4" s="1" a="1"/>
  <c r="U430" i="4" s="1"/>
  <c r="S431" i="4"/>
  <c r="U431" i="4" s="1" a="1"/>
  <c r="U431" i="4" s="1"/>
  <c r="S432" i="4"/>
  <c r="U432" i="4" s="1" a="1"/>
  <c r="U432" i="4" s="1"/>
  <c r="S433" i="4"/>
  <c r="U433" i="4" s="1" a="1"/>
  <c r="U433" i="4" s="1"/>
  <c r="S434" i="4"/>
  <c r="U434" i="4" s="1" a="1"/>
  <c r="U434" i="4" s="1"/>
  <c r="S435" i="4"/>
  <c r="U435" i="4" s="1" a="1"/>
  <c r="U435" i="4" s="1"/>
  <c r="S436" i="4"/>
  <c r="U436" i="4" s="1" a="1"/>
  <c r="U436" i="4" s="1"/>
  <c r="S437" i="4"/>
  <c r="U437" i="4" s="1" a="1"/>
  <c r="U437" i="4" s="1"/>
  <c r="S438" i="4"/>
  <c r="U438" i="4" s="1" a="1"/>
  <c r="U438" i="4" s="1"/>
  <c r="S439" i="4"/>
  <c r="U439" i="4" s="1" a="1"/>
  <c r="S440" i="4"/>
  <c r="U440" i="4" s="1" a="1"/>
  <c r="U440" i="4" s="1"/>
  <c r="S441" i="4"/>
  <c r="U441" i="4" s="1" a="1"/>
  <c r="U441" i="4" s="1"/>
  <c r="S442" i="4"/>
  <c r="U442" i="4" s="1" a="1"/>
  <c r="U442" i="4" s="1"/>
  <c r="S443" i="4"/>
  <c r="U443" i="4" s="1" a="1"/>
  <c r="U443" i="4" s="1"/>
  <c r="S444" i="4"/>
  <c r="U444" i="4" s="1" a="1"/>
  <c r="U444" i="4" s="1"/>
  <c r="S445" i="4"/>
  <c r="U445" i="4" s="1" a="1"/>
  <c r="U445" i="4" s="1"/>
  <c r="S446" i="4"/>
  <c r="U446" i="4" s="1" a="1"/>
  <c r="U446" i="4" s="1"/>
  <c r="S447" i="4"/>
  <c r="U447" i="4" s="1" a="1"/>
  <c r="U447" i="4" s="1"/>
  <c r="S448" i="4"/>
  <c r="U448" i="4" s="1" a="1"/>
  <c r="U448" i="4" s="1"/>
  <c r="S449" i="4"/>
  <c r="U449" i="4" s="1" a="1"/>
  <c r="U449" i="4" s="1"/>
  <c r="S450" i="4"/>
  <c r="U450" i="4" s="1" a="1"/>
  <c r="U450" i="4" s="1"/>
  <c r="S451" i="4"/>
  <c r="U451" i="4" s="1" a="1"/>
  <c r="U451" i="4" s="1"/>
  <c r="S452" i="4"/>
  <c r="U452" i="4" s="1" a="1"/>
  <c r="U452" i="4" s="1"/>
  <c r="S453" i="4"/>
  <c r="U453" i="4" s="1" a="1"/>
  <c r="U453" i="4" s="1"/>
  <c r="S454" i="4"/>
  <c r="U454" i="4" s="1" a="1"/>
  <c r="U454" i="4" s="1"/>
  <c r="S455" i="4"/>
  <c r="U455" i="4" s="1" a="1"/>
  <c r="U455" i="4" s="1"/>
  <c r="S456" i="4"/>
  <c r="U456" i="4" s="1" a="1"/>
  <c r="U456" i="4" s="1"/>
  <c r="S457" i="4"/>
  <c r="U457" i="4" s="1" a="1"/>
  <c r="U457" i="4" s="1"/>
  <c r="S458" i="4"/>
  <c r="U458" i="4" s="1" a="1"/>
  <c r="U458" i="4" s="1"/>
  <c r="S459" i="4"/>
  <c r="U459" i="4" s="1" a="1"/>
  <c r="U459" i="4" s="1"/>
  <c r="S460" i="4"/>
  <c r="U460" i="4" s="1" a="1"/>
  <c r="U460" i="4" s="1"/>
  <c r="S461" i="4"/>
  <c r="U461" i="4" s="1" a="1"/>
  <c r="U461" i="4" s="1"/>
  <c r="S462" i="4"/>
  <c r="U462" i="4" s="1" a="1"/>
  <c r="U462" i="4" s="1"/>
  <c r="S463" i="4"/>
  <c r="U463" i="4" s="1" a="1"/>
  <c r="U463" i="4" s="1"/>
  <c r="S464" i="4"/>
  <c r="U464" i="4" s="1" a="1"/>
  <c r="U464" i="4" s="1"/>
  <c r="S465" i="4"/>
  <c r="U465" i="4" s="1" a="1"/>
  <c r="U465" i="4" s="1"/>
  <c r="S466" i="4"/>
  <c r="U466" i="4" s="1" a="1"/>
  <c r="U466" i="4" s="1"/>
  <c r="S467" i="4"/>
  <c r="U467" i="4" s="1" a="1"/>
  <c r="U467" i="4" s="1"/>
  <c r="S468" i="4"/>
  <c r="U468" i="4" s="1" a="1"/>
  <c r="U468" i="4" s="1"/>
  <c r="S469" i="4"/>
  <c r="U469" i="4" s="1" a="1"/>
  <c r="U469" i="4" s="1"/>
  <c r="S470" i="4"/>
  <c r="U470" i="4" s="1" a="1"/>
  <c r="U470" i="4" s="1"/>
  <c r="S471" i="4"/>
  <c r="U471" i="4" s="1" a="1"/>
  <c r="U471" i="4" s="1"/>
  <c r="S472" i="4"/>
  <c r="U472" i="4" s="1" a="1"/>
  <c r="U472" i="4" s="1"/>
  <c r="S473" i="4"/>
  <c r="U473" i="4" s="1" a="1"/>
  <c r="U473" i="4" s="1"/>
  <c r="S474" i="4"/>
  <c r="U474" i="4" s="1" a="1"/>
  <c r="U474" i="4" s="1"/>
  <c r="S475" i="4"/>
  <c r="U475" i="4" s="1" a="1"/>
  <c r="U475" i="4" s="1"/>
  <c r="S476" i="4"/>
  <c r="U476" i="4" s="1" a="1"/>
  <c r="U476" i="4" s="1"/>
  <c r="S477" i="4"/>
  <c r="U477" i="4" s="1" a="1"/>
  <c r="U477" i="4" s="1"/>
  <c r="S478" i="4"/>
  <c r="U478" i="4" s="1" a="1"/>
  <c r="U478" i="4" s="1"/>
  <c r="S479" i="4"/>
  <c r="U479" i="4" s="1" a="1"/>
  <c r="U479" i="4" s="1"/>
  <c r="S480" i="4"/>
  <c r="U480" i="4" s="1" a="1"/>
  <c r="U480" i="4" s="1"/>
  <c r="S481" i="4"/>
  <c r="U481" i="4" s="1" a="1"/>
  <c r="U481" i="4" s="1"/>
  <c r="S482" i="4"/>
  <c r="U482" i="4" s="1" a="1"/>
  <c r="U482" i="4" s="1"/>
  <c r="S483" i="4"/>
  <c r="U483" i="4" s="1" a="1"/>
  <c r="U483" i="4" s="1"/>
  <c r="S484" i="4"/>
  <c r="U484" i="4" s="1" a="1"/>
  <c r="U484" i="4" s="1"/>
  <c r="S485" i="4"/>
  <c r="U485" i="4" s="1" a="1"/>
  <c r="U485" i="4" s="1"/>
  <c r="S486" i="4"/>
  <c r="U486" i="4" s="1" a="1"/>
  <c r="U486" i="4" s="1"/>
  <c r="S487" i="4"/>
  <c r="U487" i="4" s="1" a="1"/>
  <c r="U487" i="4" s="1"/>
  <c r="S488" i="4"/>
  <c r="U488" i="4" s="1" a="1"/>
  <c r="U488" i="4" s="1"/>
  <c r="S489" i="4"/>
  <c r="U489" i="4" s="1" a="1"/>
  <c r="U489" i="4" s="1"/>
  <c r="S490" i="4"/>
  <c r="U490" i="4" s="1" a="1"/>
  <c r="U490" i="4" s="1"/>
  <c r="S491" i="4"/>
  <c r="U491" i="4" s="1" a="1"/>
  <c r="U491" i="4" s="1"/>
  <c r="S492" i="4"/>
  <c r="U492" i="4" s="1" a="1"/>
  <c r="U492" i="4" s="1"/>
  <c r="S493" i="4"/>
  <c r="U493" i="4" s="1" a="1"/>
  <c r="U493" i="4" s="1"/>
  <c r="S494" i="4"/>
  <c r="U494" i="4" s="1" a="1"/>
  <c r="U494" i="4" s="1"/>
  <c r="S495" i="4"/>
  <c r="U495" i="4" s="1" a="1"/>
  <c r="U495" i="4" s="1"/>
  <c r="S496" i="4"/>
  <c r="U496" i="4" s="1" a="1"/>
  <c r="U496" i="4" s="1"/>
  <c r="S497" i="4"/>
  <c r="U497" i="4" s="1" a="1"/>
  <c r="U497" i="4" s="1"/>
  <c r="S498" i="4"/>
  <c r="U498" i="4" s="1" a="1"/>
  <c r="U498" i="4" s="1"/>
  <c r="S499" i="4"/>
  <c r="U499" i="4" s="1" a="1"/>
  <c r="U499" i="4" s="1"/>
  <c r="S500" i="4"/>
  <c r="U500" i="4" s="1" a="1"/>
  <c r="U500" i="4" s="1"/>
  <c r="S501" i="4"/>
  <c r="U501" i="4" s="1" a="1"/>
  <c r="U501" i="4" s="1"/>
  <c r="S502" i="4"/>
  <c r="U502" i="4" s="1" a="1"/>
  <c r="U502" i="4" s="1"/>
  <c r="S503" i="4"/>
  <c r="U503" i="4" s="1" a="1"/>
  <c r="U503" i="4" s="1"/>
  <c r="S504" i="4"/>
  <c r="U504" i="4" s="1" a="1"/>
  <c r="U504" i="4" s="1"/>
  <c r="S505" i="4"/>
  <c r="U505" i="4" s="1" a="1"/>
  <c r="U505" i="4" s="1"/>
  <c r="S506" i="4"/>
  <c r="U506" i="4" s="1" a="1"/>
  <c r="U506" i="4" s="1"/>
  <c r="S507" i="4"/>
  <c r="U507" i="4" s="1" a="1"/>
  <c r="U507" i="4" s="1"/>
  <c r="S508" i="4"/>
  <c r="U508" i="4" s="1" a="1"/>
  <c r="U508" i="4" s="1"/>
  <c r="S509" i="4"/>
  <c r="U509" i="4" s="1" a="1"/>
  <c r="U509" i="4" s="1"/>
  <c r="S510" i="4"/>
  <c r="U510" i="4" s="1" a="1"/>
  <c r="U510" i="4" s="1"/>
  <c r="S511" i="4"/>
  <c r="U511" i="4" s="1" a="1"/>
  <c r="U511" i="4" s="1"/>
  <c r="S512" i="4"/>
  <c r="U512" i="4" s="1" a="1"/>
  <c r="U512" i="4" s="1"/>
  <c r="S513" i="4"/>
  <c r="U513" i="4" s="1" a="1"/>
  <c r="U513" i="4" s="1"/>
  <c r="S514" i="4"/>
  <c r="U514" i="4" s="1" a="1"/>
  <c r="U514" i="4" s="1"/>
  <c r="S515" i="4"/>
  <c r="U515" i="4" s="1" a="1"/>
  <c r="U515" i="4" s="1"/>
  <c r="S516" i="4"/>
  <c r="U516" i="4" s="1" a="1"/>
  <c r="U516" i="4" s="1"/>
  <c r="S517" i="4"/>
  <c r="U517" i="4" s="1" a="1"/>
  <c r="U517" i="4" s="1"/>
  <c r="S518" i="4"/>
  <c r="U518" i="4" s="1" a="1"/>
  <c r="U518" i="4" s="1"/>
  <c r="S519" i="4"/>
  <c r="U519" i="4" s="1" a="1"/>
  <c r="U519" i="4" s="1"/>
  <c r="S520" i="4"/>
  <c r="U520" i="4" s="1" a="1"/>
  <c r="U520" i="4" s="1"/>
  <c r="S521" i="4"/>
  <c r="U521" i="4" s="1" a="1"/>
  <c r="U521" i="4" s="1"/>
  <c r="S522" i="4"/>
  <c r="U522" i="4" s="1" a="1"/>
  <c r="U522" i="4" s="1"/>
  <c r="S523" i="4"/>
  <c r="U523" i="4" s="1" a="1"/>
  <c r="U523" i="4" s="1"/>
  <c r="S524" i="4"/>
  <c r="U524" i="4" s="1" a="1"/>
  <c r="U524" i="4" s="1"/>
  <c r="S525" i="4"/>
  <c r="U525" i="4" s="1" a="1"/>
  <c r="U525" i="4" s="1"/>
  <c r="S526" i="4"/>
  <c r="U526" i="4" s="1" a="1"/>
  <c r="U526" i="4" s="1"/>
  <c r="S527" i="4"/>
  <c r="U527" i="4" s="1" a="1"/>
  <c r="U527" i="4" s="1"/>
  <c r="S528" i="4"/>
  <c r="U528" i="4" s="1" a="1"/>
  <c r="U528" i="4" s="1"/>
  <c r="S529" i="4"/>
  <c r="U529" i="4" s="1" a="1"/>
  <c r="U529" i="4" s="1"/>
  <c r="S530" i="4"/>
  <c r="U530" i="4" s="1" a="1"/>
  <c r="U530" i="4" s="1"/>
  <c r="S531" i="4"/>
  <c r="U531" i="4" s="1" a="1"/>
  <c r="U531" i="4" s="1"/>
  <c r="S532" i="4"/>
  <c r="U532" i="4" s="1" a="1"/>
  <c r="U532" i="4" s="1"/>
  <c r="S533" i="4"/>
  <c r="U533" i="4" s="1" a="1"/>
  <c r="U533" i="4" s="1"/>
  <c r="S534" i="4"/>
  <c r="U534" i="4" s="1" a="1"/>
  <c r="U534" i="4" s="1"/>
  <c r="S535" i="4"/>
  <c r="U535" i="4" s="1" a="1"/>
  <c r="U535" i="4" s="1"/>
  <c r="S536" i="4"/>
  <c r="U536" i="4" s="1" a="1"/>
  <c r="U536" i="4" s="1"/>
  <c r="S537" i="4"/>
  <c r="U537" i="4" s="1" a="1"/>
  <c r="U537" i="4" s="1"/>
  <c r="S538" i="4"/>
  <c r="U538" i="4" s="1" a="1"/>
  <c r="U538" i="4" s="1"/>
  <c r="S539" i="4"/>
  <c r="U539" i="4" s="1" a="1"/>
  <c r="U539" i="4" s="1"/>
  <c r="S540" i="4"/>
  <c r="U540" i="4" s="1" a="1"/>
  <c r="U540" i="4" s="1"/>
  <c r="S541" i="4"/>
  <c r="U541" i="4" s="1" a="1"/>
  <c r="U541" i="4" s="1"/>
  <c r="S542" i="4"/>
  <c r="U542" i="4" s="1" a="1"/>
  <c r="U542" i="4" s="1"/>
  <c r="S543" i="4"/>
  <c r="U543" i="4" s="1" a="1"/>
  <c r="U543" i="4" s="1"/>
  <c r="S544" i="4"/>
  <c r="U544" i="4" s="1" a="1"/>
  <c r="U544" i="4" s="1"/>
  <c r="S545" i="4"/>
  <c r="U545" i="4" s="1" a="1"/>
  <c r="U545" i="4" s="1"/>
  <c r="S546" i="4"/>
  <c r="U546" i="4" s="1" a="1"/>
  <c r="U546" i="4" s="1"/>
  <c r="S547" i="4"/>
  <c r="U547" i="4" s="1" a="1"/>
  <c r="U547" i="4" s="1"/>
  <c r="S548" i="4"/>
  <c r="U548" i="4" s="1" a="1"/>
  <c r="U548" i="4" s="1"/>
  <c r="S549" i="4"/>
  <c r="U549" i="4" s="1" a="1"/>
  <c r="U549" i="4" s="1"/>
  <c r="S550" i="4"/>
  <c r="U550" i="4" s="1" a="1"/>
  <c r="U550" i="4" s="1"/>
  <c r="S551" i="4"/>
  <c r="U551" i="4" s="1" a="1"/>
  <c r="U551" i="4" s="1"/>
  <c r="S552" i="4"/>
  <c r="U552" i="4" s="1" a="1"/>
  <c r="U552" i="4" s="1"/>
  <c r="S553" i="4"/>
  <c r="U553" i="4" s="1" a="1"/>
  <c r="U553" i="4" s="1"/>
  <c r="S554" i="4"/>
  <c r="U554" i="4" s="1" a="1"/>
  <c r="U554" i="4" s="1"/>
  <c r="S555" i="4"/>
  <c r="U555" i="4" s="1" a="1"/>
  <c r="U555" i="4" s="1"/>
  <c r="S556" i="4"/>
  <c r="U556" i="4" s="1" a="1"/>
  <c r="U556" i="4" s="1"/>
  <c r="S557" i="4"/>
  <c r="U557" i="4" s="1" a="1"/>
  <c r="U557" i="4" s="1"/>
  <c r="S558" i="4"/>
  <c r="U558" i="4" s="1" a="1"/>
  <c r="U558" i="4" s="1"/>
  <c r="S559" i="4"/>
  <c r="U559" i="4" s="1" a="1"/>
  <c r="U559" i="4" s="1"/>
  <c r="S560" i="4"/>
  <c r="U560" i="4" s="1" a="1"/>
  <c r="U560" i="4" s="1"/>
  <c r="S561" i="4"/>
  <c r="U561" i="4" s="1" a="1"/>
  <c r="U561" i="4" s="1"/>
  <c r="S562" i="4"/>
  <c r="U562" i="4" s="1" a="1"/>
  <c r="U562" i="4" s="1"/>
  <c r="S563" i="4"/>
  <c r="U563" i="4" s="1" a="1"/>
  <c r="U563" i="4" s="1"/>
  <c r="S564" i="4"/>
  <c r="U564" i="4" s="1" a="1"/>
  <c r="U564" i="4" s="1"/>
  <c r="S565" i="4"/>
  <c r="U565" i="4" s="1" a="1"/>
  <c r="U565" i="4" s="1"/>
  <c r="S566" i="4"/>
  <c r="U566" i="4" s="1" a="1"/>
  <c r="U566" i="4" s="1"/>
  <c r="S567" i="4"/>
  <c r="U567" i="4" s="1" a="1"/>
  <c r="U567" i="4" s="1"/>
  <c r="S568" i="4"/>
  <c r="U568" i="4" s="1" a="1"/>
  <c r="U568" i="4" s="1"/>
  <c r="S569" i="4"/>
  <c r="U569" i="4" s="1" a="1"/>
  <c r="U569" i="4" s="1"/>
  <c r="S570" i="4"/>
  <c r="U570" i="4" s="1" a="1"/>
  <c r="U570" i="4" s="1"/>
  <c r="S571" i="4"/>
  <c r="U571" i="4" s="1" a="1"/>
  <c r="U571" i="4" s="1"/>
  <c r="S572" i="4"/>
  <c r="U572" i="4" s="1" a="1"/>
  <c r="U572" i="4" s="1"/>
  <c r="S573" i="4"/>
  <c r="U573" i="4" s="1" a="1"/>
  <c r="U573" i="4" s="1"/>
  <c r="S574" i="4"/>
  <c r="U574" i="4" s="1" a="1"/>
  <c r="U574" i="4" s="1"/>
  <c r="S575" i="4"/>
  <c r="U575" i="4" s="1" a="1"/>
  <c r="U575" i="4" s="1"/>
  <c r="S576" i="4"/>
  <c r="U576" i="4" s="1" a="1"/>
  <c r="U576" i="4" s="1"/>
  <c r="S577" i="4"/>
  <c r="U577" i="4" s="1" a="1"/>
  <c r="U577" i="4" s="1"/>
  <c r="S578" i="4"/>
  <c r="U578" i="4" s="1" a="1"/>
  <c r="U578" i="4" s="1"/>
  <c r="S579" i="4"/>
  <c r="U579" i="4" s="1" a="1"/>
  <c r="U579" i="4" s="1"/>
  <c r="S580" i="4"/>
  <c r="U580" i="4" s="1" a="1"/>
  <c r="U580" i="4" s="1"/>
  <c r="S581" i="4"/>
  <c r="U581" i="4" s="1" a="1"/>
  <c r="U581" i="4" s="1"/>
  <c r="S582" i="4"/>
  <c r="U582" i="4" s="1" a="1"/>
  <c r="U582" i="4" s="1"/>
  <c r="S583" i="4"/>
  <c r="U583" i="4" s="1" a="1"/>
  <c r="U583" i="4" s="1"/>
  <c r="S584" i="4"/>
  <c r="U584" i="4" s="1" a="1"/>
  <c r="U584" i="4" s="1"/>
  <c r="S585" i="4"/>
  <c r="U585" i="4" s="1" a="1"/>
  <c r="U585" i="4" s="1"/>
  <c r="S586" i="4"/>
  <c r="U586" i="4" s="1" a="1"/>
  <c r="U586" i="4" s="1"/>
  <c r="S587" i="4"/>
  <c r="U587" i="4" s="1" a="1"/>
  <c r="U587" i="4" s="1"/>
  <c r="S588" i="4"/>
  <c r="U588" i="4" s="1" a="1"/>
  <c r="U588" i="4" s="1"/>
  <c r="S589" i="4"/>
  <c r="U589" i="4" s="1" a="1"/>
  <c r="U589" i="4" s="1"/>
  <c r="S590" i="4"/>
  <c r="U590" i="4" s="1" a="1"/>
  <c r="U590" i="4" s="1"/>
  <c r="S591" i="4"/>
  <c r="U591" i="4" s="1" a="1"/>
  <c r="S592" i="4"/>
  <c r="U592" i="4" s="1" a="1"/>
  <c r="U592" i="4" s="1"/>
  <c r="S593" i="4"/>
  <c r="U593" i="4" s="1" a="1"/>
  <c r="U593" i="4" s="1"/>
  <c r="S594" i="4"/>
  <c r="U594" i="4" s="1" a="1"/>
  <c r="U594" i="4" s="1"/>
  <c r="S595" i="4"/>
  <c r="U595" i="4" s="1" a="1"/>
  <c r="U595" i="4" s="1"/>
  <c r="S596" i="4"/>
  <c r="U596" i="4" s="1" a="1"/>
  <c r="U596" i="4" s="1"/>
  <c r="S597" i="4"/>
  <c r="U597" i="4" s="1" a="1"/>
  <c r="U597" i="4" s="1"/>
  <c r="S598" i="4"/>
  <c r="U598" i="4" s="1" a="1"/>
  <c r="U598" i="4" s="1"/>
  <c r="S599" i="4"/>
  <c r="U599" i="4" s="1" a="1"/>
  <c r="U599" i="4" s="1"/>
  <c r="S600" i="4"/>
  <c r="U600" i="4" s="1" a="1"/>
  <c r="U600" i="4" s="1"/>
  <c r="S601" i="4"/>
  <c r="U601" i="4" s="1" a="1"/>
  <c r="U601" i="4" s="1"/>
  <c r="S602" i="4"/>
  <c r="U602" i="4" s="1" a="1"/>
  <c r="U602" i="4" s="1"/>
  <c r="S603" i="4"/>
  <c r="U603" i="4" s="1" a="1"/>
  <c r="U603" i="4" s="1"/>
  <c r="S604" i="4"/>
  <c r="U604" i="4" s="1" a="1"/>
  <c r="U604" i="4" s="1"/>
  <c r="S605" i="4"/>
  <c r="U605" i="4" s="1" a="1"/>
  <c r="U605" i="4" s="1"/>
  <c r="S606" i="4"/>
  <c r="U606" i="4" s="1" a="1"/>
  <c r="U606" i="4" s="1"/>
  <c r="S607" i="4"/>
  <c r="U607" i="4" s="1" a="1"/>
  <c r="U607" i="4" s="1"/>
  <c r="S608" i="4"/>
  <c r="U608" i="4" s="1" a="1"/>
  <c r="U608" i="4" s="1"/>
  <c r="S609" i="4"/>
  <c r="U609" i="4" s="1" a="1"/>
  <c r="U609" i="4" s="1"/>
  <c r="S610" i="4"/>
  <c r="U610" i="4" s="1" a="1"/>
  <c r="U610" i="4" s="1"/>
  <c r="S611" i="4"/>
  <c r="U611" i="4" s="1" a="1"/>
  <c r="U611" i="4" s="1"/>
  <c r="S612" i="4"/>
  <c r="U612" i="4" s="1" a="1"/>
  <c r="U612" i="4" s="1"/>
  <c r="S613" i="4"/>
  <c r="U613" i="4" s="1" a="1"/>
  <c r="U613" i="4" s="1"/>
  <c r="S614" i="4"/>
  <c r="U614" i="4" s="1" a="1"/>
  <c r="U614" i="4" s="1"/>
  <c r="S615" i="4"/>
  <c r="U615" i="4" s="1" a="1"/>
  <c r="U615" i="4" s="1"/>
  <c r="S616" i="4"/>
  <c r="U616" i="4" s="1" a="1"/>
  <c r="U616" i="4" s="1"/>
  <c r="S617" i="4"/>
  <c r="U617" i="4" s="1" a="1"/>
  <c r="U617" i="4" s="1"/>
  <c r="S618" i="4"/>
  <c r="U618" i="4" s="1" a="1"/>
  <c r="U618" i="4" s="1"/>
  <c r="S619" i="4"/>
  <c r="U619" i="4" s="1" a="1"/>
  <c r="U619" i="4" s="1"/>
  <c r="S620" i="4"/>
  <c r="U620" i="4" s="1" a="1"/>
  <c r="U620" i="4" s="1"/>
  <c r="S621" i="4"/>
  <c r="U621" i="4" s="1" a="1"/>
  <c r="U621" i="4" s="1"/>
  <c r="S622" i="4"/>
  <c r="U622" i="4" s="1" a="1"/>
  <c r="U622" i="4" s="1"/>
  <c r="S623" i="4"/>
  <c r="U623" i="4" s="1" a="1"/>
  <c r="U623" i="4" s="1"/>
  <c r="S624" i="4"/>
  <c r="U624" i="4" s="1" a="1"/>
  <c r="U624" i="4" s="1"/>
  <c r="S625" i="4"/>
  <c r="U625" i="4" s="1" a="1"/>
  <c r="U625" i="4" s="1"/>
  <c r="S626" i="4"/>
  <c r="U626" i="4" s="1" a="1"/>
  <c r="U626" i="4" s="1"/>
  <c r="S627" i="4"/>
  <c r="U627" i="4" s="1" a="1"/>
  <c r="U627" i="4" s="1"/>
  <c r="S628" i="4"/>
  <c r="U628" i="4" s="1" a="1"/>
  <c r="U628" i="4" s="1"/>
  <c r="S629" i="4"/>
  <c r="U629" i="4" s="1" a="1"/>
  <c r="U629" i="4" s="1"/>
  <c r="S630" i="4"/>
  <c r="U630" i="4" s="1" a="1"/>
  <c r="U630" i="4" s="1"/>
  <c r="S631" i="4"/>
  <c r="U631" i="4" s="1" a="1"/>
  <c r="U631" i="4" s="1"/>
  <c r="S632" i="4"/>
  <c r="U632" i="4" s="1" a="1"/>
  <c r="U632" i="4" s="1"/>
  <c r="S633" i="4"/>
  <c r="U633" i="4" s="1" a="1"/>
  <c r="U633" i="4" s="1"/>
  <c r="S634" i="4"/>
  <c r="U634" i="4" s="1" a="1"/>
  <c r="U634" i="4" s="1"/>
  <c r="S635" i="4"/>
  <c r="U635" i="4" s="1" a="1"/>
  <c r="U635" i="4" s="1"/>
  <c r="S636" i="4"/>
  <c r="U636" i="4" s="1" a="1"/>
  <c r="U636" i="4" s="1"/>
  <c r="S637" i="4"/>
  <c r="U637" i="4" s="1" a="1"/>
  <c r="U637" i="4" s="1"/>
  <c r="S638" i="4"/>
  <c r="U638" i="4" s="1" a="1"/>
  <c r="U638" i="4" s="1"/>
  <c r="S639" i="4"/>
  <c r="U639" i="4" s="1" a="1"/>
  <c r="U639" i="4" s="1"/>
  <c r="S640" i="4"/>
  <c r="U640" i="4" s="1" a="1"/>
  <c r="U640" i="4" s="1"/>
  <c r="S641" i="4"/>
  <c r="U641" i="4" s="1" a="1"/>
  <c r="U641" i="4" s="1"/>
  <c r="S642" i="4"/>
  <c r="U642" i="4" s="1" a="1"/>
  <c r="U642" i="4" s="1"/>
  <c r="S643" i="4"/>
  <c r="U643" i="4" s="1" a="1"/>
  <c r="U643" i="4" s="1"/>
  <c r="S644" i="4"/>
  <c r="U644" i="4" s="1" a="1"/>
  <c r="U644" i="4" s="1"/>
  <c r="S645" i="4"/>
  <c r="U645" i="4" s="1" a="1"/>
  <c r="U645" i="4" s="1"/>
  <c r="S646" i="4"/>
  <c r="U646" i="4" s="1" a="1"/>
  <c r="U646" i="4" s="1"/>
  <c r="S647" i="4"/>
  <c r="U647" i="4" s="1" a="1"/>
  <c r="U647" i="4" s="1"/>
  <c r="S648" i="4"/>
  <c r="U648" i="4" s="1" a="1"/>
  <c r="U648" i="4" s="1"/>
  <c r="S649" i="4"/>
  <c r="U649" i="4" s="1" a="1"/>
  <c r="U649" i="4" s="1"/>
  <c r="S650" i="4"/>
  <c r="U650" i="4" s="1" a="1"/>
  <c r="U650" i="4" s="1"/>
  <c r="S651" i="4"/>
  <c r="U651" i="4" s="1" a="1"/>
  <c r="U651" i="4" s="1"/>
  <c r="S652" i="4"/>
  <c r="U652" i="4" s="1" a="1"/>
  <c r="U652" i="4" s="1"/>
  <c r="S653" i="4"/>
  <c r="U653" i="4" s="1" a="1"/>
  <c r="U653" i="4" s="1"/>
  <c r="S654" i="4"/>
  <c r="U654" i="4" s="1" a="1"/>
  <c r="U654" i="4" s="1"/>
  <c r="S655" i="4"/>
  <c r="U655" i="4" s="1" a="1"/>
  <c r="U655" i="4" s="1"/>
  <c r="S656" i="4"/>
  <c r="U656" i="4" s="1" a="1"/>
  <c r="U656" i="4" s="1"/>
  <c r="S657" i="4"/>
  <c r="U657" i="4" s="1" a="1"/>
  <c r="U657" i="4" s="1"/>
  <c r="S658" i="4"/>
  <c r="U658" i="4" s="1" a="1"/>
  <c r="U658" i="4" s="1"/>
  <c r="S659" i="4"/>
  <c r="U659" i="4" s="1" a="1"/>
  <c r="U659" i="4" s="1"/>
  <c r="S660" i="4"/>
  <c r="U660" i="4" s="1" a="1"/>
  <c r="U660" i="4" s="1"/>
  <c r="S661" i="4"/>
  <c r="U661" i="4" s="1" a="1"/>
  <c r="U661" i="4" s="1"/>
  <c r="S662" i="4"/>
  <c r="U662" i="4" s="1" a="1"/>
  <c r="U662" i="4" s="1"/>
  <c r="S663" i="4"/>
  <c r="U663" i="4" s="1" a="1"/>
  <c r="U663" i="4" s="1"/>
  <c r="S664" i="4"/>
  <c r="U664" i="4" s="1" a="1"/>
  <c r="U664" i="4" s="1"/>
  <c r="S665" i="4"/>
  <c r="U665" i="4" s="1" a="1"/>
  <c r="U665" i="4" s="1"/>
  <c r="S666" i="4"/>
  <c r="U666" i="4" s="1" a="1"/>
  <c r="U666" i="4" s="1"/>
  <c r="S667" i="4"/>
  <c r="U667" i="4" s="1" a="1"/>
  <c r="U667" i="4" s="1"/>
  <c r="S668" i="4"/>
  <c r="U668" i="4" s="1" a="1"/>
  <c r="U668" i="4" s="1"/>
  <c r="S669" i="4"/>
  <c r="U669" i="4" s="1" a="1"/>
  <c r="U669" i="4" s="1"/>
  <c r="S670" i="4"/>
  <c r="U670" i="4" s="1" a="1"/>
  <c r="U670" i="4" s="1"/>
  <c r="S671" i="4"/>
  <c r="U671" i="4" s="1" a="1"/>
  <c r="U671" i="4" s="1"/>
  <c r="S672" i="4"/>
  <c r="U672" i="4" s="1" a="1"/>
  <c r="U672" i="4" s="1"/>
  <c r="S673" i="4"/>
  <c r="U673" i="4" s="1" a="1"/>
  <c r="U673" i="4" s="1"/>
  <c r="S674" i="4"/>
  <c r="U674" i="4" s="1" a="1"/>
  <c r="U674" i="4" s="1"/>
  <c r="S675" i="4"/>
  <c r="U675" i="4" s="1" a="1"/>
  <c r="U675" i="4" s="1"/>
  <c r="S676" i="4"/>
  <c r="U676" i="4" s="1" a="1"/>
  <c r="U676" i="4" s="1"/>
  <c r="S677" i="4"/>
  <c r="U677" i="4" s="1" a="1"/>
  <c r="U677" i="4" s="1"/>
  <c r="S678" i="4"/>
  <c r="U678" i="4" s="1" a="1"/>
  <c r="U678" i="4" s="1"/>
  <c r="S679" i="4"/>
  <c r="U679" i="4" s="1" a="1"/>
  <c r="U679" i="4" s="1"/>
  <c r="S680" i="4"/>
  <c r="U680" i="4" s="1" a="1"/>
  <c r="U680" i="4" s="1"/>
  <c r="S681" i="4"/>
  <c r="U681" i="4" s="1" a="1"/>
  <c r="U681" i="4" s="1"/>
  <c r="S682" i="4"/>
  <c r="U682" i="4" s="1" a="1"/>
  <c r="U682" i="4" s="1"/>
  <c r="S683" i="4"/>
  <c r="U683" i="4" s="1" a="1"/>
  <c r="U683" i="4" s="1"/>
  <c r="S684" i="4"/>
  <c r="U684" i="4" s="1" a="1"/>
  <c r="U684" i="4" s="1"/>
  <c r="S685" i="4"/>
  <c r="U685" i="4" s="1" a="1"/>
  <c r="U685" i="4" s="1"/>
  <c r="S686" i="4"/>
  <c r="U686" i="4" s="1" a="1"/>
  <c r="U686" i="4" s="1"/>
  <c r="S687" i="4"/>
  <c r="U687" i="4" s="1" a="1"/>
  <c r="U687" i="4" s="1"/>
  <c r="S688" i="4"/>
  <c r="U688" i="4" s="1" a="1"/>
  <c r="U688" i="4" s="1"/>
  <c r="S689" i="4"/>
  <c r="U689" i="4" s="1" a="1"/>
  <c r="U689" i="4" s="1"/>
  <c r="S690" i="4"/>
  <c r="U690" i="4" s="1" a="1"/>
  <c r="U690" i="4" s="1"/>
  <c r="S691" i="4"/>
  <c r="S692" i="4"/>
  <c r="U692" i="4" s="1" a="1"/>
  <c r="U692" i="4" s="1"/>
  <c r="S693" i="4"/>
  <c r="U693" i="4" s="1" a="1"/>
  <c r="U693" i="4" s="1"/>
  <c r="S694" i="4"/>
  <c r="U694" i="4" s="1" a="1"/>
  <c r="U694" i="4" s="1"/>
  <c r="S695" i="4"/>
  <c r="U695" i="4" s="1" a="1"/>
  <c r="U695" i="4" s="1"/>
  <c r="S696" i="4"/>
  <c r="U696" i="4" s="1" a="1"/>
  <c r="U696" i="4" s="1"/>
  <c r="S697" i="4"/>
  <c r="U697" i="4" s="1" a="1"/>
  <c r="U697" i="4" s="1"/>
  <c r="S698" i="4"/>
  <c r="U698" i="4" s="1" a="1"/>
  <c r="U698" i="4" s="1"/>
  <c r="S699" i="4"/>
  <c r="U699" i="4" s="1" a="1"/>
  <c r="U699" i="4" s="1"/>
  <c r="S700" i="4"/>
  <c r="U700" i="4" s="1" a="1"/>
  <c r="U700" i="4" s="1"/>
  <c r="S701" i="4"/>
  <c r="U701" i="4" s="1" a="1"/>
  <c r="U701" i="4" s="1"/>
  <c r="S702" i="4"/>
  <c r="U702" i="4" s="1" a="1"/>
  <c r="U702" i="4" s="1"/>
  <c r="S703" i="4"/>
  <c r="U703" i="4" s="1" a="1"/>
  <c r="U703" i="4" s="1"/>
  <c r="S704" i="4"/>
  <c r="U704" i="4" s="1" a="1"/>
  <c r="U704" i="4" s="1"/>
  <c r="S705" i="4"/>
  <c r="U705" i="4" s="1" a="1"/>
  <c r="U705" i="4" s="1"/>
  <c r="S706" i="4"/>
  <c r="U706" i="4" s="1" a="1"/>
  <c r="U706" i="4" s="1"/>
  <c r="S707" i="4"/>
  <c r="U707" i="4" s="1" a="1"/>
  <c r="U707" i="4" s="1"/>
  <c r="S708" i="4"/>
  <c r="U708" i="4" s="1" a="1"/>
  <c r="U708" i="4" s="1"/>
  <c r="S709" i="4"/>
  <c r="U709" i="4" s="1" a="1"/>
  <c r="U709" i="4" s="1"/>
  <c r="S710" i="4"/>
  <c r="U710" i="4" s="1" a="1"/>
  <c r="U710" i="4" s="1"/>
  <c r="S711" i="4"/>
  <c r="U711" i="4" s="1" a="1"/>
  <c r="U711" i="4" s="1"/>
  <c r="S712" i="4"/>
  <c r="U712" i="4" s="1" a="1"/>
  <c r="U712" i="4" s="1"/>
  <c r="S713" i="4"/>
  <c r="U713" i="4" s="1" a="1"/>
  <c r="U713" i="4" s="1"/>
  <c r="S714" i="4"/>
  <c r="U714" i="4" s="1" a="1"/>
  <c r="U714" i="4" s="1"/>
  <c r="S715" i="4"/>
  <c r="U715" i="4" s="1" a="1"/>
  <c r="U715" i="4" s="1"/>
  <c r="S716" i="4"/>
  <c r="U716" i="4" s="1" a="1"/>
  <c r="U716" i="4" s="1"/>
  <c r="S717" i="4"/>
  <c r="U717" i="4" s="1" a="1"/>
  <c r="U717" i="4" s="1"/>
  <c r="S718" i="4"/>
  <c r="U718" i="4" s="1" a="1"/>
  <c r="U718" i="4" s="1"/>
  <c r="S719" i="4"/>
  <c r="U719" i="4" s="1" a="1"/>
  <c r="U719" i="4" s="1"/>
  <c r="S720" i="4"/>
  <c r="U720" i="4" s="1" a="1"/>
  <c r="U720" i="4" s="1"/>
  <c r="S721" i="4"/>
  <c r="U721" i="4" s="1" a="1"/>
  <c r="U721" i="4" s="1"/>
  <c r="S722" i="4"/>
  <c r="U722" i="4" s="1" a="1"/>
  <c r="U722" i="4" s="1"/>
  <c r="S723" i="4"/>
  <c r="U723" i="4" s="1" a="1"/>
  <c r="U723" i="4" s="1"/>
  <c r="S724" i="4"/>
  <c r="U724" i="4" s="1" a="1"/>
  <c r="U724" i="4" s="1"/>
  <c r="S725" i="4"/>
  <c r="U725" i="4" s="1" a="1"/>
  <c r="U725" i="4" s="1"/>
  <c r="S726" i="4"/>
  <c r="U726" i="4" s="1" a="1"/>
  <c r="U726" i="4" s="1"/>
  <c r="S727" i="4"/>
  <c r="U727" i="4" s="1" a="1"/>
  <c r="U727" i="4" s="1"/>
  <c r="S728" i="4"/>
  <c r="U728" i="4" s="1" a="1"/>
  <c r="U728" i="4" s="1"/>
  <c r="S729" i="4"/>
  <c r="U729" i="4" s="1" a="1"/>
  <c r="U729" i="4" s="1"/>
  <c r="S730" i="4"/>
  <c r="U730" i="4" s="1" a="1"/>
  <c r="U730" i="4" s="1"/>
  <c r="S731" i="4"/>
  <c r="U731" i="4" s="1" a="1"/>
  <c r="U731" i="4" s="1"/>
  <c r="S732" i="4"/>
  <c r="U732" i="4" s="1" a="1"/>
  <c r="U732" i="4" s="1"/>
  <c r="S733" i="4"/>
  <c r="U733" i="4" s="1" a="1"/>
  <c r="U733" i="4" s="1"/>
  <c r="S734" i="4"/>
  <c r="U734" i="4" s="1" a="1"/>
  <c r="U734" i="4" s="1"/>
  <c r="S735" i="4"/>
  <c r="U735" i="4" s="1" a="1"/>
  <c r="U735" i="4" s="1"/>
  <c r="S736" i="4"/>
  <c r="U736" i="4" s="1" a="1"/>
  <c r="U736" i="4" s="1"/>
  <c r="S737" i="4"/>
  <c r="U737" i="4" s="1" a="1"/>
  <c r="U737" i="4" s="1"/>
  <c r="S738" i="4"/>
  <c r="U738" i="4" s="1" a="1"/>
  <c r="U738" i="4" s="1"/>
  <c r="S739" i="4"/>
  <c r="U739" i="4" s="1" a="1"/>
  <c r="U739" i="4" s="1"/>
  <c r="S740" i="4"/>
  <c r="U740" i="4" s="1" a="1"/>
  <c r="U740" i="4" s="1"/>
  <c r="S741" i="4"/>
  <c r="U741" i="4" s="1" a="1"/>
  <c r="U741" i="4" s="1"/>
  <c r="S742" i="4"/>
  <c r="U742" i="4" s="1" a="1"/>
  <c r="U742" i="4" s="1"/>
  <c r="S743" i="4"/>
  <c r="U743" i="4" s="1" a="1"/>
  <c r="U743" i="4" s="1"/>
  <c r="S744" i="4"/>
  <c r="S745" i="4"/>
  <c r="U745" i="4" s="1" a="1"/>
  <c r="U745" i="4" s="1"/>
  <c r="S746" i="4"/>
  <c r="U746" i="4" s="1" a="1"/>
  <c r="U746" i="4" s="1"/>
  <c r="S747" i="4"/>
  <c r="U747" i="4" s="1" a="1"/>
  <c r="U747" i="4" s="1"/>
  <c r="S748" i="4"/>
  <c r="U748" i="4" s="1" a="1"/>
  <c r="U748" i="4" s="1"/>
  <c r="S749" i="4"/>
  <c r="U749" i="4" s="1" a="1"/>
  <c r="U749" i="4" s="1"/>
  <c r="S750" i="4"/>
  <c r="U750" i="4" s="1" a="1"/>
  <c r="U750" i="4" s="1"/>
  <c r="S751" i="4"/>
  <c r="U751" i="4" s="1" a="1"/>
  <c r="U751" i="4" s="1"/>
  <c r="S752" i="4"/>
  <c r="U752" i="4" s="1" a="1"/>
  <c r="U752" i="4" s="1"/>
  <c r="S753" i="4"/>
  <c r="U753" i="4" s="1" a="1"/>
  <c r="U753" i="4" s="1"/>
  <c r="S754" i="4"/>
  <c r="U754" i="4" s="1" a="1"/>
  <c r="U754" i="4" s="1"/>
  <c r="S755" i="4"/>
  <c r="U755" i="4" s="1" a="1"/>
  <c r="U755" i="4" s="1"/>
  <c r="S756" i="4"/>
  <c r="U756" i="4" s="1" a="1"/>
  <c r="U756" i="4" s="1"/>
  <c r="S757" i="4"/>
  <c r="U757" i="4" s="1" a="1"/>
  <c r="U757" i="4" s="1"/>
  <c r="S758" i="4"/>
  <c r="U758" i="4" s="1" a="1"/>
  <c r="U758" i="4" s="1"/>
  <c r="S759" i="4"/>
  <c r="U759" i="4" s="1" a="1"/>
  <c r="U759" i="4" s="1"/>
  <c r="S760" i="4"/>
  <c r="U760" i="4" s="1" a="1"/>
  <c r="U760" i="4" s="1"/>
  <c r="S761" i="4"/>
  <c r="U761" i="4" s="1" a="1"/>
  <c r="U761" i="4" s="1"/>
  <c r="S762" i="4"/>
  <c r="U762" i="4" s="1" a="1"/>
  <c r="U762" i="4" s="1"/>
  <c r="S763" i="4"/>
  <c r="U763" i="4" s="1" a="1"/>
  <c r="U763" i="4" s="1"/>
  <c r="S764" i="4"/>
  <c r="U764" i="4" s="1" a="1"/>
  <c r="U764" i="4" s="1"/>
  <c r="S765" i="4"/>
  <c r="U765" i="4" s="1" a="1"/>
  <c r="U765" i="4" s="1"/>
  <c r="S766" i="4"/>
  <c r="U766" i="4" s="1" a="1"/>
  <c r="U766" i="4" s="1"/>
  <c r="S767" i="4"/>
  <c r="U767" i="4" s="1" a="1"/>
  <c r="U767" i="4" s="1"/>
  <c r="S768" i="4"/>
  <c r="U768" i="4" s="1" a="1"/>
  <c r="U768" i="4" s="1"/>
  <c r="S769" i="4"/>
  <c r="U769" i="4" s="1" a="1"/>
  <c r="U769" i="4" s="1"/>
  <c r="S770" i="4"/>
  <c r="U770" i="4" s="1" a="1"/>
  <c r="U770" i="4" s="1"/>
  <c r="S771" i="4"/>
  <c r="U771" i="4" s="1" a="1"/>
  <c r="U771" i="4" s="1"/>
  <c r="S772" i="4"/>
  <c r="U772" i="4" s="1" a="1"/>
  <c r="U772" i="4" s="1"/>
  <c r="S773" i="4"/>
  <c r="U773" i="4" s="1" a="1"/>
  <c r="U773" i="4" s="1"/>
  <c r="S774" i="4"/>
  <c r="U774" i="4" s="1" a="1"/>
  <c r="U774" i="4" s="1"/>
  <c r="S775" i="4"/>
  <c r="U775" i="4" s="1" a="1"/>
  <c r="U775" i="4" s="1"/>
  <c r="S776" i="4"/>
  <c r="U776" i="4" s="1" a="1"/>
  <c r="U776" i="4" s="1"/>
  <c r="S777" i="4"/>
  <c r="U777" i="4" s="1" a="1"/>
  <c r="U777" i="4" s="1"/>
  <c r="S778" i="4"/>
  <c r="U778" i="4" s="1" a="1"/>
  <c r="U778" i="4" s="1"/>
  <c r="S779" i="4"/>
  <c r="U779" i="4" s="1" a="1"/>
  <c r="U779" i="4" s="1"/>
  <c r="S780" i="4"/>
  <c r="U780" i="4" s="1" a="1"/>
  <c r="U780" i="4" s="1"/>
  <c r="S781" i="4"/>
  <c r="U781" i="4" s="1" a="1"/>
  <c r="U781" i="4" s="1"/>
  <c r="S782" i="4"/>
  <c r="U782" i="4" s="1" a="1"/>
  <c r="U782" i="4" s="1"/>
  <c r="S783" i="4"/>
  <c r="U783" i="4" s="1" a="1"/>
  <c r="U783" i="4" s="1"/>
  <c r="S784" i="4"/>
  <c r="U784" i="4" s="1" a="1"/>
  <c r="U784" i="4" s="1"/>
  <c r="S785" i="4"/>
  <c r="U785" i="4" s="1" a="1"/>
  <c r="U785" i="4" s="1"/>
  <c r="S786" i="4"/>
  <c r="U786" i="4" s="1" a="1"/>
  <c r="U786" i="4" s="1"/>
  <c r="S787" i="4"/>
  <c r="U787" i="4" s="1" a="1"/>
  <c r="U787" i="4" s="1"/>
  <c r="S788" i="4"/>
  <c r="U788" i="4" s="1" a="1"/>
  <c r="U788" i="4" s="1"/>
  <c r="S789" i="4"/>
  <c r="U789" i="4" s="1" a="1"/>
  <c r="U789" i="4" s="1"/>
  <c r="S790" i="4"/>
  <c r="U790" i="4" s="1" a="1"/>
  <c r="U790" i="4" s="1"/>
  <c r="S791" i="4"/>
  <c r="U791" i="4" s="1" a="1"/>
  <c r="U791" i="4" s="1"/>
  <c r="S792" i="4"/>
  <c r="U792" i="4" s="1" a="1"/>
  <c r="U792" i="4" s="1"/>
  <c r="S793" i="4"/>
  <c r="U793" i="4" s="1" a="1"/>
  <c r="U793" i="4" s="1"/>
  <c r="S794" i="4"/>
  <c r="U794" i="4" s="1" a="1"/>
  <c r="U794" i="4" s="1"/>
  <c r="S795" i="4"/>
  <c r="U795" i="4" s="1" a="1"/>
  <c r="U795" i="4" s="1"/>
  <c r="S796" i="4"/>
  <c r="U796" i="4" s="1" a="1"/>
  <c r="U796" i="4" s="1"/>
  <c r="S797" i="4"/>
  <c r="U797" i="4" s="1" a="1"/>
  <c r="U797" i="4" s="1"/>
  <c r="S798" i="4"/>
  <c r="U798" i="4" s="1" a="1"/>
  <c r="U798" i="4" s="1"/>
  <c r="S799" i="4"/>
  <c r="U799" i="4" s="1" a="1"/>
  <c r="U799" i="4" s="1"/>
  <c r="S800" i="4"/>
  <c r="U800" i="4" s="1" a="1"/>
  <c r="U800" i="4" s="1"/>
  <c r="S801" i="4"/>
  <c r="U801" i="4" s="1" a="1"/>
  <c r="U801" i="4" s="1"/>
  <c r="S802" i="4"/>
  <c r="U802" i="4" s="1" a="1"/>
  <c r="U802" i="4" s="1"/>
  <c r="S803" i="4"/>
  <c r="U803" i="4" s="1" a="1"/>
  <c r="U803" i="4" s="1"/>
  <c r="S804" i="4"/>
  <c r="U804" i="4" s="1" a="1"/>
  <c r="U804" i="4" s="1"/>
  <c r="S805" i="4"/>
  <c r="U805" i="4" s="1" a="1"/>
  <c r="U805" i="4" s="1"/>
  <c r="S806" i="4"/>
  <c r="U806" i="4" s="1" a="1"/>
  <c r="U806" i="4" s="1"/>
  <c r="S807" i="4"/>
  <c r="U807" i="4" s="1" a="1"/>
  <c r="U807" i="4" s="1"/>
  <c r="S808" i="4"/>
  <c r="U808" i="4" s="1" a="1"/>
  <c r="U808" i="4" s="1"/>
  <c r="S809" i="4"/>
  <c r="U809" i="4" s="1" a="1"/>
  <c r="U809" i="4" s="1"/>
  <c r="S810" i="4"/>
  <c r="U810" i="4" s="1" a="1"/>
  <c r="U810" i="4" s="1"/>
  <c r="S811" i="4"/>
  <c r="U811" i="4" s="1" a="1"/>
  <c r="U811" i="4" s="1"/>
  <c r="S812" i="4"/>
  <c r="U812" i="4" s="1" a="1"/>
  <c r="U812" i="4" s="1"/>
  <c r="S813" i="4"/>
  <c r="U813" i="4" s="1" a="1"/>
  <c r="U813" i="4" s="1"/>
  <c r="S814" i="4"/>
  <c r="U814" i="4" s="1" a="1"/>
  <c r="U814" i="4" s="1"/>
  <c r="S815" i="4"/>
  <c r="U815" i="4" s="1" a="1"/>
  <c r="U815" i="4" s="1"/>
  <c r="S816" i="4"/>
  <c r="U816" i="4" s="1" a="1"/>
  <c r="U816" i="4" s="1"/>
  <c r="S817" i="4"/>
  <c r="U817" i="4" s="1" a="1"/>
  <c r="U817" i="4" s="1"/>
  <c r="S818" i="4"/>
  <c r="U818" i="4" s="1" a="1"/>
  <c r="U818" i="4" s="1"/>
  <c r="S819" i="4"/>
  <c r="U819" i="4" s="1" a="1"/>
  <c r="U819" i="4" s="1"/>
  <c r="S820" i="4"/>
  <c r="U820" i="4" s="1" a="1"/>
  <c r="U820" i="4" s="1"/>
  <c r="S821" i="4"/>
  <c r="U821" i="4" s="1" a="1"/>
  <c r="U821" i="4" s="1"/>
  <c r="S822" i="4"/>
  <c r="U822" i="4" s="1" a="1"/>
  <c r="U822" i="4" s="1"/>
  <c r="S823" i="4"/>
  <c r="U823" i="4" s="1" a="1"/>
  <c r="U823" i="4" s="1"/>
  <c r="S824" i="4"/>
  <c r="U824" i="4" s="1" a="1"/>
  <c r="U824" i="4" s="1"/>
  <c r="S825" i="4"/>
  <c r="U825" i="4" s="1" a="1"/>
  <c r="U825" i="4" s="1"/>
  <c r="S826" i="4"/>
  <c r="U826" i="4" s="1" a="1"/>
  <c r="U826" i="4" s="1"/>
  <c r="S827" i="4"/>
  <c r="S828" i="4"/>
  <c r="U828" i="4" s="1" a="1"/>
  <c r="U828" i="4" s="1"/>
  <c r="S829" i="4"/>
  <c r="U829" i="4" s="1" a="1"/>
  <c r="U829" i="4" s="1"/>
  <c r="S830" i="4"/>
  <c r="U830" i="4" s="1" a="1"/>
  <c r="U830" i="4" s="1"/>
  <c r="S831" i="4"/>
  <c r="U831" i="4" s="1" a="1"/>
  <c r="U831" i="4" s="1"/>
  <c r="S832" i="4"/>
  <c r="U832" i="4" s="1" a="1"/>
  <c r="U832" i="4" s="1"/>
  <c r="S833" i="4"/>
  <c r="U833" i="4" s="1" a="1"/>
  <c r="U833" i="4" s="1"/>
  <c r="S834" i="4"/>
  <c r="U834" i="4" s="1" a="1"/>
  <c r="U834" i="4" s="1"/>
  <c r="S835" i="4"/>
  <c r="U835" i="4" s="1" a="1"/>
  <c r="U835" i="4" s="1"/>
  <c r="S836" i="4"/>
  <c r="U836" i="4" s="1" a="1"/>
  <c r="U836" i="4" s="1"/>
  <c r="S837" i="4"/>
  <c r="U837" i="4" s="1" a="1"/>
  <c r="U837" i="4" s="1"/>
  <c r="S838" i="4"/>
  <c r="U838" i="4" s="1" a="1"/>
  <c r="U838" i="4" s="1"/>
  <c r="S839" i="4"/>
  <c r="U839" i="4" s="1" a="1"/>
  <c r="U839" i="4" s="1"/>
  <c r="S840" i="4"/>
  <c r="U840" i="4" s="1" a="1"/>
  <c r="U840" i="4" s="1"/>
  <c r="S841" i="4"/>
  <c r="U841" i="4" s="1" a="1"/>
  <c r="U841" i="4" s="1"/>
  <c r="S842" i="4"/>
  <c r="U842" i="4" s="1" a="1"/>
  <c r="U842" i="4" s="1"/>
  <c r="S843" i="4"/>
  <c r="U843" i="4" s="1" a="1"/>
  <c r="U843" i="4" s="1"/>
  <c r="S844" i="4"/>
  <c r="U844" i="4" s="1" a="1"/>
  <c r="U844" i="4" s="1"/>
  <c r="S845" i="4"/>
  <c r="U845" i="4" s="1" a="1"/>
  <c r="U845" i="4" s="1"/>
  <c r="S846" i="4"/>
  <c r="U846" i="4" s="1" a="1"/>
  <c r="U846" i="4" s="1"/>
  <c r="S847" i="4"/>
  <c r="U847" i="4" s="1" a="1"/>
  <c r="U847" i="4" s="1"/>
  <c r="S848" i="4"/>
  <c r="U848" i="4" s="1" a="1"/>
  <c r="U848" i="4" s="1"/>
  <c r="S849" i="4"/>
  <c r="U849" i="4" s="1" a="1"/>
  <c r="U849" i="4" s="1"/>
  <c r="S850" i="4"/>
  <c r="U850" i="4" s="1" a="1"/>
  <c r="U850" i="4" s="1"/>
  <c r="S851" i="4"/>
  <c r="U851" i="4" s="1" a="1"/>
  <c r="U851" i="4" s="1"/>
  <c r="S852" i="4"/>
  <c r="U852" i="4" s="1" a="1"/>
  <c r="U852" i="4" s="1"/>
  <c r="S853" i="4"/>
  <c r="U853" i="4" s="1" a="1"/>
  <c r="U853" i="4" s="1"/>
  <c r="S854" i="4"/>
  <c r="U854" i="4" s="1" a="1"/>
  <c r="U854" i="4" s="1"/>
  <c r="S855" i="4"/>
  <c r="U855" i="4" s="1" a="1"/>
  <c r="U855" i="4" s="1"/>
  <c r="S856" i="4"/>
  <c r="U856" i="4" s="1" a="1"/>
  <c r="U856" i="4" s="1"/>
  <c r="S857" i="4"/>
  <c r="U857" i="4" s="1" a="1"/>
  <c r="U857" i="4" s="1"/>
  <c r="S858" i="4"/>
  <c r="U858" i="4" s="1" a="1"/>
  <c r="U858" i="4" s="1"/>
  <c r="S859" i="4"/>
  <c r="U859" i="4" s="1" a="1"/>
  <c r="U859" i="4" s="1"/>
  <c r="S860" i="4"/>
  <c r="U860" i="4" s="1" a="1"/>
  <c r="U860" i="4" s="1"/>
  <c r="S861" i="4"/>
  <c r="U861" i="4" s="1" a="1"/>
  <c r="U861" i="4" s="1"/>
  <c r="S862" i="4"/>
  <c r="U862" i="4" s="1" a="1"/>
  <c r="U862" i="4" s="1"/>
  <c r="S863" i="4"/>
  <c r="U863" i="4" s="1" a="1"/>
  <c r="U863" i="4" s="1"/>
  <c r="S864" i="4"/>
  <c r="U864" i="4" s="1" a="1"/>
  <c r="U864" i="4" s="1"/>
  <c r="S865" i="4"/>
  <c r="U865" i="4" s="1" a="1"/>
  <c r="U865" i="4" s="1"/>
  <c r="S866" i="4"/>
  <c r="U866" i="4" s="1" a="1"/>
  <c r="U866" i="4" s="1"/>
  <c r="S867" i="4"/>
  <c r="U867" i="4" s="1" a="1"/>
  <c r="U867" i="4" s="1"/>
  <c r="S868" i="4"/>
  <c r="U868" i="4" s="1" a="1"/>
  <c r="U868" i="4" s="1"/>
  <c r="S869" i="4"/>
  <c r="U869" i="4" s="1" a="1"/>
  <c r="U869" i="4" s="1"/>
  <c r="S870" i="4"/>
  <c r="U870" i="4" s="1" a="1"/>
  <c r="U870" i="4" s="1"/>
  <c r="S871" i="4"/>
  <c r="U871" i="4" s="1" a="1"/>
  <c r="U871" i="4" s="1"/>
  <c r="S872" i="4"/>
  <c r="U872" i="4" s="1" a="1"/>
  <c r="U872" i="4" s="1"/>
  <c r="S873" i="4"/>
  <c r="U873" i="4" s="1" a="1"/>
  <c r="U873" i="4" s="1"/>
  <c r="S874" i="4"/>
  <c r="U874" i="4" s="1" a="1"/>
  <c r="U874" i="4" s="1"/>
  <c r="S875" i="4"/>
  <c r="U875" i="4" s="1" a="1"/>
  <c r="U875" i="4" s="1"/>
  <c r="S876" i="4"/>
  <c r="U876" i="4" s="1" a="1"/>
  <c r="U876" i="4" s="1"/>
  <c r="S877" i="4"/>
  <c r="U877" i="4" s="1" a="1"/>
  <c r="U877" i="4" s="1"/>
  <c r="S878" i="4"/>
  <c r="U878" i="4" s="1" a="1"/>
  <c r="U878" i="4" s="1"/>
  <c r="S879" i="4"/>
  <c r="U879" i="4" s="1" a="1"/>
  <c r="U879" i="4" s="1"/>
  <c r="S880" i="4"/>
  <c r="U880" i="4" s="1" a="1"/>
  <c r="U880" i="4" s="1"/>
  <c r="S881" i="4"/>
  <c r="U881" i="4" s="1" a="1"/>
  <c r="U881" i="4" s="1"/>
  <c r="S882" i="4"/>
  <c r="U882" i="4" s="1" a="1"/>
  <c r="U882" i="4" s="1"/>
  <c r="S883" i="4"/>
  <c r="U883" i="4" s="1" a="1"/>
  <c r="U883" i="4" s="1"/>
  <c r="S884" i="4"/>
  <c r="U884" i="4" s="1" a="1"/>
  <c r="U884" i="4" s="1"/>
  <c r="S885" i="4"/>
  <c r="U885" i="4" s="1" a="1"/>
  <c r="U885" i="4" s="1"/>
  <c r="S886" i="4"/>
  <c r="U886" i="4" s="1" a="1"/>
  <c r="U886" i="4" s="1"/>
  <c r="S887" i="4"/>
  <c r="U887" i="4" s="1" a="1"/>
  <c r="U887" i="4" s="1"/>
  <c r="S888" i="4"/>
  <c r="U888" i="4" s="1" a="1"/>
  <c r="U888" i="4" s="1"/>
  <c r="S889" i="4"/>
  <c r="U889" i="4" s="1" a="1"/>
  <c r="U889" i="4" s="1"/>
  <c r="S890" i="4"/>
  <c r="U890" i="4" s="1" a="1"/>
  <c r="U890" i="4" s="1"/>
  <c r="S891" i="4"/>
  <c r="S892" i="4"/>
  <c r="U892" i="4" s="1" a="1"/>
  <c r="U892" i="4" s="1"/>
  <c r="S893" i="4"/>
  <c r="U893" i="4" s="1" a="1"/>
  <c r="U893" i="4" s="1"/>
  <c r="S894" i="4"/>
  <c r="U894" i="4" s="1" a="1"/>
  <c r="U894" i="4" s="1"/>
  <c r="S895" i="4"/>
  <c r="U895" i="4" s="1" a="1"/>
  <c r="U895" i="4" s="1"/>
  <c r="S896" i="4"/>
  <c r="U896" i="4" s="1" a="1"/>
  <c r="U896" i="4" s="1"/>
  <c r="S897" i="4"/>
  <c r="U897" i="4" s="1" a="1"/>
  <c r="U897" i="4" s="1"/>
  <c r="S898" i="4"/>
  <c r="U898" i="4" s="1" a="1"/>
  <c r="U898" i="4" s="1"/>
  <c r="S899" i="4"/>
  <c r="U899" i="4" s="1" a="1"/>
  <c r="U899" i="4" s="1"/>
  <c r="S900" i="4"/>
  <c r="U900" i="4" s="1" a="1"/>
  <c r="U900" i="4" s="1"/>
  <c r="S901" i="4"/>
  <c r="U901" i="4" s="1" a="1"/>
  <c r="U901" i="4" s="1"/>
  <c r="S902" i="4"/>
  <c r="U902" i="4" s="1" a="1"/>
  <c r="U902" i="4" s="1"/>
  <c r="S903" i="4"/>
  <c r="U903" i="4" s="1" a="1"/>
  <c r="U903" i="4" s="1"/>
  <c r="S904" i="4"/>
  <c r="U904" i="4" s="1" a="1"/>
  <c r="U904" i="4" s="1"/>
  <c r="S905" i="4"/>
  <c r="U905" i="4" s="1" a="1"/>
  <c r="U905" i="4" s="1"/>
  <c r="S906" i="4"/>
  <c r="U906" i="4" s="1" a="1"/>
  <c r="U906" i="4" s="1"/>
  <c r="S907" i="4"/>
  <c r="U907" i="4" s="1" a="1"/>
  <c r="U907" i="4" s="1"/>
  <c r="S908" i="4"/>
  <c r="U908" i="4" s="1" a="1"/>
  <c r="U908" i="4" s="1"/>
  <c r="S909" i="4"/>
  <c r="U909" i="4" s="1" a="1"/>
  <c r="U909" i="4" s="1"/>
  <c r="S910" i="4"/>
  <c r="U910" i="4" s="1" a="1"/>
  <c r="U910" i="4" s="1"/>
  <c r="S911" i="4"/>
  <c r="U911" i="4" s="1" a="1"/>
  <c r="U911" i="4" s="1"/>
  <c r="S912" i="4"/>
  <c r="S913" i="4"/>
  <c r="U913" i="4" s="1" a="1"/>
  <c r="U913" i="4" s="1"/>
  <c r="S914" i="4"/>
  <c r="U914" i="4" s="1" a="1"/>
  <c r="U914" i="4" s="1"/>
  <c r="S915" i="4"/>
  <c r="U915" i="4" s="1" a="1"/>
  <c r="U915" i="4" s="1"/>
  <c r="S916" i="4"/>
  <c r="U916" i="4" s="1" a="1"/>
  <c r="U916" i="4" s="1"/>
  <c r="S917" i="4"/>
  <c r="U917" i="4" s="1" a="1"/>
  <c r="U917" i="4" s="1"/>
  <c r="S918" i="4"/>
  <c r="U918" i="4" s="1" a="1"/>
  <c r="U918" i="4" s="1"/>
  <c r="S919" i="4"/>
  <c r="U919" i="4" s="1" a="1"/>
  <c r="U919" i="4" s="1"/>
  <c r="S920" i="4"/>
  <c r="U920" i="4" s="1" a="1"/>
  <c r="U920" i="4" s="1"/>
  <c r="S921" i="4"/>
  <c r="U921" i="4" s="1" a="1"/>
  <c r="U921" i="4" s="1"/>
  <c r="S922" i="4"/>
  <c r="U922" i="4" s="1" a="1"/>
  <c r="U922" i="4" s="1"/>
  <c r="S923" i="4"/>
  <c r="U923" i="4" s="1" a="1"/>
  <c r="U923" i="4" s="1"/>
  <c r="S924" i="4"/>
  <c r="U924" i="4" s="1" a="1"/>
  <c r="U924" i="4" s="1"/>
  <c r="S925" i="4"/>
  <c r="U925" i="4" s="1" a="1"/>
  <c r="U925" i="4" s="1"/>
  <c r="S926" i="4"/>
  <c r="U926" i="4" s="1" a="1"/>
  <c r="U926" i="4" s="1"/>
  <c r="S927" i="4"/>
  <c r="U927" i="4" s="1" a="1"/>
  <c r="U927" i="4" s="1"/>
  <c r="S928" i="4"/>
  <c r="U928" i="4" s="1" a="1"/>
  <c r="U928" i="4" s="1"/>
  <c r="S929" i="4"/>
  <c r="U929" i="4" s="1" a="1"/>
  <c r="U929" i="4" s="1"/>
  <c r="S930" i="4"/>
  <c r="U930" i="4" s="1" a="1"/>
  <c r="U930" i="4" s="1"/>
  <c r="S931" i="4"/>
  <c r="U931" i="4" s="1" a="1"/>
  <c r="U931" i="4" s="1"/>
  <c r="S932" i="4"/>
  <c r="U932" i="4" s="1" a="1"/>
  <c r="U932" i="4" s="1"/>
  <c r="S933" i="4"/>
  <c r="U933" i="4" s="1" a="1"/>
  <c r="U933" i="4" s="1"/>
  <c r="S934" i="4"/>
  <c r="U934" i="4" s="1" a="1"/>
  <c r="U934" i="4" s="1"/>
  <c r="S935" i="4"/>
  <c r="U935" i="4" s="1" a="1"/>
  <c r="U935" i="4" s="1"/>
  <c r="S936" i="4"/>
  <c r="U936" i="4" s="1" a="1"/>
  <c r="U936" i="4" s="1"/>
  <c r="S937" i="4"/>
  <c r="U937" i="4" s="1" a="1"/>
  <c r="U937" i="4" s="1"/>
  <c r="S938" i="4"/>
  <c r="U938" i="4" s="1" a="1"/>
  <c r="U938" i="4" s="1"/>
  <c r="S939" i="4"/>
  <c r="U939" i="4" s="1" a="1"/>
  <c r="U939" i="4" s="1"/>
  <c r="S940" i="4"/>
  <c r="U940" i="4" s="1" a="1"/>
  <c r="U940" i="4" s="1"/>
  <c r="S941" i="4"/>
  <c r="U941" i="4" s="1" a="1"/>
  <c r="U941" i="4" s="1"/>
  <c r="S942" i="4"/>
  <c r="U942" i="4" s="1" a="1"/>
  <c r="U942" i="4" s="1"/>
  <c r="S943" i="4"/>
  <c r="U943" i="4" s="1" a="1"/>
  <c r="U943" i="4" s="1"/>
  <c r="S944" i="4"/>
  <c r="U944" i="4" s="1" a="1"/>
  <c r="U944" i="4" s="1"/>
  <c r="S945" i="4"/>
  <c r="U945" i="4" s="1" a="1"/>
  <c r="U945" i="4" s="1"/>
  <c r="S946" i="4"/>
  <c r="U946" i="4" s="1" a="1"/>
  <c r="U946" i="4" s="1"/>
  <c r="S947" i="4"/>
  <c r="U947" i="4" s="1" a="1"/>
  <c r="U947" i="4" s="1"/>
  <c r="S948" i="4"/>
  <c r="U948" i="4" s="1" a="1"/>
  <c r="U948" i="4" s="1"/>
  <c r="S949" i="4"/>
  <c r="U949" i="4" s="1" a="1"/>
  <c r="U949" i="4" s="1"/>
  <c r="S950" i="4"/>
  <c r="U950" i="4" s="1" a="1"/>
  <c r="U950" i="4" s="1"/>
  <c r="S951" i="4"/>
  <c r="U951" i="4" s="1" a="1"/>
  <c r="U951" i="4" s="1"/>
  <c r="S952" i="4"/>
  <c r="U952" i="4" s="1" a="1"/>
  <c r="U952" i="4" s="1"/>
  <c r="S953" i="4"/>
  <c r="U953" i="4" s="1" a="1"/>
  <c r="U953" i="4" s="1"/>
  <c r="S954" i="4"/>
  <c r="U954" i="4" s="1" a="1"/>
  <c r="U954" i="4" s="1"/>
  <c r="S955" i="4"/>
  <c r="U955" i="4" s="1" a="1"/>
  <c r="U955" i="4" s="1"/>
  <c r="S956" i="4"/>
  <c r="U956" i="4" s="1" a="1"/>
  <c r="U956" i="4" s="1"/>
  <c r="S957" i="4"/>
  <c r="U957" i="4" s="1" a="1"/>
  <c r="U957" i="4" s="1"/>
  <c r="S958" i="4"/>
  <c r="U958" i="4" s="1" a="1"/>
  <c r="U958" i="4" s="1"/>
  <c r="S959" i="4"/>
  <c r="U959" i="4" s="1" a="1"/>
  <c r="U959" i="4" s="1"/>
  <c r="S960" i="4"/>
  <c r="U960" i="4" s="1" a="1"/>
  <c r="U960" i="4" s="1"/>
  <c r="S961" i="4"/>
  <c r="U961" i="4" s="1" a="1"/>
  <c r="U961" i="4" s="1"/>
  <c r="S962" i="4"/>
  <c r="U962" i="4" s="1" a="1"/>
  <c r="U962" i="4" s="1"/>
  <c r="S963" i="4"/>
  <c r="U963" i="4" s="1" a="1"/>
  <c r="U963" i="4" s="1"/>
  <c r="S964" i="4"/>
  <c r="U964" i="4" s="1" a="1"/>
  <c r="U964" i="4" s="1"/>
  <c r="S965" i="4"/>
  <c r="U965" i="4" s="1" a="1"/>
  <c r="U965" i="4" s="1"/>
  <c r="S966" i="4"/>
  <c r="U966" i="4" s="1" a="1"/>
  <c r="U966" i="4" s="1"/>
  <c r="S967" i="4"/>
  <c r="U967" i="4" s="1" a="1"/>
  <c r="U967" i="4" s="1"/>
  <c r="S968" i="4"/>
  <c r="U968" i="4" s="1" a="1"/>
  <c r="U968" i="4" s="1"/>
  <c r="S969" i="4"/>
  <c r="U969" i="4" s="1" a="1"/>
  <c r="U969" i="4" s="1"/>
  <c r="S970" i="4"/>
  <c r="U970" i="4" s="1" a="1"/>
  <c r="U970" i="4" s="1"/>
  <c r="S971" i="4"/>
  <c r="U971" i="4" s="1" a="1"/>
  <c r="U971" i="4" s="1"/>
  <c r="S972" i="4"/>
  <c r="U972" i="4" s="1" a="1"/>
  <c r="U972" i="4" s="1"/>
  <c r="S973" i="4"/>
  <c r="U973" i="4" s="1" a="1"/>
  <c r="U973" i="4" s="1"/>
  <c r="S974" i="4"/>
  <c r="U974" i="4" s="1" a="1"/>
  <c r="U974" i="4" s="1"/>
  <c r="S975" i="4"/>
  <c r="U975" i="4" s="1" a="1"/>
  <c r="U975" i="4" s="1"/>
  <c r="S976" i="4"/>
  <c r="U976" i="4" s="1" a="1"/>
  <c r="U976" i="4" s="1"/>
  <c r="S977" i="4"/>
  <c r="U977" i="4" s="1" a="1"/>
  <c r="U977" i="4" s="1"/>
  <c r="S978" i="4"/>
  <c r="U978" i="4" s="1" a="1"/>
  <c r="U978" i="4" s="1"/>
  <c r="S979" i="4"/>
  <c r="U979" i="4" s="1" a="1"/>
  <c r="U979" i="4" s="1"/>
  <c r="S980" i="4"/>
  <c r="U980" i="4" s="1" a="1"/>
  <c r="U980" i="4" s="1"/>
  <c r="S981" i="4"/>
  <c r="U981" i="4" s="1" a="1"/>
  <c r="U981" i="4" s="1"/>
  <c r="S982" i="4"/>
  <c r="U982" i="4" s="1" a="1"/>
  <c r="U982" i="4" s="1"/>
  <c r="S983" i="4"/>
  <c r="U983" i="4" s="1" a="1"/>
  <c r="U983" i="4" s="1"/>
  <c r="S984" i="4"/>
  <c r="U984" i="4" s="1" a="1"/>
  <c r="U984" i="4" s="1"/>
  <c r="S985" i="4"/>
  <c r="U985" i="4" s="1" a="1"/>
  <c r="U985" i="4" s="1"/>
  <c r="S986" i="4"/>
  <c r="U986" i="4" s="1" a="1"/>
  <c r="U986" i="4" s="1"/>
  <c r="S987" i="4"/>
  <c r="U987" i="4" s="1" a="1"/>
  <c r="U987" i="4" s="1"/>
  <c r="S988" i="4"/>
  <c r="U988" i="4" s="1" a="1"/>
  <c r="U988" i="4" s="1"/>
  <c r="S989" i="4"/>
  <c r="U989" i="4" s="1" a="1"/>
  <c r="U989" i="4" s="1"/>
  <c r="S990" i="4"/>
  <c r="U990" i="4" s="1" a="1"/>
  <c r="U990" i="4" s="1"/>
  <c r="S991" i="4"/>
  <c r="U991" i="4" s="1" a="1"/>
  <c r="U991" i="4" s="1"/>
  <c r="S992" i="4"/>
  <c r="U992" i="4" s="1" a="1"/>
  <c r="S993" i="4"/>
  <c r="U993" i="4" s="1" a="1"/>
  <c r="U993" i="4" s="1"/>
  <c r="S994" i="4"/>
  <c r="U994" i="4" s="1" a="1"/>
  <c r="U994" i="4" s="1"/>
  <c r="S995" i="4"/>
  <c r="U995" i="4" s="1" a="1"/>
  <c r="U995" i="4" s="1"/>
  <c r="S996" i="4"/>
  <c r="U996" i="4" s="1" a="1"/>
  <c r="U996" i="4" s="1"/>
  <c r="S997" i="4"/>
  <c r="U997" i="4" s="1" a="1"/>
  <c r="U997" i="4" s="1"/>
  <c r="S998" i="4"/>
  <c r="U998" i="4" s="1" a="1"/>
  <c r="U998" i="4" s="1"/>
  <c r="S999" i="4"/>
  <c r="U999" i="4" s="1" a="1"/>
  <c r="U999" i="4" s="1"/>
  <c r="S1000" i="4"/>
  <c r="U1000" i="4" s="1" a="1"/>
  <c r="U1000" i="4" s="1"/>
  <c r="S1001" i="4"/>
  <c r="U1001" i="4" s="1" a="1"/>
  <c r="U1001" i="4" s="1"/>
  <c r="S1002" i="4"/>
  <c r="U1002" i="4" s="1" a="1"/>
  <c r="U1002" i="4" s="1"/>
  <c r="S1003" i="4"/>
  <c r="U1003" i="4" s="1" a="1"/>
  <c r="U1003" i="4" s="1"/>
  <c r="S1004" i="4"/>
  <c r="U1004" i="4" s="1" a="1"/>
  <c r="U1004" i="4" s="1"/>
  <c r="S1005" i="4"/>
  <c r="U1005" i="4" s="1" a="1"/>
  <c r="U1005" i="4" s="1"/>
  <c r="S1006" i="4"/>
  <c r="U1006" i="4" s="1" a="1"/>
  <c r="U1006" i="4" s="1"/>
  <c r="S1007" i="4"/>
  <c r="U1007" i="4" s="1" a="1"/>
  <c r="U1007" i="4" s="1"/>
  <c r="S1008" i="4"/>
  <c r="U1008" i="4" s="1" a="1"/>
  <c r="U1008" i="4" s="1"/>
  <c r="S1009" i="4"/>
  <c r="U1009" i="4" s="1" a="1"/>
  <c r="U1009" i="4" s="1"/>
  <c r="S1010" i="4"/>
  <c r="U1010" i="4" s="1" a="1"/>
  <c r="U1010" i="4" s="1"/>
  <c r="S1011" i="4"/>
  <c r="U1011" i="4" s="1" a="1"/>
  <c r="U1011" i="4" s="1"/>
  <c r="S1012" i="4"/>
  <c r="U1012" i="4" s="1" a="1"/>
  <c r="U1012" i="4" s="1"/>
  <c r="S1013" i="4"/>
  <c r="U1013" i="4" s="1" a="1"/>
  <c r="U1013" i="4" s="1"/>
  <c r="S1014" i="4"/>
  <c r="U1014" i="4" s="1" a="1"/>
  <c r="U1014" i="4" s="1"/>
  <c r="S1015" i="4"/>
  <c r="U1015" i="4" s="1" a="1"/>
  <c r="U1015" i="4" s="1"/>
  <c r="S1016" i="4"/>
  <c r="U1016" i="4" s="1" a="1"/>
  <c r="U1016" i="4" s="1"/>
  <c r="S1017" i="4"/>
  <c r="U1017" i="4" s="1" a="1"/>
  <c r="U1017" i="4" s="1"/>
  <c r="S1018" i="4"/>
  <c r="U1018" i="4" s="1" a="1"/>
  <c r="U1018" i="4" s="1"/>
  <c r="S1019" i="4"/>
  <c r="U1019" i="4" s="1" a="1"/>
  <c r="U1019" i="4" s="1"/>
  <c r="S1020" i="4"/>
  <c r="U1020" i="4" s="1" a="1"/>
  <c r="U1020" i="4" s="1"/>
  <c r="S1021" i="4"/>
  <c r="U1021" i="4" s="1" a="1"/>
  <c r="U1021" i="4" s="1"/>
  <c r="S1022" i="4"/>
  <c r="U1022" i="4" s="1" a="1"/>
  <c r="U1022" i="4" s="1"/>
  <c r="S1023" i="4"/>
  <c r="U1023" i="4" s="1" a="1"/>
  <c r="U1023" i="4" s="1"/>
  <c r="S1024" i="4"/>
  <c r="U1024" i="4" s="1" a="1"/>
  <c r="U1024" i="4" s="1"/>
  <c r="S1025" i="4"/>
  <c r="U1025" i="4" s="1" a="1"/>
  <c r="U1025" i="4" s="1"/>
  <c r="S1026" i="4"/>
  <c r="U1026" i="4" s="1" a="1"/>
  <c r="U1026" i="4" s="1"/>
  <c r="S1027" i="4"/>
  <c r="U1027" i="4" s="1" a="1"/>
  <c r="U1027" i="4" s="1"/>
  <c r="S1028" i="4"/>
  <c r="U1028" i="4" s="1" a="1"/>
  <c r="U1028" i="4" s="1"/>
  <c r="S1029" i="4"/>
  <c r="U1029" i="4" s="1" a="1"/>
  <c r="U1029" i="4" s="1"/>
  <c r="S1030" i="4"/>
  <c r="U1030" i="4" s="1" a="1"/>
  <c r="U1030" i="4" s="1"/>
  <c r="S1031" i="4"/>
  <c r="U1031" i="4" s="1" a="1"/>
  <c r="U1031" i="4" s="1"/>
  <c r="S1032" i="4"/>
  <c r="U1032" i="4" s="1" a="1"/>
  <c r="U1032" i="4" s="1"/>
  <c r="S1033" i="4"/>
  <c r="U1033" i="4" s="1" a="1"/>
  <c r="U1033" i="4" s="1"/>
  <c r="S1034" i="4"/>
  <c r="U1034" i="4" s="1" a="1"/>
  <c r="U1034" i="4" s="1"/>
  <c r="S1035" i="4"/>
  <c r="U1035" i="4" s="1" a="1"/>
  <c r="U1035" i="4" s="1"/>
  <c r="S1036" i="4"/>
  <c r="U1036" i="4" s="1" a="1"/>
  <c r="U1036" i="4" s="1"/>
  <c r="S1037" i="4"/>
  <c r="U1037" i="4" s="1" a="1"/>
  <c r="U1037" i="4" s="1"/>
  <c r="S1038" i="4"/>
  <c r="U1038" i="4" s="1" a="1"/>
  <c r="U1038" i="4" s="1"/>
  <c r="S1039" i="4"/>
  <c r="U1039" i="4" s="1" a="1"/>
  <c r="U1039" i="4" s="1"/>
  <c r="S1040" i="4"/>
  <c r="U1040" i="4" s="1" a="1"/>
  <c r="U1040" i="4" s="1"/>
  <c r="S1041" i="4"/>
  <c r="U1041" i="4" s="1" a="1"/>
  <c r="U1041" i="4" s="1"/>
  <c r="S1042" i="4"/>
  <c r="U1042" i="4" s="1" a="1"/>
  <c r="U1042" i="4" s="1"/>
  <c r="S1043" i="4"/>
  <c r="S1044" i="4"/>
  <c r="U1044" i="4" s="1" a="1"/>
  <c r="U1044" i="4" s="1"/>
  <c r="S1045" i="4"/>
  <c r="U1045" i="4" s="1" a="1"/>
  <c r="U1045" i="4" s="1"/>
  <c r="S1046" i="4"/>
  <c r="U1046" i="4" s="1" a="1"/>
  <c r="U1046" i="4" s="1"/>
  <c r="S1047" i="4"/>
  <c r="U1047" i="4" s="1" a="1"/>
  <c r="U1047" i="4" s="1"/>
  <c r="S1048" i="4"/>
  <c r="U1048" i="4" s="1" a="1"/>
  <c r="U1048" i="4" s="1"/>
  <c r="S1049" i="4"/>
  <c r="U1049" i="4" s="1" a="1"/>
  <c r="U1049" i="4" s="1"/>
  <c r="S1050" i="4"/>
  <c r="U1050" i="4" s="1" a="1"/>
  <c r="U1050" i="4" s="1"/>
  <c r="S1051" i="4"/>
  <c r="U1051" i="4" s="1" a="1"/>
  <c r="U1051" i="4" s="1"/>
  <c r="S1052" i="4"/>
  <c r="U1052" i="4" s="1" a="1"/>
  <c r="U1052" i="4" s="1"/>
  <c r="S1053" i="4"/>
  <c r="U1053" i="4" s="1" a="1"/>
  <c r="U1053" i="4" s="1"/>
  <c r="S1054" i="4"/>
  <c r="U1054" i="4" s="1" a="1"/>
  <c r="U1054" i="4" s="1"/>
  <c r="S1055" i="4"/>
  <c r="U1055" i="4" s="1" a="1"/>
  <c r="U1055" i="4" s="1"/>
  <c r="S1056" i="4"/>
  <c r="U1056" i="4" s="1" a="1"/>
  <c r="U1056" i="4" s="1"/>
  <c r="S1057" i="4"/>
  <c r="U1057" i="4" s="1" a="1"/>
  <c r="U1057" i="4" s="1"/>
  <c r="S1058" i="4"/>
  <c r="U1058" i="4" s="1" a="1"/>
  <c r="U1058" i="4" s="1"/>
  <c r="S1059" i="4"/>
  <c r="U1059" i="4" s="1" a="1"/>
  <c r="U1059" i="4" s="1"/>
  <c r="S1060" i="4"/>
  <c r="U1060" i="4" s="1" a="1"/>
  <c r="U1060" i="4" s="1"/>
  <c r="S1061" i="4"/>
  <c r="U1061" i="4" s="1" a="1"/>
  <c r="U1061" i="4" s="1"/>
  <c r="S1062" i="4"/>
  <c r="U1062" i="4" s="1" a="1"/>
  <c r="U1062" i="4" s="1"/>
  <c r="S1063" i="4"/>
  <c r="U1063" i="4" s="1" a="1"/>
  <c r="U1063" i="4" s="1"/>
  <c r="S1064" i="4"/>
  <c r="U1064" i="4" s="1" a="1"/>
  <c r="U1064" i="4" s="1"/>
  <c r="S1065" i="4"/>
  <c r="U1065" i="4" s="1" a="1"/>
  <c r="U1065" i="4" s="1"/>
  <c r="S1066" i="4"/>
  <c r="U1066" i="4" s="1" a="1"/>
  <c r="U1066" i="4" s="1"/>
  <c r="S1067" i="4"/>
  <c r="U1067" i="4" s="1" a="1"/>
  <c r="U1067" i="4" s="1"/>
  <c r="S1068" i="4"/>
  <c r="U1068" i="4" s="1" a="1"/>
  <c r="U1068" i="4" s="1"/>
  <c r="S1069" i="4"/>
  <c r="U1069" i="4" s="1" a="1"/>
  <c r="U1069" i="4" s="1"/>
  <c r="S1070" i="4"/>
  <c r="U1070" i="4" s="1" a="1"/>
  <c r="U1070" i="4" s="1"/>
  <c r="S1071" i="4"/>
  <c r="U1071" i="4" s="1" a="1"/>
  <c r="U1071" i="4" s="1"/>
  <c r="S1072" i="4"/>
  <c r="U1072" i="4" s="1" a="1"/>
  <c r="U1072" i="4" s="1"/>
  <c r="S1073" i="4"/>
  <c r="U1073" i="4" s="1" a="1"/>
  <c r="U1073" i="4" s="1"/>
  <c r="S1074" i="4"/>
  <c r="U1074" i="4" s="1" a="1"/>
  <c r="U1074" i="4" s="1"/>
  <c r="S1075" i="4"/>
  <c r="S1076" i="4"/>
  <c r="U1076" i="4" s="1" a="1"/>
  <c r="U1076" i="4" s="1"/>
  <c r="S1077" i="4"/>
  <c r="U1077" i="4" s="1" a="1"/>
  <c r="U1077" i="4" s="1"/>
  <c r="S1078" i="4"/>
  <c r="U1078" i="4" s="1" a="1"/>
  <c r="U1078" i="4" s="1"/>
  <c r="S1079" i="4"/>
  <c r="U1079" i="4" s="1" a="1"/>
  <c r="U1079" i="4" s="1"/>
  <c r="S1080" i="4"/>
  <c r="U1080" i="4" s="1" a="1"/>
  <c r="U1080" i="4" s="1"/>
  <c r="S1081" i="4"/>
  <c r="U1081" i="4" s="1" a="1"/>
  <c r="U1081" i="4" s="1"/>
  <c r="S1082" i="4"/>
  <c r="U1082" i="4" s="1" a="1"/>
  <c r="U1082" i="4" s="1"/>
  <c r="S1083" i="4"/>
  <c r="U1083" i="4" s="1" a="1"/>
  <c r="U1083" i="4" s="1"/>
  <c r="S1084" i="4"/>
  <c r="S1085" i="4"/>
  <c r="U1085" i="4" s="1" a="1"/>
  <c r="U1085" i="4" s="1"/>
  <c r="S1086" i="4"/>
  <c r="U1086" i="4" s="1" a="1"/>
  <c r="U1086" i="4" s="1"/>
  <c r="S1087" i="4"/>
  <c r="U1087" i="4" s="1" a="1"/>
  <c r="U1087" i="4" s="1"/>
  <c r="S1088" i="4"/>
  <c r="U1088" i="4" s="1" a="1"/>
  <c r="U1088" i="4" s="1"/>
  <c r="S1089" i="4"/>
  <c r="U1089" i="4" s="1" a="1"/>
  <c r="U1089" i="4" s="1"/>
  <c r="S1090" i="4"/>
  <c r="U1090" i="4" s="1" a="1"/>
  <c r="U1090" i="4" s="1"/>
  <c r="S1091" i="4"/>
  <c r="U1091" i="4" s="1" a="1"/>
  <c r="U1091" i="4" s="1"/>
  <c r="S1092" i="4"/>
  <c r="U1092" i="4" s="1" a="1"/>
  <c r="U1092" i="4" s="1"/>
  <c r="S1093" i="4"/>
  <c r="U1093" i="4" s="1" a="1"/>
  <c r="U1093" i="4" s="1"/>
  <c r="S1094" i="4"/>
  <c r="U1094" i="4" s="1" a="1"/>
  <c r="U1094" i="4" s="1"/>
  <c r="S1095" i="4"/>
  <c r="U1095" i="4" s="1" a="1"/>
  <c r="U1095" i="4" s="1"/>
  <c r="S1096" i="4"/>
  <c r="U1096" i="4" s="1" a="1"/>
  <c r="U1096" i="4" s="1"/>
  <c r="S1097" i="4"/>
  <c r="U1097" i="4" s="1" a="1"/>
  <c r="U1097" i="4" s="1"/>
  <c r="S1098" i="4"/>
  <c r="U1098" i="4" s="1" a="1"/>
  <c r="U1098" i="4" s="1"/>
  <c r="S1099" i="4"/>
  <c r="U1099" i="4" s="1" a="1"/>
  <c r="U1099" i="4" s="1"/>
  <c r="S1100" i="4"/>
  <c r="U1100" i="4" s="1" a="1"/>
  <c r="U1100" i="4" s="1"/>
  <c r="S1101" i="4"/>
  <c r="U1101" i="4" s="1" a="1"/>
  <c r="U1101" i="4" s="1"/>
  <c r="S1102" i="4"/>
  <c r="U1102" i="4" s="1" a="1"/>
  <c r="U1102" i="4" s="1"/>
  <c r="S1103" i="4"/>
  <c r="U1103" i="4" s="1" a="1"/>
  <c r="U1103" i="4" s="1"/>
  <c r="S1104" i="4"/>
  <c r="U1104" i="4" s="1" a="1"/>
  <c r="U1104" i="4" s="1"/>
  <c r="S1105" i="4"/>
  <c r="U1105" i="4" s="1" a="1"/>
  <c r="U1105" i="4" s="1"/>
  <c r="S1106" i="4"/>
  <c r="U1106" i="4" s="1" a="1"/>
  <c r="U1106" i="4" s="1"/>
  <c r="S1107" i="4"/>
  <c r="U1107" i="4" s="1" a="1"/>
  <c r="U1107" i="4" s="1"/>
  <c r="S1108" i="4"/>
  <c r="U1108" i="4" s="1" a="1"/>
  <c r="U1108" i="4" s="1"/>
  <c r="S1109" i="4"/>
  <c r="U1109" i="4" s="1" a="1"/>
  <c r="U1109" i="4" s="1"/>
  <c r="S1110" i="4"/>
  <c r="U1110" i="4" s="1" a="1"/>
  <c r="U1110" i="4" s="1"/>
  <c r="S1111" i="4"/>
  <c r="U1111" i="4" s="1" a="1"/>
  <c r="U1111" i="4" s="1"/>
  <c r="S1112" i="4"/>
  <c r="U1112" i="4" s="1" a="1"/>
  <c r="U1112" i="4" s="1"/>
  <c r="S1113" i="4"/>
  <c r="U1113" i="4" s="1" a="1"/>
  <c r="U1113" i="4" s="1"/>
  <c r="S1114" i="4"/>
  <c r="U1114" i="4" s="1" a="1"/>
  <c r="U1114" i="4" s="1"/>
  <c r="S1115" i="4"/>
  <c r="U1115" i="4" s="1" a="1"/>
  <c r="U1115" i="4" s="1"/>
  <c r="S1116" i="4"/>
  <c r="U1116" i="4" s="1" a="1"/>
  <c r="U1116" i="4" s="1"/>
  <c r="S1117" i="4"/>
  <c r="U1117" i="4" s="1" a="1"/>
  <c r="U1117" i="4" s="1"/>
  <c r="S1118" i="4"/>
  <c r="U1118" i="4" s="1" a="1"/>
  <c r="U1118" i="4" s="1"/>
  <c r="S1119" i="4"/>
  <c r="U1119" i="4" s="1" a="1"/>
  <c r="U1119" i="4" s="1"/>
  <c r="S1120" i="4"/>
  <c r="U1120" i="4" s="1" a="1"/>
  <c r="U1120" i="4" s="1"/>
  <c r="S1121" i="4"/>
  <c r="U1121" i="4" s="1" a="1"/>
  <c r="U1121" i="4" s="1"/>
  <c r="S1122" i="4"/>
  <c r="U1122" i="4" s="1" a="1"/>
  <c r="U1122" i="4" s="1"/>
  <c r="S1123" i="4"/>
  <c r="U1123" i="4" s="1" a="1"/>
  <c r="U1123" i="4" s="1"/>
  <c r="S1124" i="4"/>
  <c r="U1124" i="4" s="1" a="1"/>
  <c r="U1124" i="4" s="1"/>
  <c r="S1125" i="4"/>
  <c r="U1125" i="4" s="1" a="1"/>
  <c r="U1125" i="4" s="1"/>
  <c r="S1126" i="4"/>
  <c r="U1126" i="4" s="1" a="1"/>
  <c r="U1126" i="4" s="1"/>
  <c r="S1127" i="4"/>
  <c r="U1127" i="4" s="1" a="1"/>
  <c r="U1127" i="4" s="1"/>
  <c r="S1128" i="4"/>
  <c r="U1128" i="4" s="1" a="1"/>
  <c r="U1128" i="4" s="1"/>
  <c r="S1129" i="4"/>
  <c r="U1129" i="4" s="1" a="1"/>
  <c r="U1129" i="4" s="1"/>
  <c r="S1130" i="4"/>
  <c r="U1130" i="4" s="1" a="1"/>
  <c r="U1130" i="4" s="1"/>
  <c r="S1131" i="4"/>
  <c r="U1131" i="4" s="1" a="1"/>
  <c r="U1131" i="4" s="1"/>
  <c r="S1132" i="4"/>
  <c r="U1132" i="4" s="1" a="1"/>
  <c r="U1132" i="4" s="1"/>
  <c r="S1133" i="4"/>
  <c r="U1133" i="4" s="1" a="1"/>
  <c r="U1133" i="4" s="1"/>
  <c r="S1134" i="4"/>
  <c r="U1134" i="4" s="1" a="1"/>
  <c r="U1134" i="4" s="1"/>
  <c r="S1135" i="4"/>
  <c r="U1135" i="4" s="1" a="1"/>
  <c r="U1135" i="4" s="1"/>
  <c r="S1136" i="4"/>
  <c r="U1136" i="4" s="1" a="1"/>
  <c r="U1136" i="4" s="1"/>
  <c r="S1137" i="4"/>
  <c r="U1137" i="4" s="1" a="1"/>
  <c r="U1137" i="4" s="1"/>
  <c r="S1138" i="4"/>
  <c r="U1138" i="4" s="1" a="1"/>
  <c r="U1138" i="4" s="1"/>
  <c r="S1139" i="4"/>
  <c r="U1139" i="4" s="1" a="1"/>
  <c r="U1139" i="4" s="1"/>
  <c r="S1140" i="4"/>
  <c r="U1140" i="4" s="1" a="1"/>
  <c r="U1140" i="4" s="1"/>
  <c r="S1141" i="4"/>
  <c r="U1141" i="4" s="1" a="1"/>
  <c r="U1141" i="4" s="1"/>
  <c r="S1142" i="4"/>
  <c r="U1142" i="4" s="1" a="1"/>
  <c r="U1142" i="4" s="1"/>
  <c r="S1143" i="4"/>
  <c r="U1143" i="4" s="1" a="1"/>
  <c r="U1143" i="4" s="1"/>
  <c r="S1144" i="4"/>
  <c r="U1144" i="4" s="1" a="1"/>
  <c r="U1144" i="4" s="1"/>
  <c r="S1145" i="4"/>
  <c r="U1145" i="4" s="1" a="1"/>
  <c r="U1145" i="4" s="1"/>
  <c r="S1146" i="4"/>
  <c r="U1146" i="4" s="1" a="1"/>
  <c r="U1146" i="4" s="1"/>
  <c r="S1147" i="4"/>
  <c r="U1147" i="4" s="1" a="1"/>
  <c r="U1147" i="4" s="1"/>
  <c r="S1148" i="4"/>
  <c r="U1148" i="4" s="1" a="1"/>
  <c r="U1148" i="4" s="1"/>
  <c r="S1149" i="4"/>
  <c r="U1149" i="4" s="1" a="1"/>
  <c r="U1149" i="4" s="1"/>
  <c r="S1150" i="4"/>
  <c r="U1150" i="4" s="1" a="1"/>
  <c r="U1150" i="4" s="1"/>
  <c r="S1151" i="4"/>
  <c r="U1151" i="4" s="1" a="1"/>
  <c r="U1151" i="4" s="1"/>
  <c r="S1152" i="4"/>
  <c r="U1152" i="4" s="1" a="1"/>
  <c r="U1152" i="4" s="1"/>
  <c r="S1153" i="4"/>
  <c r="U1153" i="4" s="1" a="1"/>
  <c r="U1153" i="4" s="1"/>
  <c r="S1154" i="4"/>
  <c r="U1154" i="4" s="1" a="1"/>
  <c r="U1154" i="4" s="1"/>
  <c r="S1155" i="4"/>
  <c r="U1155" i="4" s="1" a="1"/>
  <c r="U1155" i="4" s="1"/>
  <c r="S1156" i="4"/>
  <c r="U1156" i="4" s="1" a="1"/>
  <c r="U1156" i="4" s="1"/>
  <c r="S1157" i="4"/>
  <c r="U1157" i="4" s="1" a="1"/>
  <c r="U1157" i="4" s="1"/>
  <c r="S1158" i="4"/>
  <c r="U1158" i="4" s="1" a="1"/>
  <c r="U1158" i="4" s="1"/>
  <c r="S1159" i="4"/>
  <c r="U1159" i="4" s="1" a="1"/>
  <c r="U1159" i="4" s="1"/>
  <c r="S1160" i="4"/>
  <c r="U1160" i="4" s="1" a="1"/>
  <c r="U1160" i="4" s="1"/>
  <c r="S1161" i="4"/>
  <c r="U1161" i="4" s="1" a="1"/>
  <c r="U1161" i="4" s="1"/>
  <c r="S1162" i="4"/>
  <c r="U1162" i="4" s="1" a="1"/>
  <c r="U1162" i="4" s="1"/>
  <c r="S1163" i="4"/>
  <c r="U1163" i="4" s="1" a="1"/>
  <c r="U1163" i="4" s="1"/>
  <c r="S1164" i="4"/>
  <c r="U1164" i="4" s="1" a="1"/>
  <c r="U1164" i="4" s="1"/>
  <c r="S1165" i="4"/>
  <c r="U1165" i="4" s="1" a="1"/>
  <c r="U1165" i="4" s="1"/>
  <c r="S1166" i="4"/>
  <c r="U1166" i="4" s="1" a="1"/>
  <c r="U1166" i="4" s="1"/>
  <c r="S1167" i="4"/>
  <c r="U1167" i="4" s="1" a="1"/>
  <c r="U1167" i="4" s="1"/>
  <c r="S1168" i="4"/>
  <c r="U1168" i="4" s="1" a="1"/>
  <c r="U1168" i="4" s="1"/>
  <c r="S1169" i="4"/>
  <c r="U1169" i="4" s="1" a="1"/>
  <c r="U1169" i="4" s="1"/>
  <c r="S1170" i="4"/>
  <c r="U1170" i="4" s="1" a="1"/>
  <c r="U1170" i="4" s="1"/>
  <c r="S1171" i="4"/>
  <c r="S1172" i="4"/>
  <c r="U1172" i="4" s="1" a="1"/>
  <c r="U1172" i="4" s="1"/>
  <c r="S1173" i="4"/>
  <c r="U1173" i="4" s="1" a="1"/>
  <c r="U1173" i="4" s="1"/>
  <c r="S1174" i="4"/>
  <c r="U1174" i="4" s="1" a="1"/>
  <c r="U1174" i="4" s="1"/>
  <c r="S1175" i="4"/>
  <c r="U1175" i="4" s="1" a="1"/>
  <c r="U1175" i="4" s="1"/>
  <c r="S1176" i="4"/>
  <c r="U1176" i="4" s="1" a="1"/>
  <c r="U1176" i="4" s="1"/>
  <c r="S1177" i="4"/>
  <c r="U1177" i="4" s="1" a="1"/>
  <c r="U1177" i="4" s="1"/>
  <c r="S1178" i="4"/>
  <c r="U1178" i="4" s="1" a="1"/>
  <c r="U1178" i="4" s="1"/>
  <c r="S1179" i="4"/>
  <c r="U1179" i="4" s="1" a="1"/>
  <c r="U1179" i="4" s="1"/>
  <c r="S1180" i="4"/>
  <c r="U1180" i="4" s="1" a="1"/>
  <c r="U1180" i="4" s="1"/>
  <c r="S1181" i="4"/>
  <c r="U1181" i="4" s="1" a="1"/>
  <c r="U1181" i="4" s="1"/>
  <c r="S1182" i="4"/>
  <c r="U1182" i="4" s="1" a="1"/>
  <c r="U1182" i="4" s="1"/>
  <c r="S1183" i="4"/>
  <c r="U1183" i="4" s="1" a="1"/>
  <c r="U1183" i="4" s="1"/>
  <c r="S1184" i="4"/>
  <c r="U1184" i="4" s="1" a="1"/>
  <c r="U1184" i="4" s="1"/>
  <c r="S1185" i="4"/>
  <c r="U1185" i="4" s="1" a="1"/>
  <c r="U1185" i="4" s="1"/>
  <c r="S1186" i="4"/>
  <c r="U1186" i="4" s="1" a="1"/>
  <c r="U1186" i="4" s="1"/>
  <c r="S1187" i="4"/>
  <c r="U1187" i="4" s="1" a="1"/>
  <c r="U1187" i="4" s="1"/>
  <c r="S1188" i="4"/>
  <c r="U1188" i="4" s="1" a="1"/>
  <c r="U1188" i="4" s="1"/>
  <c r="S1189" i="4"/>
  <c r="U1189" i="4" s="1" a="1"/>
  <c r="U1189" i="4" s="1"/>
  <c r="S1190" i="4"/>
  <c r="U1190" i="4" s="1" a="1"/>
  <c r="U1190" i="4" s="1"/>
  <c r="S1191" i="4"/>
  <c r="U1191" i="4" s="1" a="1"/>
  <c r="U1191" i="4" s="1"/>
  <c r="S1192" i="4"/>
  <c r="U1192" i="4" s="1" a="1"/>
  <c r="U1192" i="4" s="1"/>
  <c r="S1193" i="4"/>
  <c r="U1193" i="4" s="1" a="1"/>
  <c r="U1193" i="4" s="1"/>
  <c r="S1194" i="4"/>
  <c r="U1194" i="4" s="1" a="1"/>
  <c r="U1194" i="4" s="1"/>
  <c r="S1195" i="4"/>
  <c r="U1195" i="4" s="1" a="1"/>
  <c r="U1195" i="4" s="1"/>
  <c r="S1196" i="4"/>
  <c r="U1196" i="4" s="1" a="1"/>
  <c r="U1196" i="4" s="1"/>
  <c r="S1197" i="4"/>
  <c r="U1197" i="4" s="1" a="1"/>
  <c r="U1197" i="4" s="1"/>
  <c r="S1198" i="4"/>
  <c r="U1198" i="4" s="1" a="1"/>
  <c r="U1198" i="4" s="1"/>
  <c r="S1199" i="4"/>
  <c r="U1199" i="4" s="1" a="1"/>
  <c r="U1199" i="4" s="1"/>
  <c r="S1200" i="4"/>
  <c r="U1200" i="4" s="1" a="1"/>
  <c r="U1200" i="4" s="1"/>
  <c r="S1201" i="4"/>
  <c r="U1201" i="4" s="1" a="1"/>
  <c r="U1201" i="4" s="1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47AB6C-F327-4B88-B057-3CA30D4B01EA}" keepAlive="1" name="Query - Raw_Sales_Data" description="Connection to the 'Raw_Sales_Data' query in the workbook." type="5" refreshedVersion="8" background="1" saveData="1">
    <dbPr connection="Provider=Microsoft.Mashup.OleDb.1;Data Source=$Workbook$;Location=Raw_Sales_Data;Extended Properties=&quot;&quot;" command="SELECT * FROM [Raw_Sales_Data]"/>
  </connection>
  <connection id="2" xr16:uid="{9EE24E46-CB50-42CE-AEB8-6014C8BEA20E}" keepAlive="1" name="Query - Raw_Sales_Data (2)" description="Connection to the 'Raw_Sales_Data (2)' query in the workbook." type="5" refreshedVersion="8" background="1" saveData="1">
    <dbPr connection="Provider=Microsoft.Mashup.OleDb.1;Data Source=$Workbook$;Location=&quot;Raw_Sales_Data (2)&quot;;Extended Properties=&quot;&quot;" command="SELECT * FROM [Raw_Sales_Data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<sst xmlns="http://schemas.openxmlformats.org/spreadsheetml/2006/main" count="21664" uniqueCount="1290">
  <si>
    <t>Order_ID</t>
  </si>
  <si>
    <t>Date</t>
  </si>
  <si>
    <t>Region</t>
  </si>
  <si>
    <t>Country</t>
  </si>
  <si>
    <t>Salesperson</t>
  </si>
  <si>
    <t>Product_Category</t>
  </si>
  <si>
    <t>Product_Name</t>
  </si>
  <si>
    <t>Units_Sold</t>
  </si>
  <si>
    <t>Unit_Price</t>
  </si>
  <si>
    <t>Discount_%</t>
  </si>
  <si>
    <t>Revenue</t>
  </si>
  <si>
    <t>COGS</t>
  </si>
  <si>
    <t>Profit</t>
  </si>
  <si>
    <t>Customer_Segment</t>
  </si>
  <si>
    <t>Payment_Method</t>
  </si>
  <si>
    <t>Return_Flag</t>
  </si>
  <si>
    <t>ORD-0001</t>
  </si>
  <si>
    <t>East</t>
  </si>
  <si>
    <t>India</t>
  </si>
  <si>
    <t>Sneha Iyer</t>
  </si>
  <si>
    <t>Apparel</t>
  </si>
  <si>
    <t>Jacket</t>
  </si>
  <si>
    <t>Enterprise</t>
  </si>
  <si>
    <t>Cash</t>
  </si>
  <si>
    <t>No</t>
  </si>
  <si>
    <t>ORD-0002</t>
  </si>
  <si>
    <t>North</t>
  </si>
  <si>
    <t>USA</t>
  </si>
  <si>
    <t>Electronics</t>
  </si>
  <si>
    <t>Smartwatch</t>
  </si>
  <si>
    <t>B2B</t>
  </si>
  <si>
    <t>ORD-0003</t>
  </si>
  <si>
    <t>Rohan Joshi</t>
  </si>
  <si>
    <t>Home &amp; Kitchen</t>
  </si>
  <si>
    <t>Sofa</t>
  </si>
  <si>
    <t>Credit Card</t>
  </si>
  <si>
    <t>ORD-0004</t>
  </si>
  <si>
    <t>Japan</t>
  </si>
  <si>
    <t>Neha Sharma</t>
  </si>
  <si>
    <t>Blender</t>
  </si>
  <si>
    <t>Yes</t>
  </si>
  <si>
    <t>ORD-0005</t>
  </si>
  <si>
    <t>China</t>
  </si>
  <si>
    <t>Rug</t>
  </si>
  <si>
    <t>UPI</t>
  </si>
  <si>
    <t>ORD-0006</t>
  </si>
  <si>
    <t>South</t>
  </si>
  <si>
    <t>Brazil</t>
  </si>
  <si>
    <t>Lamp</t>
  </si>
  <si>
    <t>B2C</t>
  </si>
  <si>
    <t>Net Banking</t>
  </si>
  <si>
    <t>ORD-0007</t>
  </si>
  <si>
    <t>Priya Mehta</t>
  </si>
  <si>
    <t>Cap</t>
  </si>
  <si>
    <t>ORD-0008</t>
  </si>
  <si>
    <t>Argentina</t>
  </si>
  <si>
    <t>Aarav Shah</t>
  </si>
  <si>
    <t>ORD-0009</t>
  </si>
  <si>
    <t>West</t>
  </si>
  <si>
    <t>Germany</t>
  </si>
  <si>
    <t>Pooja Patel</t>
  </si>
  <si>
    <t>T-Shirt</t>
  </si>
  <si>
    <t>ORD-0010</t>
  </si>
  <si>
    <t>ORD-0011</t>
  </si>
  <si>
    <t>France</t>
  </si>
  <si>
    <t>Sports</t>
  </si>
  <si>
    <t>Tennis Racket</t>
  </si>
  <si>
    <t>Wallet</t>
  </si>
  <si>
    <t>ORD-0012</t>
  </si>
  <si>
    <t>Canada</t>
  </si>
  <si>
    <t>Anjali Singh</t>
  </si>
  <si>
    <t>Tablet</t>
  </si>
  <si>
    <t>ORD-0013</t>
  </si>
  <si>
    <t>Vikram Nair</t>
  </si>
  <si>
    <t>Sneakers</t>
  </si>
  <si>
    <t>ORD-0014</t>
  </si>
  <si>
    <t>Air Fryer</t>
  </si>
  <si>
    <t>ORD-0015</t>
  </si>
  <si>
    <t>Rahul Gupta</t>
  </si>
  <si>
    <t>Football</t>
  </si>
  <si>
    <t>ORD-0016</t>
  </si>
  <si>
    <t>ORD-0017</t>
  </si>
  <si>
    <t>ORD-0018</t>
  </si>
  <si>
    <t>ORD-0019</t>
  </si>
  <si>
    <t>UK</t>
  </si>
  <si>
    <t>Headphones</t>
  </si>
  <si>
    <t>ORD-0020</t>
  </si>
  <si>
    <t>Smartphone</t>
  </si>
  <si>
    <t>ORD-0021</t>
  </si>
  <si>
    <t>ORD-0022</t>
  </si>
  <si>
    <t>ORD-0023</t>
  </si>
  <si>
    <t>ORD-0024</t>
  </si>
  <si>
    <t>ORD-0025</t>
  </si>
  <si>
    <t>ORD-0026</t>
  </si>
  <si>
    <t>ORD-0027</t>
  </si>
  <si>
    <t>Laptop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</si>
  <si>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</si>
  <si>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</si>
  <si>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</si>
  <si>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</si>
  <si>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</si>
  <si>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</si>
  <si>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</si>
  <si>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</si>
  <si>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Dumbbell</t>
  </si>
  <si>
    <t>ORD-0036</t>
  </si>
  <si>
    <t>ORD-0037</t>
  </si>
  <si>
    <t>ORD-0038</t>
  </si>
  <si>
    <t>ORD-0039</t>
  </si>
  <si>
    <t>ORD-0040</t>
  </si>
  <si>
    <t>ORD-0041</t>
  </si>
  <si>
    <t>Amit Kumar</t>
  </si>
  <si>
    <t>ORD-0042</t>
  </si>
  <si>
    <t>ORD-0043</t>
  </si>
  <si>
    <t>ORD-0044</t>
  </si>
  <si>
    <t>Jeans</t>
  </si>
  <si>
    <t>ORD-0045</t>
  </si>
  <si>
    <t>Yoga Mat</t>
  </si>
  <si>
    <t>ORD-0046</t>
  </si>
  <si>
    <t>ORD-0047</t>
  </si>
  <si>
    <t>ORD-0048</t>
  </si>
  <si>
    <t>ORD-0049</t>
  </si>
  <si>
    <t>ORD-0050</t>
  </si>
  <si>
    <t>ORD-0051</t>
  </si>
  <si>
    <t>Cycle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</si>
  <si>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</si>
  <si>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</si>
  <si>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</si>
  <si>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</si>
  <si>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</si>
  <si>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</si>
  <si>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</si>
  <si>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</si>
  <si>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</si>
  <si>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</si>
  <si>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</si>
  <si>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</si>
  <si>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</si>
  <si>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</si>
  <si>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</si>
  <si>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</si>
  <si>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</si>
  <si>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</si>
  <si>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</si>
  <si>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</si>
  <si>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</si>
  <si>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</si>
  <si>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</si>
  <si>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</si>
  <si>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</si>
  <si>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</si>
  <si>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</si>
  <si>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</si>
  <si>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</si>
  <si>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</si>
  <si>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</si>
  <si>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</si>
  <si>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</si>
  <si>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</si>
  <si>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</si>
  <si>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</si>
  <si>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</si>
  <si>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</si>
  <si>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</si>
  <si>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</si>
  <si>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</si>
  <si>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</si>
  <si>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</si>
  <si>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</si>
  <si>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</si>
  <si>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</si>
  <si>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</si>
  <si>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</si>
  <si>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</si>
  <si>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</si>
  <si>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</si>
  <si>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</si>
  <si>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</si>
  <si>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</si>
  <si>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</si>
  <si>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</si>
  <si>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</si>
  <si>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</si>
  <si>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</si>
  <si>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</si>
  <si>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</si>
  <si>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</si>
  <si>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</si>
  <si>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</si>
  <si>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</si>
  <si>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</si>
  <si>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</si>
  <si>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</si>
  <si>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</si>
  <si>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</si>
  <si>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</si>
  <si>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</si>
  <si>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</si>
  <si>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</si>
  <si>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</si>
  <si>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</si>
  <si>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</si>
  <si>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</si>
  <si>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</si>
  <si>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</si>
  <si>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</si>
  <si>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</si>
  <si>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</si>
  <si>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</si>
  <si>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</si>
  <si>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</si>
  <si>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</si>
  <si>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</si>
  <si>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</si>
  <si>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</si>
  <si>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</si>
  <si>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</si>
  <si>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</si>
  <si>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</si>
  <si>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</si>
  <si>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</si>
  <si>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</si>
  <si>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</si>
  <si>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</si>
  <si>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</si>
  <si>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</si>
  <si>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</si>
  <si>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</si>
  <si>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</si>
  <si>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</si>
  <si>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</si>
  <si>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</si>
  <si>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</si>
  <si>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</si>
  <si>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</si>
  <si>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</si>
  <si>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</si>
  <si>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</si>
  <si>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</si>
  <si>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</si>
  <si>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</si>
  <si>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</si>
  <si>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</si>
  <si>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</si>
  <si>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</si>
  <si>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</si>
  <si>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</si>
  <si>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</si>
  <si>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</si>
  <si>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</si>
  <si>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</si>
  <si>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</si>
  <si>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</si>
  <si>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</si>
  <si>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</si>
  <si>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</si>
  <si>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</si>
  <si>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</si>
  <si>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</si>
  <si>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</si>
  <si>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</si>
  <si>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</si>
  <si>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</si>
  <si>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</si>
  <si>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</si>
  <si>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</si>
  <si>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</si>
  <si>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</si>
  <si>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</si>
  <si>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</si>
  <si>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</si>
  <si>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</si>
  <si>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</si>
  <si>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</si>
  <si>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</si>
  <si>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</si>
  <si>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</si>
  <si>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</si>
  <si>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</si>
  <si>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</si>
  <si>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</si>
  <si>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</si>
  <si>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</si>
  <si>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</si>
  <si>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</si>
  <si>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</si>
  <si>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</si>
  <si>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</si>
  <si>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</si>
  <si>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</si>
  <si>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</si>
  <si>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</si>
  <si>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</si>
  <si>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</si>
  <si>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</si>
  <si>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</si>
  <si>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</si>
  <si>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</si>
  <si>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</si>
  <si>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</si>
  <si>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</si>
  <si>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</si>
  <si>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</si>
  <si>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</si>
  <si>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</si>
  <si>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</si>
  <si>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</si>
  <si>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</si>
  <si>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</si>
  <si>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</si>
  <si>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</si>
  <si>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</si>
  <si>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</si>
  <si>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</si>
  <si>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</si>
  <si>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</si>
  <si>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</si>
  <si>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</si>
  <si>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</si>
  <si>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</si>
  <si>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</si>
  <si>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</si>
  <si>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</si>
  <si>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</si>
  <si>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</si>
  <si>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</si>
  <si>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</si>
  <si>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</si>
  <si>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</si>
  <si>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</si>
  <si>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</si>
  <si>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</si>
  <si>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</si>
  <si>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</si>
  <si>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</si>
  <si>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</si>
  <si>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</si>
  <si>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</si>
  <si>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</si>
  <si>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</si>
  <si>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</si>
  <si>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</si>
  <si>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</si>
  <si>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</si>
  <si>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</si>
  <si>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</si>
  <si>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</si>
  <si>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</si>
  <si>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</si>
  <si>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</si>
  <si>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</si>
  <si>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</si>
  <si>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</si>
  <si>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</si>
  <si>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</si>
  <si>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</si>
  <si>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</si>
  <si>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</si>
  <si>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</si>
  <si>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</si>
  <si>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</si>
  <si>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</si>
  <si>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</si>
  <si>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</si>
  <si>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</si>
  <si>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</si>
  <si>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</si>
  <si>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</si>
  <si>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</si>
  <si>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</si>
  <si>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</si>
  <si>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</si>
  <si>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</si>
  <si>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</si>
  <si>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</si>
  <si>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</si>
  <si>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</si>
  <si>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</si>
  <si>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</si>
  <si>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</si>
  <si>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</si>
  <si>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</si>
  <si>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</si>
  <si>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</si>
  <si>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</si>
  <si>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</si>
  <si>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</si>
  <si>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</si>
  <si>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</si>
  <si>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</si>
  <si>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</si>
  <si>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</si>
  <si>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</si>
  <si>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</si>
  <si>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</si>
  <si>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</si>
  <si>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</si>
  <si>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</si>
  <si>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</si>
  <si>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</si>
  <si>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</si>
  <si>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</si>
  <si>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</si>
  <si>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</si>
  <si>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</si>
  <si>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</si>
  <si>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</si>
  <si>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</si>
  <si>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</si>
  <si>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</si>
  <si>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</si>
  <si>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</si>
  <si>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</si>
  <si>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</si>
  <si>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</si>
  <si>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</si>
  <si>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</si>
  <si>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</si>
  <si>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</si>
  <si>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</si>
  <si>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</si>
  <si>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</si>
  <si>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</si>
  <si>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</si>
  <si>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</si>
  <si>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</si>
  <si>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</si>
  <si>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</si>
  <si>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</si>
  <si>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</si>
  <si>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</si>
  <si>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</si>
  <si>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</si>
  <si>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</si>
  <si>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</si>
  <si>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</si>
  <si>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</si>
  <si>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</si>
  <si>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</si>
  <si>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</si>
  <si>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</si>
  <si>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</si>
  <si>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</si>
  <si>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</si>
  <si>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</si>
  <si>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</si>
  <si>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</si>
  <si>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</si>
  <si>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</si>
  <si>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</si>
  <si>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</si>
  <si>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</si>
  <si>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</si>
  <si>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</si>
  <si>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</si>
  <si>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</si>
  <si>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</si>
  <si>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</si>
  <si>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</si>
  <si>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</si>
  <si>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</si>
  <si>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</si>
  <si>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</si>
  <si>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</si>
  <si>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</si>
  <si>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</si>
  <si>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</si>
  <si>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</si>
  <si>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</si>
  <si>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</si>
  <si>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</si>
  <si>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</si>
  <si>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</si>
  <si>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</si>
  <si>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</si>
  <si>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</si>
  <si>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</si>
  <si>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</si>
  <si>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</si>
  <si>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</si>
  <si>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</si>
  <si>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</si>
  <si>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</si>
  <si>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</si>
  <si>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</si>
  <si>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</si>
  <si>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</si>
  <si>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</si>
  <si>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</si>
  <si>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</si>
  <si>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</si>
  <si>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</si>
  <si>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</si>
  <si>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</si>
  <si>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</si>
  <si>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</si>
  <si>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</si>
  <si>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</si>
  <si>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</si>
  <si>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</si>
  <si>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</si>
  <si>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</si>
  <si>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</si>
  <si>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</si>
  <si>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</si>
  <si>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</si>
  <si>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</si>
  <si>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</si>
  <si>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</si>
  <si>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</si>
  <si>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</si>
  <si>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</si>
  <si>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</si>
  <si>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</si>
  <si>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</si>
  <si>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</si>
  <si>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</si>
  <si>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</si>
  <si>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</si>
  <si>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</si>
  <si>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</si>
  <si>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</si>
  <si>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</si>
  <si>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</si>
  <si>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</si>
  <si>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</si>
  <si>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</si>
  <si>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</si>
  <si>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</si>
  <si>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</si>
  <si>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</si>
  <si>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</si>
  <si>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</si>
  <si>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</si>
  <si>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</si>
  <si>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</si>
  <si>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</si>
  <si>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</si>
  <si>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</si>
  <si>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</si>
  <si>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</si>
  <si>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</si>
  <si>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</si>
  <si>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</si>
  <si>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ORD-0471</t>
  </si>
  <si>
    <t>ORD-0472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</si>
  <si>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</si>
  <si>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</si>
  <si>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</si>
  <si>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</si>
  <si>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</si>
  <si>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</si>
  <si>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</si>
  <si>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</si>
  <si>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</si>
  <si>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</si>
  <si>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</si>
  <si>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</si>
  <si>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</si>
  <si>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</si>
  <si>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</si>
  <si>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</si>
  <si>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</si>
  <si>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</si>
  <si>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</si>
  <si>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</si>
  <si>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</si>
  <si>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</si>
  <si>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</si>
  <si>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</si>
  <si>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</si>
  <si>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</si>
  <si>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</si>
  <si>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</si>
  <si>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ORD-0501</t>
  </si>
  <si>
    <t>ORD-0502</t>
  </si>
  <si>
    <t>ORD-0503</t>
  </si>
  <si>
    <t>ORD-0504</t>
  </si>
  <si>
    <t>ORD-0505</t>
  </si>
  <si>
    <t>ORD-0506</t>
  </si>
  <si>
    <t>ORD-0507</t>
  </si>
  <si>
    <t>ORD-0508</t>
  </si>
  <si>
    <t>ORD-0509</t>
  </si>
  <si>
    <t>ORD-0510</t>
  </si>
  <si>
    <t>ORD-0511</t>
  </si>
  <si>
    <t>ORD-0512</t>
  </si>
  <si>
    <t>ORD-0513</t>
  </si>
  <si>
    <t>ORD-0514</t>
  </si>
  <si>
    <t>ORD-0515</t>
  </si>
  <si>
    <t>ORD-0516</t>
  </si>
  <si>
    <t>ORD-0517</t>
  </si>
  <si>
    <t>ORD-0518</t>
  </si>
  <si>
    <t>ORD-0519</t>
  </si>
  <si>
    <t>ORD-0520</t>
  </si>
  <si>
    <t>ORD-0521</t>
  </si>
  <si>
    <t>ORD-0522</t>
  </si>
  <si>
    <t>ORD-0523</t>
  </si>
  <si>
    <t>ORD-0524</t>
  </si>
  <si>
    <t>ORD-0525</t>
  </si>
  <si>
    <t>ORD-0526</t>
  </si>
  <si>
    <t>ORD-0527</t>
  </si>
  <si>
    <t>ORD-0528</t>
  </si>
  <si>
    <t>ORD-0529</t>
  </si>
  <si>
    <t>ORD-0530</t>
  </si>
  <si>
    <t>ORD-0531</t>
  </si>
  <si>
    <t>ORD-0532</t>
  </si>
  <si>
    <t>ORD-0533</t>
  </si>
  <si>
    <t>ORD-0534</t>
  </si>
  <si>
    <t>ORD-0535</t>
  </si>
  <si>
    <t>ORD-0536</t>
  </si>
  <si>
    <t>ORD-0537</t>
  </si>
  <si>
    <t>ORD-0538</t>
  </si>
  <si>
    <t>ORD-0539</t>
  </si>
  <si>
    <t>ORD-0540</t>
  </si>
  <si>
    <t>ORD-0541</t>
  </si>
  <si>
    <t>ORD-0542</t>
  </si>
  <si>
    <t>ORD-0543</t>
  </si>
  <si>
    <t>ORD-0544</t>
  </si>
  <si>
    <t>ORD-0545</t>
  </si>
  <si>
    <t>ORD-0546</t>
  </si>
  <si>
    <t>ORD-0547</t>
  </si>
  <si>
    <t>ORD-0548</t>
  </si>
  <si>
    <t>ORD-0549</t>
  </si>
  <si>
    <t>ORD-0550</t>
  </si>
  <si>
    <t>ORD-0551</t>
  </si>
  <si>
    <t>ORD-0552</t>
  </si>
  <si>
    <t>ORD-0553</t>
  </si>
  <si>
    <t>ORD-0554</t>
  </si>
  <si>
    <t>ORD-0555</t>
  </si>
  <si>
    <t>ORD-0556</t>
  </si>
  <si>
    <t>ORD-0557</t>
  </si>
  <si>
    <t>ORD-0558</t>
  </si>
  <si>
    <t>ORD-0559</t>
  </si>
  <si>
    <t>ORD-0560</t>
  </si>
  <si>
    <t>ORD-0561</t>
  </si>
  <si>
    <t>ORD-0562</t>
  </si>
  <si>
    <t>ORD-0563</t>
  </si>
  <si>
    <t>ORD-0564</t>
  </si>
  <si>
    <t>ORD-0565</t>
  </si>
  <si>
    <t>ORD-0566</t>
  </si>
  <si>
    <t>ORD-0567</t>
  </si>
  <si>
    <t>ORD-0568</t>
  </si>
  <si>
    <t>ORD-0569</t>
  </si>
  <si>
    <t>ORD-0570</t>
  </si>
  <si>
    <t>ORD-0571</t>
  </si>
  <si>
    <t>ORD-0572</t>
  </si>
  <si>
    <t>ORD-0573</t>
  </si>
  <si>
    <t>ORD-0574</t>
  </si>
  <si>
    <t>ORD-0575</t>
  </si>
  <si>
    <t>ORD-0576</t>
  </si>
  <si>
    <t>ORD-0577</t>
  </si>
  <si>
    <t>ORD-0578</t>
  </si>
  <si>
    <t>ORD-0579</t>
  </si>
  <si>
    <t>ORD-0580</t>
  </si>
  <si>
    <t>ORD-0581</t>
  </si>
  <si>
    <t>ORD-0582</t>
  </si>
  <si>
    <t>ORD-0583</t>
  </si>
  <si>
    <t>ORD-0584</t>
  </si>
  <si>
    <t>ORD-0585</t>
  </si>
  <si>
    <t>ORD-0586</t>
  </si>
  <si>
    <t>ORD-0587</t>
  </si>
  <si>
    <t>ORD-0588</t>
  </si>
  <si>
    <t>ORD-0589</t>
  </si>
  <si>
    <t>ORD-0590</t>
  </si>
  <si>
    <t>ORD-0591</t>
  </si>
  <si>
    <t>ORD-0592</t>
  </si>
  <si>
    <t>ORD-0593</t>
  </si>
  <si>
    <t>ORD-0594</t>
  </si>
  <si>
    <t>ORD-0595</t>
  </si>
  <si>
    <t>ORD-0596</t>
  </si>
  <si>
    <t>ORD-0597</t>
  </si>
  <si>
    <t>ORD-0598</t>
  </si>
  <si>
    <t>ORD-0599</t>
  </si>
  <si>
    <t>ORD-0600</t>
  </si>
  <si>
    <t>ORD-0601</t>
  </si>
  <si>
    <t>ORD-0602</t>
  </si>
  <si>
    <t>ORD-0603</t>
  </si>
  <si>
    <t>ORD-0604</t>
  </si>
  <si>
    <t>ORD-0605</t>
  </si>
  <si>
    <t>ORD-0606</t>
  </si>
  <si>
    <t>ORD-0607</t>
  </si>
  <si>
    <t>ORD-0608</t>
  </si>
  <si>
    <t>ORD-0609</t>
  </si>
  <si>
    <t>ORD-0610</t>
  </si>
  <si>
    <t>ORD-0611</t>
  </si>
  <si>
    <t>ORD-0612</t>
  </si>
  <si>
    <t>ORD-0613</t>
  </si>
  <si>
    <t>ORD-0614</t>
  </si>
  <si>
    <t>ORD-0615</t>
  </si>
  <si>
    <t>ORD-0616</t>
  </si>
  <si>
    <t>ORD-0617</t>
  </si>
  <si>
    <t>ORD-0618</t>
  </si>
  <si>
    <t>ORD-0619</t>
  </si>
  <si>
    <t>ORD-0620</t>
  </si>
  <si>
    <t>ORD-0621</t>
  </si>
  <si>
    <t>ORD-0622</t>
  </si>
  <si>
    <t>ORD-0623</t>
  </si>
  <si>
    <t>ORD-0624</t>
  </si>
  <si>
    <t>ORD-0625</t>
  </si>
  <si>
    <t>ORD-0626</t>
  </si>
  <si>
    <t>ORD-0627</t>
  </si>
  <si>
    <t>ORD-0628</t>
  </si>
  <si>
    <t>ORD-0629</t>
  </si>
  <si>
    <t>ORD-0630</t>
  </si>
  <si>
    <t>ORD-0631</t>
  </si>
  <si>
    <t>ORD-0632</t>
  </si>
  <si>
    <t>ORD-0633</t>
  </si>
  <si>
    <t>ORD-0634</t>
  </si>
  <si>
    <t>ORD-0635</t>
  </si>
  <si>
    <t>ORD-0636</t>
  </si>
  <si>
    <t>ORD-0637</t>
  </si>
  <si>
    <t>ORD-0638</t>
  </si>
  <si>
    <t>ORD-0639</t>
  </si>
  <si>
    <t>ORD-0640</t>
  </si>
  <si>
    <t>ORD-0641</t>
  </si>
  <si>
    <t>ORD-0642</t>
  </si>
  <si>
    <t>ORD-0643</t>
  </si>
  <si>
    <t>ORD-0644</t>
  </si>
  <si>
    <t>ORD-0645</t>
  </si>
  <si>
    <t>ORD-0646</t>
  </si>
  <si>
    <t>ORD-0647</t>
  </si>
  <si>
    <t>ORD-0648</t>
  </si>
  <si>
    <t>ORD-0649</t>
  </si>
  <si>
    <t>ORD-0650</t>
  </si>
  <si>
    <t>ORD-0651</t>
  </si>
  <si>
    <t>ORD-0652</t>
  </si>
  <si>
    <t>ORD-0653</t>
  </si>
  <si>
    <t>ORD-0654</t>
  </si>
  <si>
    <t>ORD-0655</t>
  </si>
  <si>
    <t>ORD-0656</t>
  </si>
  <si>
    <t>ORD-0657</t>
  </si>
  <si>
    <t>ORD-0658</t>
  </si>
  <si>
    <t>ORD-0659</t>
  </si>
  <si>
    <t>ORD-0660</t>
  </si>
  <si>
    <t>ORD-0661</t>
  </si>
  <si>
    <t>ORD-0662</t>
  </si>
  <si>
    <t>ORD-0663</t>
  </si>
  <si>
    <t>ORD-0664</t>
  </si>
  <si>
    <t>ORD-0665</t>
  </si>
  <si>
    <t>ORD-0666</t>
  </si>
  <si>
    <t>ORD-0667</t>
  </si>
  <si>
    <t>ORD-0668</t>
  </si>
  <si>
    <t>ORD-0669</t>
  </si>
  <si>
    <t>ORD-0670</t>
  </si>
  <si>
    <t>ORD-0671</t>
  </si>
  <si>
    <t>ORD-0672</t>
  </si>
  <si>
    <t>ORD-0673</t>
  </si>
  <si>
    <t>ORD-0674</t>
  </si>
  <si>
    <t>ORD-0675</t>
  </si>
  <si>
    <t>ORD-0676</t>
  </si>
  <si>
    <t>ORD-0677</t>
  </si>
  <si>
    <t>ORD-0678</t>
  </si>
  <si>
    <t>ORD-0679</t>
  </si>
  <si>
    <t>ORD-0680</t>
  </si>
  <si>
    <t>ORD-0681</t>
  </si>
  <si>
    <t>ORD-0682</t>
  </si>
  <si>
    <t>ORD-0683</t>
  </si>
  <si>
    <t>ORD-0684</t>
  </si>
  <si>
    <t>ORD-0685</t>
  </si>
  <si>
    <t>ORD-0686</t>
  </si>
  <si>
    <t>ORD-0687</t>
  </si>
  <si>
    <t>ORD-0688</t>
  </si>
  <si>
    <t>ORD-0689</t>
  </si>
  <si>
    <t>ORD-0690</t>
  </si>
  <si>
    <t>ORD-0691</t>
  </si>
  <si>
    <t>ORD-0692</t>
  </si>
  <si>
    <t>ORD-0693</t>
  </si>
  <si>
    <t>ORD-0694</t>
  </si>
  <si>
    <t>ORD-0695</t>
  </si>
  <si>
    <t>ORD-0696</t>
  </si>
  <si>
    <t>ORD-0697</t>
  </si>
  <si>
    <t>ORD-0698</t>
  </si>
  <si>
    <t>ORD-0699</t>
  </si>
  <si>
    <t>ORD-0700</t>
  </si>
  <si>
    <t>ORD-0701</t>
  </si>
  <si>
    <t>ORD-0702</t>
  </si>
  <si>
    <t>ORD-0703</t>
  </si>
  <si>
    <t>ORD-0704</t>
  </si>
  <si>
    <t>ORD-0705</t>
  </si>
  <si>
    <t>ORD-0706</t>
  </si>
  <si>
    <t>ORD-0707</t>
  </si>
  <si>
    <t>ORD-0708</t>
  </si>
  <si>
    <t>ORD-0709</t>
  </si>
  <si>
    <t>ORD-0710</t>
  </si>
  <si>
    <t>ORD-0711</t>
  </si>
  <si>
    <t>ORD-0712</t>
  </si>
  <si>
    <t>ORD-0713</t>
  </si>
  <si>
    <t>ORD-0714</t>
  </si>
  <si>
    <t>ORD-0715</t>
  </si>
  <si>
    <t>ORD-0716</t>
  </si>
  <si>
    <t>ORD-0717</t>
  </si>
  <si>
    <t>ORD-0718</t>
  </si>
  <si>
    <t>ORD-0719</t>
  </si>
  <si>
    <t>ORD-0720</t>
  </si>
  <si>
    <t>ORD-0721</t>
  </si>
  <si>
    <t>ORD-0722</t>
  </si>
  <si>
    <t>ORD-0723</t>
  </si>
  <si>
    <t>ORD-0724</t>
  </si>
  <si>
    <t>ORD-0725</t>
  </si>
  <si>
    <t>ORD-0726</t>
  </si>
  <si>
    <t>ORD-0727</t>
  </si>
  <si>
    <t>ORD-0728</t>
  </si>
  <si>
    <t>ORD-0729</t>
  </si>
  <si>
    <t>ORD-0730</t>
  </si>
  <si>
    <t>ORD-0731</t>
  </si>
  <si>
    <t>ORD-0732</t>
  </si>
  <si>
    <t>ORD-0733</t>
  </si>
  <si>
    <t>ORD-0734</t>
  </si>
  <si>
    <t>ORD-0735</t>
  </si>
  <si>
    <t>ORD-0736</t>
  </si>
  <si>
    <t>ORD-0737</t>
  </si>
  <si>
    <t>ORD-0738</t>
  </si>
  <si>
    <t>ORD-0739</t>
  </si>
  <si>
    <t>ORD-0740</t>
  </si>
  <si>
    <t>ORD-0741</t>
  </si>
  <si>
    <t>ORD-0742</t>
  </si>
  <si>
    <t>ORD-0743</t>
  </si>
  <si>
    <t>ORD-0744</t>
  </si>
  <si>
    <t>ORD-0745</t>
  </si>
  <si>
    <t>ORD-0746</t>
  </si>
  <si>
    <t>ORD-0747</t>
  </si>
  <si>
    <t>ORD-0748</t>
  </si>
  <si>
    <t>ORD-0749</t>
  </si>
  <si>
    <t>ORD-0750</t>
  </si>
  <si>
    <t>ORD-0751</t>
  </si>
  <si>
    <t>ORD-0752</t>
  </si>
  <si>
    <t>ORD-0753</t>
  </si>
  <si>
    <t>ORD-0754</t>
  </si>
  <si>
    <t>ORD-0755</t>
  </si>
  <si>
    <t>ORD-0756</t>
  </si>
  <si>
    <t>ORD-0757</t>
  </si>
  <si>
    <t>ORD-0758</t>
  </si>
  <si>
    <t>ORD-0759</t>
  </si>
  <si>
    <t>ORD-0760</t>
  </si>
  <si>
    <t>ORD-0761</t>
  </si>
  <si>
    <t>ORD-0762</t>
  </si>
  <si>
    <t>ORD-0763</t>
  </si>
  <si>
    <t>ORD-0764</t>
  </si>
  <si>
    <t>ORD-0765</t>
  </si>
  <si>
    <t>ORD-0766</t>
  </si>
  <si>
    <t>ORD-0767</t>
  </si>
  <si>
    <t>ORD-0768</t>
  </si>
  <si>
    <t>ORD-0769</t>
  </si>
  <si>
    <t>ORD-0770</t>
  </si>
  <si>
    <t>ORD-0771</t>
  </si>
  <si>
    <t>ORD-0772</t>
  </si>
  <si>
    <t>ORD-0773</t>
  </si>
  <si>
    <t>ORD-0774</t>
  </si>
  <si>
    <t>ORD-0775</t>
  </si>
  <si>
    <t>ORD-0776</t>
  </si>
  <si>
    <t>ORD-0777</t>
  </si>
  <si>
    <t>ORD-0778</t>
  </si>
  <si>
    <t>ORD-0779</t>
  </si>
  <si>
    <t>ORD-0780</t>
  </si>
  <si>
    <t>ORD-0781</t>
  </si>
  <si>
    <t>ORD-0782</t>
  </si>
  <si>
    <t>ORD-0783</t>
  </si>
  <si>
    <t>ORD-0784</t>
  </si>
  <si>
    <t>ORD-0785</t>
  </si>
  <si>
    <t>ORD-0786</t>
  </si>
  <si>
    <t>ORD-0787</t>
  </si>
  <si>
    <t>ORD-0788</t>
  </si>
  <si>
    <t>ORD-0789</t>
  </si>
  <si>
    <t>ORD-0790</t>
  </si>
  <si>
    <t>ORD-0791</t>
  </si>
  <si>
    <t>ORD-0792</t>
  </si>
  <si>
    <t>ORD-0793</t>
  </si>
  <si>
    <t>ORD-0794</t>
  </si>
  <si>
    <t>ORD-0795</t>
  </si>
  <si>
    <t>ORD-0796</t>
  </si>
  <si>
    <t>ORD-0797</t>
  </si>
  <si>
    <t>ORD-0798</t>
  </si>
  <si>
    <t>ORD-0799</t>
  </si>
  <si>
    <t>ORD-0800</t>
  </si>
  <si>
    <t>ORD-0801</t>
  </si>
  <si>
    <t>ORD-0802</t>
  </si>
  <si>
    <t>ORD-0803</t>
  </si>
  <si>
    <t>ORD-0804</t>
  </si>
  <si>
    <t>ORD-0805</t>
  </si>
  <si>
    <t>ORD-0806</t>
  </si>
  <si>
    <t>ORD-0807</t>
  </si>
  <si>
    <t>ORD-0808</t>
  </si>
  <si>
    <t>ORD-0809</t>
  </si>
  <si>
    <t>ORD-0810</t>
  </si>
  <si>
    <t>ORD-0811</t>
  </si>
  <si>
    <t>ORD-0812</t>
  </si>
  <si>
    <t>ORD-0813</t>
  </si>
  <si>
    <t>ORD-0814</t>
  </si>
  <si>
    <t>ORD-0815</t>
  </si>
  <si>
    <t>ORD-0816</t>
  </si>
  <si>
    <t>ORD-0817</t>
  </si>
  <si>
    <t>ORD-0818</t>
  </si>
  <si>
    <t>ORD-0819</t>
  </si>
  <si>
    <t>ORD-0820</t>
  </si>
  <si>
    <t>ORD-0821</t>
  </si>
  <si>
    <t>ORD-0822</t>
  </si>
  <si>
    <t>ORD-0823</t>
  </si>
  <si>
    <t>ORD-0824</t>
  </si>
  <si>
    <t>ORD-0825</t>
  </si>
  <si>
    <t>ORD-0826</t>
  </si>
  <si>
    <t>ORD-0827</t>
  </si>
  <si>
    <t>ORD-0828</t>
  </si>
  <si>
    <t>ORD-0829</t>
  </si>
  <si>
    <t>ORD-0830</t>
  </si>
  <si>
    <t>ORD-0831</t>
  </si>
  <si>
    <t>ORD-0832</t>
  </si>
  <si>
    <t>ORD-0833</t>
  </si>
  <si>
    <t>ORD-0834</t>
  </si>
  <si>
    <t>ORD-0835</t>
  </si>
  <si>
    <t>ORD-0836</t>
  </si>
  <si>
    <t>ORD-0837</t>
  </si>
  <si>
    <t>ORD-0838</t>
  </si>
  <si>
    <t>ORD-0839</t>
  </si>
  <si>
    <t>ORD-0840</t>
  </si>
  <si>
    <t>ORD-0841</t>
  </si>
  <si>
    <t>ORD-0842</t>
  </si>
  <si>
    <t>ORD-0843</t>
  </si>
  <si>
    <t>ORD-0844</t>
  </si>
  <si>
    <t>ORD-0845</t>
  </si>
  <si>
    <t>ORD-0846</t>
  </si>
  <si>
    <t>ORD-0847</t>
  </si>
  <si>
    <t>ORD-0848</t>
  </si>
  <si>
    <t>ORD-0849</t>
  </si>
  <si>
    <t>ORD-0850</t>
  </si>
  <si>
    <t>ORD-0851</t>
  </si>
  <si>
    <t>ORD-0852</t>
  </si>
  <si>
    <t>ORD-0853</t>
  </si>
  <si>
    <t>ORD-0854</t>
  </si>
  <si>
    <t>ORD-0855</t>
  </si>
  <si>
    <t>ORD-0856</t>
  </si>
  <si>
    <t>ORD-0857</t>
  </si>
  <si>
    <t>ORD-0858</t>
  </si>
  <si>
    <t>ORD-0859</t>
  </si>
  <si>
    <t>ORD-0860</t>
  </si>
  <si>
    <t>ORD-0861</t>
  </si>
  <si>
    <t>ORD-0862</t>
  </si>
  <si>
    <t>ORD-0863</t>
  </si>
  <si>
    <t>ORD-0864</t>
  </si>
  <si>
    <t>ORD-0865</t>
  </si>
  <si>
    <t>ORD-0866</t>
  </si>
  <si>
    <t>ORD-0867</t>
  </si>
  <si>
    <t>ORD-0868</t>
  </si>
  <si>
    <t>ORD-0869</t>
  </si>
  <si>
    <t>ORD-0870</t>
  </si>
  <si>
    <t>ORD-0871</t>
  </si>
  <si>
    <t>ORD-0872</t>
  </si>
  <si>
    <t>ORD-0873</t>
  </si>
  <si>
    <t>ORD-0874</t>
  </si>
  <si>
    <t>ORD-0875</t>
  </si>
  <si>
    <t>ORD-0876</t>
  </si>
  <si>
    <t>ORD-0877</t>
  </si>
  <si>
    <t>ORD-0878</t>
  </si>
  <si>
    <t>ORD-0879</t>
  </si>
  <si>
    <t>ORD-0880</t>
  </si>
  <si>
    <t>ORD-0881</t>
  </si>
  <si>
    <t>ORD-0882</t>
  </si>
  <si>
    <t>ORD-0883</t>
  </si>
  <si>
    <t>ORD-0884</t>
  </si>
  <si>
    <t>ORD-0885</t>
  </si>
  <si>
    <t>ORD-0886</t>
  </si>
  <si>
    <t>ORD-0887</t>
  </si>
  <si>
    <t>ORD-0888</t>
  </si>
  <si>
    <t>ORD-0889</t>
  </si>
  <si>
    <t>ORD-0890</t>
  </si>
  <si>
    <t>ORD-0891</t>
  </si>
  <si>
    <t>ORD-0892</t>
  </si>
  <si>
    <t>ORD-0893</t>
  </si>
  <si>
    <t>ORD-0894</t>
  </si>
  <si>
    <t>ORD-0895</t>
  </si>
  <si>
    <t>ORD-0896</t>
  </si>
  <si>
    <t>ORD-0897</t>
  </si>
  <si>
    <t>ORD-0898</t>
  </si>
  <si>
    <t>ORD-0899</t>
  </si>
  <si>
    <t>ORD-0900</t>
  </si>
  <si>
    <t>ORD-0901</t>
  </si>
  <si>
    <t>ORD-0902</t>
  </si>
  <si>
    <t>ORD-0903</t>
  </si>
  <si>
    <t>ORD-0904</t>
  </si>
  <si>
    <t>ORD-0905</t>
  </si>
  <si>
    <t>ORD-0906</t>
  </si>
  <si>
    <t>ORD-0907</t>
  </si>
  <si>
    <t>ORD-0908</t>
  </si>
  <si>
    <t>ORD-0909</t>
  </si>
  <si>
    <t>ORD-0910</t>
  </si>
  <si>
    <t>ORD-0911</t>
  </si>
  <si>
    <t>ORD-0912</t>
  </si>
  <si>
    <t>ORD-0913</t>
  </si>
  <si>
    <t>ORD-0914</t>
  </si>
  <si>
    <t>ORD-0915</t>
  </si>
  <si>
    <t>ORD-0916</t>
  </si>
  <si>
    <t>ORD-0917</t>
  </si>
  <si>
    <t>ORD-0918</t>
  </si>
  <si>
    <t>ORD-0919</t>
  </si>
  <si>
    <t>ORD-0920</t>
  </si>
  <si>
    <t>ORD-0921</t>
  </si>
  <si>
    <t>ORD-0922</t>
  </si>
  <si>
    <t>ORD-0923</t>
  </si>
  <si>
    <t>ORD-0924</t>
  </si>
  <si>
    <t>ORD-0925</t>
  </si>
  <si>
    <t>ORD-0926</t>
  </si>
  <si>
    <t>ORD-0927</t>
  </si>
  <si>
    <t>ORD-0928</t>
  </si>
  <si>
    <t>ORD-0929</t>
  </si>
  <si>
    <t>ORD-0930</t>
  </si>
  <si>
    <t>ORD-0931</t>
  </si>
  <si>
    <t>ORD-0932</t>
  </si>
  <si>
    <t>ORD-0933</t>
  </si>
  <si>
    <t>ORD-0934</t>
  </si>
  <si>
    <t>ORD-0935</t>
  </si>
  <si>
    <t>ORD-0936</t>
  </si>
  <si>
    <t>ORD-0937</t>
  </si>
  <si>
    <t>ORD-0938</t>
  </si>
  <si>
    <t>ORD-0939</t>
  </si>
  <si>
    <t>ORD-0940</t>
  </si>
  <si>
    <t>ORD-0941</t>
  </si>
  <si>
    <t>ORD-0942</t>
  </si>
  <si>
    <t>ORD-0943</t>
  </si>
  <si>
    <t>ORD-0944</t>
  </si>
  <si>
    <t>ORD-0945</t>
  </si>
  <si>
    <t>ORD-0946</t>
  </si>
  <si>
    <t>ORD-0947</t>
  </si>
  <si>
    <t>ORD-0948</t>
  </si>
  <si>
    <t>ORD-0949</t>
  </si>
  <si>
    <t>ORD-0950</t>
  </si>
  <si>
    <t>ORD-0951</t>
  </si>
  <si>
    <t>ORD-0952</t>
  </si>
  <si>
    <t>ORD-0953</t>
  </si>
  <si>
    <t>ORD-0954</t>
  </si>
  <si>
    <t>ORD-0955</t>
  </si>
  <si>
    <t>ORD-0956</t>
  </si>
  <si>
    <t>ORD-0957</t>
  </si>
  <si>
    <t>ORD-0958</t>
  </si>
  <si>
    <t>ORD-0959</t>
  </si>
  <si>
    <t>ORD-0960</t>
  </si>
  <si>
    <t>ORD-0961</t>
  </si>
  <si>
    <t>ORD-0962</t>
  </si>
  <si>
    <t>ORD-0963</t>
  </si>
  <si>
    <t>ORD-0964</t>
  </si>
  <si>
    <t>ORD-0965</t>
  </si>
  <si>
    <t>ORD-0966</t>
  </si>
  <si>
    <t>ORD-0967</t>
  </si>
  <si>
    <t>ORD-0968</t>
  </si>
  <si>
    <t>ORD-0969</t>
  </si>
  <si>
    <t>ORD-0970</t>
  </si>
  <si>
    <t>ORD-0971</t>
  </si>
  <si>
    <t>ORD-0972</t>
  </si>
  <si>
    <t>ORD-0973</t>
  </si>
  <si>
    <t>ORD-0974</t>
  </si>
  <si>
    <t>ORD-0975</t>
  </si>
  <si>
    <t>ORD-0976</t>
  </si>
  <si>
    <t>ORD-0977</t>
  </si>
  <si>
    <t>ORD-0978</t>
  </si>
  <si>
    <t>ORD-0979</t>
  </si>
  <si>
    <t>ORD-0980</t>
  </si>
  <si>
    <t>ORD-0981</t>
  </si>
  <si>
    <t>ORD-0982</t>
  </si>
  <si>
    <t>ORD-0983</t>
  </si>
  <si>
    <t>ORD-0984</t>
  </si>
  <si>
    <t>ORD-0985</t>
  </si>
  <si>
    <t>ORD-0986</t>
  </si>
  <si>
    <t>ORD-0987</t>
  </si>
  <si>
    <t>ORD-0988</t>
  </si>
  <si>
    <t>ORD-0989</t>
  </si>
  <si>
    <t>ORD-0990</t>
  </si>
  <si>
    <t>ORD-0991</t>
  </si>
  <si>
    <t>ORD-0992</t>
  </si>
  <si>
    <t>ORD-0993</t>
  </si>
  <si>
    <t>ORD-0994</t>
  </si>
  <si>
    <t>ORD-0995</t>
  </si>
  <si>
    <t>ORD-0996</t>
  </si>
  <si>
    <t>ORD-0997</t>
  </si>
  <si>
    <t>ORD-0998</t>
  </si>
  <si>
    <t>ORD-0999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</si>
  <si>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</si>
  <si>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</si>
  <si>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</si>
  <si>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</si>
  <si>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</si>
  <si>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</si>
  <si>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</si>
  <si>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</si>
  <si>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</si>
  <si>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</si>
  <si>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</si>
  <si>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</si>
  <si>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</si>
  <si>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</si>
  <si>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</si>
  <si>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</si>
  <si>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</si>
  <si>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</si>
  <si>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</si>
  <si>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</si>
  <si>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</si>
  <si>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</si>
  <si>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</si>
  <si>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</si>
  <si>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</si>
  <si>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</si>
  <si>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</si>
  <si>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</si>
  <si>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</si>
  <si>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</si>
  <si>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</si>
  <si>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</si>
  <si>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</si>
  <si>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</si>
  <si>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</si>
  <si>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</si>
  <si>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</si>
  <si>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</si>
  <si>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</si>
  <si>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</si>
  <si>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</si>
  <si>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</si>
  <si>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</si>
  <si>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</si>
  <si>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</si>
  <si>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</si>
  <si>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</si>
  <si>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</si>
  <si>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</si>
  <si>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</si>
  <si>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</si>
  <si>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</si>
  <si>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</si>
  <si>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</si>
  <si>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</si>
  <si>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</si>
  <si>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</si>
  <si>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</si>
  <si>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</si>
  <si>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</si>
  <si>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</si>
  <si>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</si>
  <si>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</si>
  <si>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</si>
  <si>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</si>
  <si>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</si>
  <si>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</si>
  <si>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</si>
  <si>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</si>
  <si>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</si>
  <si>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</si>
  <si>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</si>
  <si>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</si>
  <si>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</si>
  <si>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</si>
  <si>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</si>
  <si>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</si>
  <si>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</si>
  <si>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</si>
  <si>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</si>
  <si>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</si>
  <si>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</si>
  <si>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</si>
  <si>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</si>
  <si>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</si>
  <si>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</si>
  <si>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</si>
  <si>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</si>
  <si>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</si>
  <si>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</si>
  <si>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</si>
  <si>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</si>
  <si>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</si>
  <si>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</si>
  <si>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</si>
  <si>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</si>
  <si>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</si>
  <si>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</si>
  <si>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</si>
  <si>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</si>
  <si>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</si>
  <si>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</si>
  <si>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</si>
  <si>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</si>
  <si>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</si>
  <si>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</si>
  <si>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</si>
  <si>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</si>
  <si>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</si>
  <si>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</si>
  <si>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</si>
  <si>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</si>
  <si>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</si>
  <si>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</si>
  <si>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</si>
  <si>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</si>
  <si>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</si>
  <si>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</si>
  <si>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</si>
  <si>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</si>
  <si>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</si>
  <si>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</si>
  <si>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</si>
  <si>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</si>
  <si>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</si>
  <si>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</si>
  <si>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</si>
  <si>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</si>
  <si>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</si>
  <si>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</si>
  <si>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</si>
  <si>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</si>
  <si>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</si>
  <si>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</si>
  <si>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</si>
  <si>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</si>
  <si>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</si>
  <si>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</si>
  <si>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</si>
  <si>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</si>
  <si>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</si>
  <si>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</si>
  <si>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</si>
  <si>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</si>
  <si>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</si>
  <si>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</si>
  <si>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</si>
  <si>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</si>
  <si>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</si>
  <si>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</si>
  <si>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</si>
  <si>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</si>
  <si>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</si>
  <si>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</si>
  <si>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</si>
  <si>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</si>
  <si>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</si>
  <si>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</si>
  <si>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</si>
  <si>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</si>
  <si>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</si>
  <si>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</si>
  <si>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</si>
  <si>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</si>
  <si>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</si>
  <si>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</si>
  <si>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</si>
  <si>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</si>
  <si>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</si>
  <si>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</si>
  <si>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</si>
  <si>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</si>
  <si>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</si>
  <si>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</si>
  <si>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</si>
  <si>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</si>
  <si>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</si>
  <si>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</si>
  <si>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</si>
  <si>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</si>
  <si>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</si>
  <si>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</si>
  <si>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</si>
  <si>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</si>
  <si>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</si>
  <si>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</si>
  <si>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</si>
  <si>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</si>
  <si>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</si>
  <si>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</si>
  <si>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</si>
  <si>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</si>
  <si>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</si>
  <si>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</si>
  <si>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</si>
  <si>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</si>
  <si>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</si>
  <si>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</si>
  <si>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</si>
  <si>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</si>
  <si>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</si>
  <si>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oreder month</t>
  </si>
  <si>
    <t>order year</t>
  </si>
  <si>
    <t>profit margin%</t>
  </si>
  <si>
    <t>order size</t>
  </si>
  <si>
    <t>Total Revenue</t>
  </si>
  <si>
    <t>Total Orders</t>
  </si>
  <si>
    <t>Total Profit</t>
  </si>
  <si>
    <t>Avg order value</t>
  </si>
  <si>
    <t>Profit category</t>
  </si>
  <si>
    <t>Row Labels</t>
  </si>
  <si>
    <t>Grand Total</t>
  </si>
  <si>
    <t>Sum of Revenue</t>
  </si>
  <si>
    <t>Sum of Profit</t>
  </si>
  <si>
    <t>Average of profit margin%</t>
  </si>
  <si>
    <t>year month</t>
  </si>
  <si>
    <t>month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</si>
</sst>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9" fontId="0" fillId="0" borderId="0" xfId="1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left"/>
    </xf>
  </cellXfs>
  <cellStyles count="2">
    <cellStyle name="Normal" xfId="0" builtinId="0"/>
    <cellStyle name="Percent" xfId="1" builtinId="5"/>
  </cellStyles>
  <dxfs count="35">
    <dxf>
      <numFmt numFmtId="165" formatCode="m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65" formatCode="mmm/yyyy"/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[final_excel_prjct.xlsx]chart1!PivotTable1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Revenue vs Profit vs Margin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chart1!$B$3</c:f>
              <c:strCache>
                <c:ptCount val="1"/>
                <c:pt idx="0">
                  <c:v>Sum of 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chart1!$A$4:$A$8</c:f>
              <c:strCache>
                <c:ptCount val="4"/>
                <c:pt idx="0">
                  <c:v>Apparel</c:v>
                </c:pt>
                <c:pt idx="1">
                  <c:v>Electronics</c:v>
                </c:pt>
                <c:pt idx="2">
                  <c:v>Home &amp; Kitchen</c:v>
                </c:pt>
                <c:pt idx="3">
                  <c:v>Sports</c:v>
                </c:pt>
              </c:strCache>
            </c:strRef>
          </c:cat>
          <c:val>
            <c:numRef>
              <c:f>chart1!$B$4:$B$8</c:f>
              <c:numCache>
                <c:formatCode>General</c:formatCode>
                <c:ptCount val="4"/>
                <c:pt idx="0">
                  <c:v>16716965</c:v>
                </c:pt>
                <c:pt idx="1">
                  <c:v>259396500</c:v>
                </c:pt>
                <c:pt idx="2">
                  <c:v>58931525</c:v>
                </c:pt>
                <c:pt idx="3">
                  <c:v>41902885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1-4DF7-8DCE-F518E6746E64}"/>
            </c:ext>
          </c:extLst>
        </c:ser>
        <c:ser>
          <c:idx val="1"/>
          <c:order val="1"/>
          <c:tx>
            <c:strRef>
              <c:f>chart1!$C$3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chart1!$A$4:$A$8</c:f>
              <c:strCache>
                <c:ptCount val="4"/>
                <c:pt idx="0">
                  <c:v>Apparel</c:v>
                </c:pt>
                <c:pt idx="1">
                  <c:v>Electronics</c:v>
                </c:pt>
                <c:pt idx="2">
                  <c:v>Home &amp; Kitchen</c:v>
                </c:pt>
                <c:pt idx="3">
                  <c:v>Sports</c:v>
                </c:pt>
              </c:strCache>
            </c:strRef>
          </c:cat>
          <c:val>
            <c:numRef>
              <c:f>chart1!$C$4:$C$8</c:f>
              <c:numCache>
                <c:formatCode>General</c:formatCode>
                <c:ptCount val="4"/>
                <c:pt idx="0">
                  <c:v>10030179</c:v>
                </c:pt>
                <c:pt idx="1">
                  <c:v>116728425</c:v>
                </c:pt>
                <c:pt idx="2">
                  <c:v>29465762.5</c:v>
                </c:pt>
                <c:pt idx="3">
                  <c:v>23046586.75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F1-4DF7-8DCE-F518E6746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0512800"/>
        <c:axId val="70513280"/>
      </c:barChart>
      <c:lineChart>
        <c:grouping val="standard"/>
        <c:varyColors val="0"/>
        <c:ser>
          <c:idx val="2"/>
          <c:order val="2"/>
          <c:tx>
            <c:strRef>
              <c:f>chart1!$D$3</c:f>
              <c:strCache>
                <c:ptCount val="1"/>
                <c:pt idx="0">
                  <c:v>Average of profit margin%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chart1!$A$4:$A$8</c:f>
              <c:strCache>
                <c:ptCount val="4"/>
                <c:pt idx="0">
                  <c:v>Apparel</c:v>
                </c:pt>
                <c:pt idx="1">
                  <c:v>Electronics</c:v>
                </c:pt>
                <c:pt idx="2">
                  <c:v>Home &amp; Kitchen</c:v>
                </c:pt>
                <c:pt idx="3">
                  <c:v>Sports</c:v>
                </c:pt>
              </c:strCache>
            </c:strRef>
          </c:cat>
          <c:val>
            <c:numRef>
              <c:f>chart1!$D$4:$D$8</c:f>
              <c:numCache>
                <c:formatCode>0%</c:formatCode>
                <c:ptCount val="4"/>
                <c:pt idx="0">
                  <c:v>0.59999999999999665</c:v>
                </c:pt>
                <c:pt idx="1">
                  <c:v>0.45000000000000179</c:v>
                </c:pt>
                <c:pt idx="2">
                  <c:v>0.5</c:v>
                </c:pt>
                <c:pt idx="3">
                  <c:v>0.55000000000000104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F1-4DF7-8DCE-F518E6746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25456"/>
        <c:axId val="81727376"/>
      </c:lineChart>
      <c:catAx>
        <c:axId val="705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13280"/>
        <c:crosses val="autoZero"/>
        <c:auto val="1"/>
        <c:lblAlgn val="ctr"/>
        <c:lblOffset val="100"/>
        <c:noMultiLvlLbl val="0"/>
      </c:catAx>
      <c:valAx>
        <c:axId val="7051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12800"/>
        <c:crosses val="autoZero"/>
        <c:crossBetween val="between"/>
      </c:valAx>
      <c:valAx>
        <c:axId val="81727376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25456"/>
        <c:crosses val="max"/>
        <c:crossBetween val="between"/>
      </c:valAx>
      <c:catAx>
        <c:axId val="817254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1727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[final_excel_prjct.xlsx]chart2!PivotTable5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chart2!$B$3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chart2!$A$4:$A$40</c:f>
              <c:strCache>
                <c:ptCount val="36"/>
                <c:pt idx="0">
                  <c:v>Jan-2022</c:v>
                </c:pt>
                <c:pt idx="1">
                  <c:v>Feb-2022</c:v>
                </c:pt>
                <c:pt idx="2">
                  <c:v>Mar-2022</c:v>
                </c:pt>
                <c:pt idx="3">
                  <c:v>Apr-2022</c:v>
                </c:pt>
                <c:pt idx="4">
                  <c:v>May-2022</c:v>
                </c:pt>
                <c:pt idx="5">
                  <c:v>Jun-2022</c:v>
                </c:pt>
                <c:pt idx="6">
                  <c:v>Jul-2022</c:v>
                </c:pt>
                <c:pt idx="7">
                  <c:v>Aug-2022</c:v>
                </c:pt>
                <c:pt idx="8">
                  <c:v>Sep-2022</c:v>
                </c:pt>
                <c:pt idx="9">
                  <c:v>Oct-2022</c:v>
                </c:pt>
                <c:pt idx="10">
                  <c:v>Nov-2022</c:v>
                </c:pt>
                <c:pt idx="11">
                  <c:v>Dec-2022</c:v>
                </c:pt>
                <c:pt idx="12">
                  <c:v>Jan-2023</c:v>
                </c:pt>
                <c:pt idx="13">
                  <c:v>Feb-2023</c:v>
                </c:pt>
                <c:pt idx="14">
                  <c:v>Mar-2023</c:v>
                </c:pt>
                <c:pt idx="15">
                  <c:v>Apr-2023</c:v>
                </c:pt>
                <c:pt idx="16">
                  <c:v>May-2023</c:v>
                </c:pt>
                <c:pt idx="17">
                  <c:v>Jun-2023</c:v>
                </c:pt>
                <c:pt idx="18">
                  <c:v>Jul-2023</c:v>
                </c:pt>
                <c:pt idx="19">
                  <c:v>Aug-2023</c:v>
                </c:pt>
                <c:pt idx="20">
                  <c:v>Sep-2023</c:v>
                </c:pt>
                <c:pt idx="21">
                  <c:v>Oct-2023</c:v>
                </c:pt>
                <c:pt idx="22">
                  <c:v>Nov-2023</c:v>
                </c:pt>
                <c:pt idx="23">
                  <c:v>Dec-2023</c:v>
                </c:pt>
                <c:pt idx="24">
                  <c:v>Jan-2024</c:v>
                </c:pt>
                <c:pt idx="25">
                  <c:v>Feb-2024</c:v>
                </c:pt>
                <c:pt idx="26">
                  <c:v>Mar-2024</c:v>
                </c:pt>
                <c:pt idx="27">
                  <c:v>Apr-2024</c:v>
                </c:pt>
                <c:pt idx="28">
                  <c:v>May-2024</c:v>
                </c:pt>
                <c:pt idx="29">
                  <c:v>Jun-2024</c:v>
                </c:pt>
                <c:pt idx="30">
                  <c:v>Jul-2024</c:v>
                </c:pt>
                <c:pt idx="31">
                  <c:v>Aug-2024</c:v>
                </c:pt>
                <c:pt idx="32">
                  <c:v>Sep-2024</c:v>
                </c:pt>
                <c:pt idx="33">
                  <c:v>Oct-2024</c:v>
                </c:pt>
                <c:pt idx="34">
                  <c:v>Nov-2024</c:v>
                </c:pt>
                <c:pt idx="35">
                  <c:v>Dec-2024</c:v>
                </c:pt>
              </c:strCache>
            </c:strRef>
          </c:cat>
          <c:val>
            <c:numRef>
              <c:f>chart2!$B$4:$B$40</c:f>
              <c:numCache>
                <c:formatCode>General</c:formatCode>
                <c:ptCount val="36"/>
                <c:pt idx="0">
                  <c:v>11275165</c:v>
                </c:pt>
                <c:pt idx="1">
                  <c:v>17372335</c:v>
                </c:pt>
                <c:pt idx="2">
                  <c:v>13562500</c:v>
                </c:pt>
                <c:pt idx="3">
                  <c:v>13558505</c:v>
                </c:pt>
                <c:pt idx="4">
                  <c:v>9692565</c:v>
                </c:pt>
                <c:pt idx="5">
                  <c:v>13910780</c:v>
                </c:pt>
                <c:pt idx="6">
                  <c:v>13130990</c:v>
                </c:pt>
                <c:pt idx="7">
                  <c:v>6738790</c:v>
                </c:pt>
                <c:pt idx="8">
                  <c:v>17200135</c:v>
                </c:pt>
                <c:pt idx="9">
                  <c:v>7807465</c:v>
                </c:pt>
                <c:pt idx="10">
                  <c:v>11317330</c:v>
                </c:pt>
                <c:pt idx="11">
                  <c:v>13596130</c:v>
                </c:pt>
                <c:pt idx="12">
                  <c:v>8832220</c:v>
                </c:pt>
                <c:pt idx="13">
                  <c:v>8787760</c:v>
                </c:pt>
                <c:pt idx="14">
                  <c:v>8256405</c:v>
                </c:pt>
                <c:pt idx="15">
                  <c:v>9626530</c:v>
                </c:pt>
                <c:pt idx="16">
                  <c:v>13623450</c:v>
                </c:pt>
                <c:pt idx="17">
                  <c:v>15465575</c:v>
                </c:pt>
                <c:pt idx="18">
                  <c:v>9917220</c:v>
                </c:pt>
                <c:pt idx="19">
                  <c:v>7239180</c:v>
                </c:pt>
                <c:pt idx="20">
                  <c:v>5918820</c:v>
                </c:pt>
                <c:pt idx="21">
                  <c:v>4874980</c:v>
                </c:pt>
                <c:pt idx="22">
                  <c:v>12971885</c:v>
                </c:pt>
                <c:pt idx="23">
                  <c:v>7155135</c:v>
                </c:pt>
                <c:pt idx="24">
                  <c:v>9908005</c:v>
                </c:pt>
                <c:pt idx="25">
                  <c:v>2574805</c:v>
                </c:pt>
                <c:pt idx="26">
                  <c:v>10789740</c:v>
                </c:pt>
                <c:pt idx="27">
                  <c:v>9733010</c:v>
                </c:pt>
                <c:pt idx="28">
                  <c:v>9338030</c:v>
                </c:pt>
                <c:pt idx="29">
                  <c:v>16123695</c:v>
                </c:pt>
                <c:pt idx="30">
                  <c:v>9099570</c:v>
                </c:pt>
                <c:pt idx="31">
                  <c:v>9286810</c:v>
                </c:pt>
                <c:pt idx="32">
                  <c:v>8631915</c:v>
                </c:pt>
                <c:pt idx="33">
                  <c:v>8791205</c:v>
                </c:pt>
                <c:pt idx="34">
                  <c:v>17004485</c:v>
                </c:pt>
                <c:pt idx="35">
                  <c:v>3834755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0D-4A61-80E8-5B0242E0E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012000"/>
        <c:axId val="70514240"/>
      </c:lineChart>
      <c:catAx>
        <c:axId val="79401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14240"/>
        <c:crosses val="autoZero"/>
        <c:auto val="1"/>
        <c:lblAlgn val="ctr"/>
        <c:lblOffset val="100"/>
        <c:noMultiLvlLbl val="0"/>
      </c:catAx>
      <c:valAx>
        <c:axId val="7051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01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[final_excel_prjct.xlsx]chart3!PivotTable1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&amp;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chart3!$A$4:$A$8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chart3!$B$4:$B$8</c:f>
              <c:numCache>
                <c:formatCode>General</c:formatCode>
                <c:ptCount val="4"/>
                <c:pt idx="0">
                  <c:v>113022045</c:v>
                </c:pt>
                <c:pt idx="1">
                  <c:v>98597500</c:v>
                </c:pt>
                <c:pt idx="2">
                  <c:v>87826655</c:v>
                </c:pt>
                <c:pt idx="3">
                  <c:v>77501675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C-4A3B-94C0-5CF80D4FBC52}"/>
            </c:ext>
          </c:extLst>
        </c:ser>
        <c:ser>
          <c:idx val="1"/>
          <c:order val="1"/>
          <c:tx>
            <c:strRef>
              <c:f>chart3!$C$3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chart3!$A$4:$A$8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chart3!$C$4:$C$8</c:f>
              <c:numCache>
                <c:formatCode>General</c:formatCode>
                <c:ptCount val="4"/>
                <c:pt idx="0">
                  <c:v>53467150.5</c:v>
                </c:pt>
                <c:pt idx="1">
                  <c:v>46657162.25</c:v>
                </c:pt>
                <c:pt idx="2">
                  <c:v>41800945.5</c:v>
                </c:pt>
                <c:pt idx="3">
                  <c:v>37345695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5C-4A3B-94C0-5CF80D4FBC52}"/>
            </c:ext>
          </c:extLst>
        </c:ser>
        <c:ser>
          <c:idx val="2"/>
          <c:order val="2"/>
          <c:tx>
            <c:strRef>
              <c:f>chart3!$D$3</c:f>
              <c:strCache>
                <c:ptCount val="1"/>
                <c:pt idx="0">
                  <c:v>Average of profit margin%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chart3!$A$4:$A$8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chart3!$D$4:$D$8</c:f>
              <c:numCache>
                <c:formatCode>0%</c:formatCode>
                <c:ptCount val="4"/>
                <c:pt idx="0">
                  <c:v>0.52307692307692277</c:v>
                </c:pt>
                <c:pt idx="1">
                  <c:v>0.52432432432432319</c:v>
                </c:pt>
                <c:pt idx="2">
                  <c:v>0.52620689655172348</c:v>
                </c:pt>
                <c:pt idx="3">
                  <c:v>0.52781456953642303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5C-4A3B-94C0-5CF80D4FB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60084656"/>
        <c:axId val="1460084176"/>
      </c:barChart>
      <c:catAx>
        <c:axId val="146008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084176"/>
        <c:crosses val="autoZero"/>
        <c:auto val="1"/>
        <c:lblAlgn val="ctr"/>
        <c:lblOffset val="100"/>
        <c:noMultiLvlLbl val="0"/>
      </c:catAx>
      <c:valAx>
        <c:axId val="146008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08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[final_excel_prjct.xlsx]chart3!PivotTable1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Revenue &amp;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chart3!$A$4:$A$8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chart3!$B$4:$B$8</c:f>
              <c:numCache>
                <c:formatCode>General</c:formatCode>
                <c:ptCount val="4"/>
                <c:pt idx="0">
                  <c:v>113022045</c:v>
                </c:pt>
                <c:pt idx="1">
                  <c:v>98597500</c:v>
                </c:pt>
                <c:pt idx="2">
                  <c:v>87826655</c:v>
                </c:pt>
                <c:pt idx="3">
                  <c:v>77501675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8A-4ACE-B035-07A54BD6246E}"/>
            </c:ext>
          </c:extLst>
        </c:ser>
        <c:ser>
          <c:idx val="1"/>
          <c:order val="1"/>
          <c:tx>
            <c:strRef>
              <c:f>chart3!$C$3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chart3!$A$4:$A$8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chart3!$C$4:$C$8</c:f>
              <c:numCache>
                <c:formatCode>General</c:formatCode>
                <c:ptCount val="4"/>
                <c:pt idx="0">
                  <c:v>53467150.5</c:v>
                </c:pt>
                <c:pt idx="1">
                  <c:v>46657162.25</c:v>
                </c:pt>
                <c:pt idx="2">
                  <c:v>41800945.5</c:v>
                </c:pt>
                <c:pt idx="3">
                  <c:v>37345695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8A-4ACE-B035-07A54BD6246E}"/>
            </c:ext>
          </c:extLst>
        </c:ser>
        <c:ser>
          <c:idx val="2"/>
          <c:order val="2"/>
          <c:tx>
            <c:strRef>
              <c:f>chart3!$D$3</c:f>
              <c:strCache>
                <c:ptCount val="1"/>
                <c:pt idx="0">
                  <c:v>Average of profit margin%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chart3!$A$4:$A$8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chart3!$D$4:$D$8</c:f>
              <c:numCache>
                <c:formatCode>0%</c:formatCode>
                <c:ptCount val="4"/>
                <c:pt idx="0">
                  <c:v>0.52307692307692277</c:v>
                </c:pt>
                <c:pt idx="1">
                  <c:v>0.52432432432432319</c:v>
                </c:pt>
                <c:pt idx="2">
                  <c:v>0.52620689655172348</c:v>
                </c:pt>
                <c:pt idx="3">
                  <c:v>0.52781456953642303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8A-4ACE-B035-07A54BD62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60084656"/>
        <c:axId val="1460084176"/>
      </c:barChart>
      <c:catAx>
        <c:axId val="146008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084176"/>
        <c:crosses val="autoZero"/>
        <c:auto val="1"/>
        <c:lblAlgn val="ctr"/>
        <c:lblOffset val="100"/>
        <c:noMultiLvlLbl val="0"/>
      </c:catAx>
      <c:valAx>
        <c:axId val="146008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08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[final_excel_prjct.xlsx]chart2!PivotTable5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chart2!$B$3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chart2!$A$4:$A$40</c:f>
              <c:strCache>
                <c:ptCount val="36"/>
                <c:pt idx="0">
                  <c:v>Jan-2022</c:v>
                </c:pt>
                <c:pt idx="1">
                  <c:v>Feb-2022</c:v>
                </c:pt>
                <c:pt idx="2">
                  <c:v>Mar-2022</c:v>
                </c:pt>
                <c:pt idx="3">
                  <c:v>Apr-2022</c:v>
                </c:pt>
                <c:pt idx="4">
                  <c:v>May-2022</c:v>
                </c:pt>
                <c:pt idx="5">
                  <c:v>Jun-2022</c:v>
                </c:pt>
                <c:pt idx="6">
                  <c:v>Jul-2022</c:v>
                </c:pt>
                <c:pt idx="7">
                  <c:v>Aug-2022</c:v>
                </c:pt>
                <c:pt idx="8">
                  <c:v>Sep-2022</c:v>
                </c:pt>
                <c:pt idx="9">
                  <c:v>Oct-2022</c:v>
                </c:pt>
                <c:pt idx="10">
                  <c:v>Nov-2022</c:v>
                </c:pt>
                <c:pt idx="11">
                  <c:v>Dec-2022</c:v>
                </c:pt>
                <c:pt idx="12">
                  <c:v>Jan-2023</c:v>
                </c:pt>
                <c:pt idx="13">
                  <c:v>Feb-2023</c:v>
                </c:pt>
                <c:pt idx="14">
                  <c:v>Mar-2023</c:v>
                </c:pt>
                <c:pt idx="15">
                  <c:v>Apr-2023</c:v>
                </c:pt>
                <c:pt idx="16">
                  <c:v>May-2023</c:v>
                </c:pt>
                <c:pt idx="17">
                  <c:v>Jun-2023</c:v>
                </c:pt>
                <c:pt idx="18">
                  <c:v>Jul-2023</c:v>
                </c:pt>
                <c:pt idx="19">
                  <c:v>Aug-2023</c:v>
                </c:pt>
                <c:pt idx="20">
                  <c:v>Sep-2023</c:v>
                </c:pt>
                <c:pt idx="21">
                  <c:v>Oct-2023</c:v>
                </c:pt>
                <c:pt idx="22">
                  <c:v>Nov-2023</c:v>
                </c:pt>
                <c:pt idx="23">
                  <c:v>Dec-2023</c:v>
                </c:pt>
                <c:pt idx="24">
                  <c:v>Jan-2024</c:v>
                </c:pt>
                <c:pt idx="25">
                  <c:v>Feb-2024</c:v>
                </c:pt>
                <c:pt idx="26">
                  <c:v>Mar-2024</c:v>
                </c:pt>
                <c:pt idx="27">
                  <c:v>Apr-2024</c:v>
                </c:pt>
                <c:pt idx="28">
                  <c:v>May-2024</c:v>
                </c:pt>
                <c:pt idx="29">
                  <c:v>Jun-2024</c:v>
                </c:pt>
                <c:pt idx="30">
                  <c:v>Jul-2024</c:v>
                </c:pt>
                <c:pt idx="31">
                  <c:v>Aug-2024</c:v>
                </c:pt>
                <c:pt idx="32">
                  <c:v>Sep-2024</c:v>
                </c:pt>
                <c:pt idx="33">
                  <c:v>Oct-2024</c:v>
                </c:pt>
                <c:pt idx="34">
                  <c:v>Nov-2024</c:v>
                </c:pt>
                <c:pt idx="35">
                  <c:v>Dec-2024</c:v>
                </c:pt>
              </c:strCache>
            </c:strRef>
          </c:cat>
          <c:val>
            <c:numRef>
              <c:f>chart2!$B$4:$B$40</c:f>
              <c:numCache>
                <c:formatCode>General</c:formatCode>
                <c:ptCount val="36"/>
                <c:pt idx="0">
                  <c:v>11275165</c:v>
                </c:pt>
                <c:pt idx="1">
                  <c:v>17372335</c:v>
                </c:pt>
                <c:pt idx="2">
                  <c:v>13562500</c:v>
                </c:pt>
                <c:pt idx="3">
                  <c:v>13558505</c:v>
                </c:pt>
                <c:pt idx="4">
                  <c:v>9692565</c:v>
                </c:pt>
                <c:pt idx="5">
                  <c:v>13910780</c:v>
                </c:pt>
                <c:pt idx="6">
                  <c:v>13130990</c:v>
                </c:pt>
                <c:pt idx="7">
                  <c:v>6738790</c:v>
                </c:pt>
                <c:pt idx="8">
                  <c:v>17200135</c:v>
                </c:pt>
                <c:pt idx="9">
                  <c:v>7807465</c:v>
                </c:pt>
                <c:pt idx="10">
                  <c:v>11317330</c:v>
                </c:pt>
                <c:pt idx="11">
                  <c:v>13596130</c:v>
                </c:pt>
                <c:pt idx="12">
                  <c:v>8832220</c:v>
                </c:pt>
                <c:pt idx="13">
                  <c:v>8787760</c:v>
                </c:pt>
                <c:pt idx="14">
                  <c:v>8256405</c:v>
                </c:pt>
                <c:pt idx="15">
                  <c:v>9626530</c:v>
                </c:pt>
                <c:pt idx="16">
                  <c:v>13623450</c:v>
                </c:pt>
                <c:pt idx="17">
                  <c:v>15465575</c:v>
                </c:pt>
                <c:pt idx="18">
                  <c:v>9917220</c:v>
                </c:pt>
                <c:pt idx="19">
                  <c:v>7239180</c:v>
                </c:pt>
                <c:pt idx="20">
                  <c:v>5918820</c:v>
                </c:pt>
                <c:pt idx="21">
                  <c:v>4874980</c:v>
                </c:pt>
                <c:pt idx="22">
                  <c:v>12971885</c:v>
                </c:pt>
                <c:pt idx="23">
                  <c:v>7155135</c:v>
                </c:pt>
                <c:pt idx="24">
                  <c:v>9908005</c:v>
                </c:pt>
                <c:pt idx="25">
                  <c:v>2574805</c:v>
                </c:pt>
                <c:pt idx="26">
                  <c:v>10789740</c:v>
                </c:pt>
                <c:pt idx="27">
                  <c:v>9733010</c:v>
                </c:pt>
                <c:pt idx="28">
                  <c:v>9338030</c:v>
                </c:pt>
                <c:pt idx="29">
                  <c:v>16123695</c:v>
                </c:pt>
                <c:pt idx="30">
                  <c:v>9099570</c:v>
                </c:pt>
                <c:pt idx="31">
                  <c:v>9286810</c:v>
                </c:pt>
                <c:pt idx="32">
                  <c:v>8631915</c:v>
                </c:pt>
                <c:pt idx="33">
                  <c:v>8791205</c:v>
                </c:pt>
                <c:pt idx="34">
                  <c:v>17004485</c:v>
                </c:pt>
                <c:pt idx="35">
                  <c:v>3834755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6B-4011-985E-C4DA9844E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012000"/>
        <c:axId val="70514240"/>
      </c:lineChart>
      <c:catAx>
        <c:axId val="79401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14240"/>
        <c:crosses val="autoZero"/>
        <c:auto val="1"/>
        <c:lblAlgn val="ctr"/>
        <c:lblOffset val="100"/>
        <c:noMultiLvlLbl val="0"/>
      </c:catAx>
      <c:valAx>
        <c:axId val="7051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01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[final_excel_prjct.xlsx]chart1!PivotTable1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Revenue vs Profit vs Margin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chart1!$B$3</c:f>
              <c:strCache>
                <c:ptCount val="1"/>
                <c:pt idx="0">
                  <c:v>Sum of 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chart1!$A$4:$A$8</c:f>
              <c:strCache>
                <c:ptCount val="4"/>
                <c:pt idx="0">
                  <c:v>Apparel</c:v>
                </c:pt>
                <c:pt idx="1">
                  <c:v>Electronics</c:v>
                </c:pt>
                <c:pt idx="2">
                  <c:v>Home &amp; Kitchen</c:v>
                </c:pt>
                <c:pt idx="3">
                  <c:v>Sports</c:v>
                </c:pt>
              </c:strCache>
            </c:strRef>
          </c:cat>
          <c:val>
            <c:numRef>
              <c:f>chart1!$B$4:$B$8</c:f>
              <c:numCache>
                <c:formatCode>General</c:formatCode>
                <c:ptCount val="4"/>
                <c:pt idx="0">
                  <c:v>16716965</c:v>
                </c:pt>
                <c:pt idx="1">
                  <c:v>259396500</c:v>
                </c:pt>
                <c:pt idx="2">
                  <c:v>58931525</c:v>
                </c:pt>
                <c:pt idx="3">
                  <c:v>41902885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C-43A0-922C-66875CDDDD74}"/>
            </c:ext>
          </c:extLst>
        </c:ser>
        <c:ser>
          <c:idx val="1"/>
          <c:order val="1"/>
          <c:tx>
            <c:strRef>
              <c:f>chart1!$C$3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chart1!$A$4:$A$8</c:f>
              <c:strCache>
                <c:ptCount val="4"/>
                <c:pt idx="0">
                  <c:v>Apparel</c:v>
                </c:pt>
                <c:pt idx="1">
                  <c:v>Electronics</c:v>
                </c:pt>
                <c:pt idx="2">
                  <c:v>Home &amp; Kitchen</c:v>
                </c:pt>
                <c:pt idx="3">
                  <c:v>Sports</c:v>
                </c:pt>
              </c:strCache>
            </c:strRef>
          </c:cat>
          <c:val>
            <c:numRef>
              <c:f>chart1!$C$4:$C$8</c:f>
              <c:numCache>
                <c:formatCode>General</c:formatCode>
                <c:ptCount val="4"/>
                <c:pt idx="0">
                  <c:v>10030179</c:v>
                </c:pt>
                <c:pt idx="1">
                  <c:v>116728425</c:v>
                </c:pt>
                <c:pt idx="2">
                  <c:v>29465762.5</c:v>
                </c:pt>
                <c:pt idx="3">
                  <c:v>23046586.75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6C-43A0-922C-66875CDDD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0512800"/>
        <c:axId val="70513280"/>
      </c:barChart>
      <c:lineChart>
        <c:grouping val="standard"/>
        <c:varyColors val="0"/>
        <c:ser>
          <c:idx val="2"/>
          <c:order val="2"/>
          <c:tx>
            <c:strRef>
              <c:f>chart1!$D$3</c:f>
              <c:strCache>
                <c:ptCount val="1"/>
                <c:pt idx="0">
                  <c:v>Average of profit margin%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chart1!$A$4:$A$8</c:f>
              <c:strCache>
                <c:ptCount val="4"/>
                <c:pt idx="0">
                  <c:v>Apparel</c:v>
                </c:pt>
                <c:pt idx="1">
                  <c:v>Electronics</c:v>
                </c:pt>
                <c:pt idx="2">
                  <c:v>Home &amp; Kitchen</c:v>
                </c:pt>
                <c:pt idx="3">
                  <c:v>Sports</c:v>
                </c:pt>
              </c:strCache>
            </c:strRef>
          </c:cat>
          <c:val>
            <c:numRef>
              <c:f>chart1!$D$4:$D$8</c:f>
              <c:numCache>
                <c:formatCode>0%</c:formatCode>
                <c:ptCount val="4"/>
                <c:pt idx="0">
                  <c:v>0.59999999999999665</c:v>
                </c:pt>
                <c:pt idx="1">
                  <c:v>0.45000000000000179</c:v>
                </c:pt>
                <c:pt idx="2">
                  <c:v>0.5</c:v>
                </c:pt>
                <c:pt idx="3">
                  <c:v>0.55000000000000104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6C-43A0-922C-66875CDDD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725456"/>
        <c:axId val="81727376"/>
      </c:lineChart>
      <c:catAx>
        <c:axId val="705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13280"/>
        <c:crosses val="autoZero"/>
        <c:auto val="1"/>
        <c:lblAlgn val="ctr"/>
        <c:lblOffset val="100"/>
        <c:noMultiLvlLbl val="0"/>
      </c:catAx>
      <c:valAx>
        <c:axId val="7051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12800"/>
        <c:crosses val="autoZero"/>
        <c:crossBetween val="between"/>
      </c:valAx>
      <c:valAx>
        <c:axId val="81727376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25456"/>
        <c:crosses val="max"/>
        <c:crossBetween val="between"/>
      </c:valAx>
      <c:catAx>
        <c:axId val="817254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1727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167640</xdr:rowOff>
    </xdr:from>
    <xdr:to>
      <xdr:col>12</xdr:col>
      <xdr:colOff>304800</xdr:colOff>
      <xdr:row>17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B22D06-7F61-C29E-2865-1A7C6380D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172995</xdr:rowOff>
    </xdr:from>
    <xdr:to>
      <xdr:col>11</xdr:col>
      <xdr:colOff>319216</xdr:colOff>
      <xdr:row>16</xdr:row>
      <xdr:rowOff>135924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F5A6E1-DC75-F82B-5AC5-6B39B7E9E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1</xdr:row>
      <xdr:rowOff>133350</xdr:rowOff>
    </xdr:from>
    <xdr:to>
      <xdr:col>12</xdr:col>
      <xdr:colOff>289560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C39F6C-E7D0-6696-0CC5-337B2068C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175260</xdr:rowOff>
    </xdr:from>
    <xdr:to>
      <xdr:col>7</xdr:col>
      <xdr:colOff>148297</xdr:colOff>
      <xdr:row>19</xdr:row>
      <xdr:rowOff>179656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707F86-0272-444B-9896-B4B158938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144780</xdr:colOff>
      <xdr:row>4</xdr:row>
      <xdr:rowOff>175260</xdr:rowOff>
    </xdr:from>
    <xdr:to>
      <xdr:col>14</xdr:col>
      <xdr:colOff>463996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DA2C4F-B9AB-4BDE-987C-732A21F81D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160422</xdr:colOff>
      <xdr:row>19</xdr:row>
      <xdr:rowOff>170447</xdr:rowOff>
    </xdr:from>
    <xdr:to>
      <xdr:col>11</xdr:col>
      <xdr:colOff>451185</xdr:colOff>
      <xdr:row>36</xdr:row>
      <xdr:rowOff>24664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C21AF6-4CBF-4974-95E8-BCF70430CD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CHNA RAI" refreshedDate="46080.942824305559" createdVersion="8" refreshedVersion="8" minRefreshableVersion="3" recordCount="1200" xr:uid="{B6FD7090-F532-4E2B-ABDA-76F18E3FEC39}">
  <cacheSource type="worksheet">
    <worksheetSource name="clean_data"/>
  </cacheSource>
  <cacheFields count="26">
    <cacheField name="Order_ID" numFmtId="0">
      <sharedItems/>
    </cacheField>
    <cacheField name="Date" numFmtId="14">
      <sharedItems containsSemiMixedTypes="0" containsNonDate="0" containsDate="1" containsString="0" minDate="2022-01-01T00:00:00" maxDate="2024-12-29T00:00:00"/>
    </cacheField>
    <cacheField name="Region" numFmtId="0">
      <sharedItems count="4">
        <s v="East"/>
        <s v="North"/>
        <s v="South"/>
        <s v="West"/>
      </sharedItems>
    </cacheField>
    <cacheField name="Country" numFmtId="0">
      <sharedItems/>
    </cacheField>
    <cacheField name="Salesperson" numFmtId="0">
      <sharedItems/>
    </cacheField>
    <cacheField name="Product_Category" numFmtId="0">
      <sharedItems count="4">
        <s v="Apparel"/>
        <s v="Electronics"/>
        <s v="Home &amp; Kitchen"/>
        <s v="Sports"/>
      </sharedItems>
    </cacheField>
    <cacheField name="Product_Name" numFmtId="0">
      <sharedItems/>
    </cacheField>
    <cacheField name="Units_Sold" numFmtId="0">
      <sharedItems containsSemiMixedTypes="0" containsString="0" containsNumber="1" containsInteger="1" minValue="1" maxValue="50"/>
    </cacheField>
    <cacheField name="Unit_Price" numFmtId="0">
      <sharedItems containsSemiMixedTypes="0" containsString="0" containsNumber="1" containsInteger="1" minValue="600" maxValue="75000"/>
    </cacheField>
    <cacheField name="Discount_%" numFmtId="0">
      <sharedItems containsSemiMixedTypes="0" containsString="0" containsNumber="1" containsInteger="1" minValue="0" maxValue="20"/>
    </cacheField>
    <cacheField name="Revenue" numFmtId="0">
      <sharedItems containsSemiMixedTypes="0" containsString="0" containsNumber="1" containsInteger="1" minValue="600" maxValue="3562500"/>
    </cacheField>
    <cacheField name="COGS" numFmtId="0">
      <sharedItems containsSemiMixedTypes="0" containsString="0" containsNumber="1" minValue="240" maxValue="1959375"/>
    </cacheField>
    <cacheField name="Profit" numFmtId="0">
      <sharedItems containsSemiMixedTypes="0" containsString="0" containsNumber="1" minValue="360" maxValue="1603125"/>
    </cacheField>
    <cacheField name="Customer_Segment" numFmtId="0">
      <sharedItems/>
    </cacheField>
    <cacheField name="Payment_Method" numFmtId="0">
      <sharedItems/>
    </cacheField>
    <cacheField name="Return_Flag" numFmtId="0">
      <sharedItems/>
    </cacheField>
    <cacheField name="oreder month" numFmtId="0">
      <sharedItems/>
    </cacheField>
    <cacheField name="order year" numFmtId="0">
      <sharedItems containsSemiMixedTypes="0" containsString="0" containsNumber="1" containsInteger="1" minValue="2022" maxValue="2024"/>
    </cacheField>
    <cacheField name="profit margin%" numFmtId="9">
      <sharedItems containsSemiMixedTypes="0" containsString="0" containsNumber="1" minValue="0.45" maxValue="0.6"/>
    </cacheField>
    <cacheField name="order size" numFmtId="0">
      <sharedItems/>
    </cacheField>
    <cacheField name="Profit category" numFmtId="0">
      <sharedItems/>
    </cacheField>
    <cacheField name="year month" numFmtId="0">
      <sharedItems count="36">
        <s v="Aug-2022"/>
        <s v="Mar-2022"/>
        <s v="Jun-2023"/>
        <s v="Jan-2024"/>
        <s v="Jun-2022"/>
        <s v="Jul-2023"/>
        <s v="Feb-2023"/>
        <s v="Sep-2023"/>
        <s v="Apr-2024"/>
        <s v="Nov-2022"/>
        <s v="Jan-2022"/>
        <s v="Sep-2024"/>
        <s v="Aug-2024"/>
        <s v="May-2022"/>
        <s v="Oct-2023"/>
        <s v="Jul-2024"/>
        <s v="Jul-2022"/>
        <s v="Sep-2022"/>
        <s v="Nov-2024"/>
        <s v="Aug-2023"/>
        <s v="Dec-2024"/>
        <s v="Oct-2022"/>
        <s v="Mar-2023"/>
        <s v="Feb-2024"/>
        <s v="Dec-2022"/>
        <s v="Jun-2024"/>
        <s v="Apr-2023"/>
        <s v="Mar-2024"/>
        <s v="Apr-2022"/>
        <s v="Feb-2022"/>
        <s v="Dec-2023"/>
        <s v="Oct-2024"/>
        <s v="Nov-2023"/>
        <s v="May-2023"/>
        <s v="May-2024"/>
        <s v="Jan-2023"/>
      </sharedItems>
    </cacheField>
    <cacheField name="month start" numFmtId="165">
      <sharedItems containsSemiMixedTypes="0" containsNonDate="0" containsDate="1" containsString="0" minDate="2022-01-01T00:00:00" maxDate="2024-12-02T00:00:00" count="36">
        <d v="2022-08-01T00:00:00"/>
        <d v="2022-03-01T00:00:00"/>
        <d v="2023-06-01T00:00:00"/>
        <d v="2024-01-01T00:00:00"/>
        <d v="2022-06-01T00:00:00"/>
        <d v="2023-07-01T00:00:00"/>
        <d v="2023-02-01T00:00:00"/>
        <d v="2023-09-01T00:00:00"/>
        <d v="2024-04-01T00:00:00"/>
        <d v="2022-11-01T00:00:00"/>
        <d v="2022-01-01T00:00:00"/>
        <d v="2024-09-01T00:00:00"/>
        <d v="2024-08-01T00:00:00"/>
        <d v="2022-05-01T00:00:00"/>
        <d v="2023-10-01T00:00:00"/>
        <d v="2024-07-01T00:00:00"/>
        <d v="2022-07-01T00:00:00"/>
        <d v="2022-09-01T00:00:00"/>
        <d v="2024-11-01T00:00:00"/>
        <d v="2023-08-01T00:00:00"/>
        <d v="2024-12-01T00:00:00"/>
        <d v="2022-10-01T00:00:00"/>
        <d v="2023-03-01T00:00:00"/>
        <d v="2024-02-01T00:00:00"/>
        <d v="2022-12-01T00:00:00"/>
        <d v="2024-06-01T00:00:00"/>
        <d v="2023-04-01T00:00:00"/>
        <d v="2024-03-01T00:00:00"/>
        <d v="2022-04-01T00:00:00"/>
        <d v="2022-02-01T00:00:00"/>
        <d v="2023-12-01T00:00:00"/>
        <d v="2024-10-01T00:00:00"/>
        <d v="2023-11-01T00:00:00"/>
        <d v="2023-05-01T00:00:00"/>
        <d v="2024-05-01T00:00:00"/>
        <d v="2023-01-01T00:00:00"/>
      </sharedItems>
      <fieldGroup par="25"/>
    </cacheField>
    <cacheField name="Months (month start)" numFmtId="0" databaseField="0">
      <fieldGroup base="22">
        <rangePr groupBy="months" startDate="2022-01-01T00:00:00" endDate="2024-12-02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4"/>
        </groupItems>
      </fieldGroup>
    </cacheField>
    <cacheField name="Quarters (month start)" numFmtId="0" databaseField="0">
      <fieldGroup base="22">
        <rangePr groupBy="quarters" startDate="2022-01-01T00:00:00" endDate="2024-12-02T00:00:00"/>
        <groupItems count="6">
          <s v="&lt;01-01-2022"/>
          <s v="Qtr1"/>
          <s v="Qtr2"/>
          <s v="Qtr3"/>
          <s v="Qtr4"/>
          <s v="&gt;02-12-2024"/>
        </groupItems>
      </fieldGroup>
    </cacheField>
    <cacheField name="Years (month start)" numFmtId="0" databaseField="0">
      <fieldGroup base="22">
        <rangePr groupBy="years" startDate="2022-01-01T00:00:00" endDate="2024-12-02T00:00:00"/>
        <groupItems count="5">
          <s v="&lt;01-01-2022"/>
          <s v="2022"/>
          <s v="2023"/>
          <s v="2024"/>
          <s v="&gt;02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-0001"/>
    <d v="2022-08-01T00:00:00"/>
    <x v="0"/>
    <s v="India"/>
    <s v="Sneha Iyer"/>
    <x v="0"/>
    <s v="Jacket"/>
    <n v="44"/>
    <n v="3500"/>
    <n v="20"/>
    <n v="123200"/>
    <n v="49280"/>
    <n v="73920"/>
    <s v="Enterprise"/>
    <s v="Cash"/>
    <s v="No"/>
    <s v="Aug"/>
    <n v="2022"/>
    <n v="0.6"/>
    <s v="Small"/>
    <s v="High Profit"/>
    <x v="0"/>
    <x v="0"/>
  </r>
  <r>
    <s v="ORD-0002"/>
    <d v="2022-03-01T00:00:00"/>
    <x v="1"/>
    <s v="USA"/>
    <s v="Sneha Iyer"/>
    <x v="1"/>
    <s v="Smartwatch"/>
    <n v="13"/>
    <n v="15000"/>
    <n v="20"/>
    <n v="156000"/>
    <n v="85800"/>
    <n v="70200"/>
    <s v="B2B"/>
    <s v="Cash"/>
    <s v="No"/>
    <s v="Mar"/>
    <n v="2022"/>
    <n v="0.45"/>
    <s v="Small"/>
    <s v="Low Profit"/>
    <x v="1"/>
    <x v="1"/>
  </r>
  <r>
    <s v="ORD-0003"/>
    <d v="2023-06-26T00:00:00"/>
    <x v="1"/>
    <s v="USA"/>
    <s v="Rohan Joshi"/>
    <x v="2"/>
    <s v="Sofa"/>
    <n v="10"/>
    <n v="25000"/>
    <n v="5"/>
    <n v="237500"/>
    <n v="118750"/>
    <n v="118750"/>
    <s v="B2B"/>
    <s v="Credit Card"/>
    <s v="No"/>
    <s v="Jun"/>
    <n v="2023"/>
    <n v="0.5"/>
    <s v="Small"/>
    <s v="Medium Profit"/>
    <x v="2"/>
    <x v="2"/>
  </r>
  <r>
    <s v="ORD-0004"/>
    <d v="2024-01-04T00:00:00"/>
    <x v="0"/>
    <s v="Japan"/>
    <s v="Neha Sharma"/>
    <x v="2"/>
    <s v="Blender"/>
    <n v="47"/>
    <n v="5000"/>
    <n v="15"/>
    <n v="199750"/>
    <n v="99875"/>
    <n v="99875"/>
    <s v="B2B"/>
    <s v="Cash"/>
    <s v="Yes"/>
    <s v="Jan"/>
    <n v="2024"/>
    <n v="0.5"/>
    <s v="Small"/>
    <s v="Medium Profit"/>
    <x v="3"/>
    <x v="3"/>
  </r>
  <r>
    <s v="ORD-0005"/>
    <d v="2022-06-18T00:00:00"/>
    <x v="0"/>
    <s v="China"/>
    <s v="Neha Sharma"/>
    <x v="2"/>
    <s v="Rug"/>
    <n v="13"/>
    <n v="4000"/>
    <n v="0"/>
    <n v="52000"/>
    <n v="26000"/>
    <n v="26000"/>
    <s v="Enterprise"/>
    <s v="UPI"/>
    <s v="No"/>
    <s v="Jun"/>
    <n v="2022"/>
    <n v="0.5"/>
    <s v="Small"/>
    <s v="Medium Profit"/>
    <x v="4"/>
    <x v="4"/>
  </r>
  <r>
    <s v="ORD-0006"/>
    <d v="2023-07-03T00:00:00"/>
    <x v="2"/>
    <s v="Brazil"/>
    <s v="Rohan Joshi"/>
    <x v="2"/>
    <s v="Lamp"/>
    <n v="41"/>
    <n v="1500"/>
    <n v="10"/>
    <n v="55350"/>
    <n v="27675"/>
    <n v="27675"/>
    <s v="B2C"/>
    <s v="Net Banking"/>
    <s v="No"/>
    <s v="Jul"/>
    <n v="2023"/>
    <n v="0.5"/>
    <s v="Small"/>
    <s v="Medium Profit"/>
    <x v="5"/>
    <x v="5"/>
  </r>
  <r>
    <s v="ORD-0007"/>
    <d v="2023-02-22T00:00:00"/>
    <x v="0"/>
    <s v="China"/>
    <s v="Priya Mehta"/>
    <x v="0"/>
    <s v="Cap"/>
    <n v="47"/>
    <n v="600"/>
    <n v="5"/>
    <n v="26790"/>
    <n v="10716"/>
    <n v="16074"/>
    <s v="B2C"/>
    <s v="Cash"/>
    <s v="No"/>
    <s v="Feb"/>
    <n v="2023"/>
    <n v="0.6"/>
    <s v="Small"/>
    <s v="High Profit"/>
    <x v="6"/>
    <x v="6"/>
  </r>
  <r>
    <s v="ORD-0008"/>
    <d v="2023-06-21T00:00:00"/>
    <x v="2"/>
    <s v="Argentina"/>
    <s v="Aarav Shah"/>
    <x v="0"/>
    <s v="Jacket"/>
    <n v="21"/>
    <n v="3500"/>
    <n v="15"/>
    <n v="62475"/>
    <n v="24990"/>
    <n v="37485"/>
    <s v="B2B"/>
    <s v="UPI"/>
    <s v="No"/>
    <s v="Jun"/>
    <n v="2023"/>
    <n v="0.6"/>
    <s v="Small"/>
    <s v="High Profit"/>
    <x v="2"/>
    <x v="2"/>
  </r>
  <r>
    <s v="ORD-0009"/>
    <d v="2023-09-07T00:00:00"/>
    <x v="3"/>
    <s v="Germany"/>
    <s v="Pooja Patel"/>
    <x v="0"/>
    <s v="T-Shirt"/>
    <n v="9"/>
    <n v="800"/>
    <n v="5"/>
    <n v="6840"/>
    <n v="2736"/>
    <n v="4104"/>
    <s v="Enterprise"/>
    <s v="Net Banking"/>
    <s v="Yes"/>
    <s v="Sep"/>
    <n v="2023"/>
    <n v="0.6"/>
    <s v="Small"/>
    <s v="High Profit"/>
    <x v="7"/>
    <x v="7"/>
  </r>
  <r>
    <s v="ORD-0010"/>
    <d v="2024-04-19T00:00:00"/>
    <x v="3"/>
    <s v="Germany"/>
    <s v="Sneha Iyer"/>
    <x v="0"/>
    <s v="Cap"/>
    <n v="32"/>
    <n v="600"/>
    <n v="0"/>
    <n v="19200"/>
    <n v="7680"/>
    <n v="11520"/>
    <s v="B2B"/>
    <s v="UPI"/>
    <s v="No"/>
    <s v="Apr"/>
    <n v="2024"/>
    <n v="0.6"/>
    <s v="Small"/>
    <s v="High Profit"/>
    <x v="8"/>
    <x v="8"/>
  </r>
  <r>
    <s v="ORD-0011"/>
    <d v="2022-11-26T00:00:00"/>
    <x v="3"/>
    <s v="France"/>
    <s v="Priya Mehta"/>
    <x v="3"/>
    <s v="Tennis Racket"/>
    <n v="39"/>
    <n v="5500"/>
    <n v="15"/>
    <n v="182325"/>
    <n v="82046.25"/>
    <n v="100278.75"/>
    <s v="B2C"/>
    <s v="Wallet"/>
    <s v="Yes"/>
    <s v="Nov"/>
    <n v="2022"/>
    <n v="0.55000000000000004"/>
    <s v="Small"/>
    <s v="Medium Profit"/>
    <x v="9"/>
    <x v="9"/>
  </r>
  <r>
    <s v="ORD-0012"/>
    <d v="2022-01-22T00:00:00"/>
    <x v="1"/>
    <s v="Canada"/>
    <s v="Anjali Singh"/>
    <x v="1"/>
    <s v="Tablet"/>
    <n v="28"/>
    <n v="35000"/>
    <n v="5"/>
    <n v="931000"/>
    <n v="512050"/>
    <n v="418950"/>
    <s v="B2B"/>
    <s v="Net Banking"/>
    <s v="No"/>
    <s v="Jan"/>
    <n v="2022"/>
    <n v="0.45"/>
    <s v="Large"/>
    <s v="Low Profit"/>
    <x v="10"/>
    <x v="10"/>
  </r>
  <r>
    <s v="ORD-0013"/>
    <d v="2024-09-25T00:00:00"/>
    <x v="2"/>
    <s v="Brazil"/>
    <s v="Vikram Nair"/>
    <x v="0"/>
    <s v="Sneakers"/>
    <n v="24"/>
    <n v="4200"/>
    <n v="5"/>
    <n v="95760"/>
    <n v="38304"/>
    <n v="57456"/>
    <s v="Enterprise"/>
    <s v="Credit Card"/>
    <s v="Yes"/>
    <s v="Sep"/>
    <n v="2024"/>
    <n v="0.6"/>
    <s v="Small"/>
    <s v="High Profit"/>
    <x v="11"/>
    <x v="11"/>
  </r>
  <r>
    <s v="ORD-0014"/>
    <d v="2023-09-16T00:00:00"/>
    <x v="1"/>
    <s v="USA"/>
    <s v="Anjali Singh"/>
    <x v="2"/>
    <s v="Air Fryer"/>
    <n v="4"/>
    <n v="8500"/>
    <n v="5"/>
    <n v="32300"/>
    <n v="16150"/>
    <n v="16150"/>
    <s v="B2B"/>
    <s v="Credit Card"/>
    <s v="Yes"/>
    <s v="Sep"/>
    <n v="2023"/>
    <n v="0.5"/>
    <s v="Small"/>
    <s v="Medium Profit"/>
    <x v="7"/>
    <x v="7"/>
  </r>
  <r>
    <s v="ORD-0015"/>
    <d v="2024-08-27T00:00:00"/>
    <x v="1"/>
    <s v="USA"/>
    <s v="Rahul Gupta"/>
    <x v="3"/>
    <s v="Football"/>
    <n v="11"/>
    <n v="900"/>
    <n v="10"/>
    <n v="8910"/>
    <n v="4009.5"/>
    <n v="4900.5"/>
    <s v="Enterprise"/>
    <s v="Cash"/>
    <s v="Yes"/>
    <s v="Aug"/>
    <n v="2024"/>
    <n v="0.55000000000000004"/>
    <s v="Small"/>
    <s v="Medium Profit"/>
    <x v="12"/>
    <x v="12"/>
  </r>
  <r>
    <s v="ORD-0016"/>
    <d v="2023-02-18T00:00:00"/>
    <x v="2"/>
    <s v="Argentina"/>
    <s v="Rohan Joshi"/>
    <x v="2"/>
    <s v="Lamp"/>
    <n v="34"/>
    <n v="1500"/>
    <n v="15"/>
    <n v="43350"/>
    <n v="21675"/>
    <n v="21675"/>
    <s v="B2B"/>
    <s v="UPI"/>
    <s v="No"/>
    <s v="Feb"/>
    <n v="2023"/>
    <n v="0.5"/>
    <s v="Small"/>
    <s v="Medium Profit"/>
    <x v="6"/>
    <x v="6"/>
  </r>
  <r>
    <s v="ORD-0017"/>
    <d v="2022-05-11T00:00:00"/>
    <x v="1"/>
    <s v="USA"/>
    <s v="Neha Sharma"/>
    <x v="0"/>
    <s v="Jacket"/>
    <n v="5"/>
    <n v="3500"/>
    <n v="0"/>
    <n v="17500"/>
    <n v="7000"/>
    <n v="10500"/>
    <s v="B2B"/>
    <s v="Credit Card"/>
    <s v="No"/>
    <s v="May"/>
    <n v="2022"/>
    <n v="0.6"/>
    <s v="Small"/>
    <s v="High Profit"/>
    <x v="13"/>
    <x v="13"/>
  </r>
  <r>
    <s v="ORD-0018"/>
    <d v="2023-10-03T00:00:00"/>
    <x v="2"/>
    <s v="Argentina"/>
    <s v="Pooja Patel"/>
    <x v="0"/>
    <s v="Cap"/>
    <n v="9"/>
    <n v="600"/>
    <n v="20"/>
    <n v="4320"/>
    <n v="1728"/>
    <n v="2592"/>
    <s v="B2C"/>
    <s v="UPI"/>
    <s v="Yes"/>
    <s v="Oct"/>
    <n v="2023"/>
    <n v="0.6"/>
    <s v="Small"/>
    <s v="High Profit"/>
    <x v="14"/>
    <x v="14"/>
  </r>
  <r>
    <s v="ORD-0019"/>
    <d v="2024-07-26T00:00:00"/>
    <x v="3"/>
    <s v="UK"/>
    <s v="Priya Mehta"/>
    <x v="1"/>
    <s v="Headphones"/>
    <n v="23"/>
    <n v="8000"/>
    <n v="15"/>
    <n v="156400"/>
    <n v="86020"/>
    <n v="70380"/>
    <s v="B2C"/>
    <s v="Credit Card"/>
    <s v="No"/>
    <s v="Jul"/>
    <n v="2024"/>
    <n v="0.45"/>
    <s v="Small"/>
    <s v="Low Profit"/>
    <x v="15"/>
    <x v="15"/>
  </r>
  <r>
    <s v="ORD-0020"/>
    <d v="2022-07-02T00:00:00"/>
    <x v="3"/>
    <s v="France"/>
    <s v="Anjali Singh"/>
    <x v="1"/>
    <s v="Smartphone"/>
    <n v="13"/>
    <n v="45000"/>
    <n v="5"/>
    <n v="555750"/>
    <n v="305662.5"/>
    <n v="250087.5"/>
    <s v="B2C"/>
    <s v="UPI"/>
    <s v="Yes"/>
    <s v="Jul"/>
    <n v="2022"/>
    <n v="0.45"/>
    <s v="Medium"/>
    <s v="Low Profit"/>
    <x v="16"/>
    <x v="16"/>
  </r>
  <r>
    <s v="ORD-0021"/>
    <d v="2024-04-06T00:00:00"/>
    <x v="0"/>
    <s v="Japan"/>
    <s v="Sneha Iyer"/>
    <x v="1"/>
    <s v="Headphones"/>
    <n v="36"/>
    <n v="8000"/>
    <n v="0"/>
    <n v="288000"/>
    <n v="158400"/>
    <n v="129600"/>
    <s v="Enterprise"/>
    <s v="Wallet"/>
    <s v="No"/>
    <s v="Apr"/>
    <n v="2024"/>
    <n v="0.45"/>
    <s v="Small"/>
    <s v="Low Profit"/>
    <x v="8"/>
    <x v="8"/>
  </r>
  <r>
    <s v="ORD-0022"/>
    <d v="2022-01-03T00:00:00"/>
    <x v="2"/>
    <s v="Brazil"/>
    <s v="Rohan Joshi"/>
    <x v="3"/>
    <s v="Tennis Racket"/>
    <n v="14"/>
    <n v="5500"/>
    <n v="15"/>
    <n v="65450"/>
    <n v="29452.5"/>
    <n v="35997.5"/>
    <s v="B2B"/>
    <s v="Cash"/>
    <s v="No"/>
    <s v="Jan"/>
    <n v="2022"/>
    <n v="0.55000000000000004"/>
    <s v="Small"/>
    <s v="Medium Profit"/>
    <x v="10"/>
    <x v="10"/>
  </r>
  <r>
    <s v="ORD-0023"/>
    <d v="2022-01-13T00:00:00"/>
    <x v="0"/>
    <s v="Japan"/>
    <s v="Vikram Nair"/>
    <x v="3"/>
    <s v="Football"/>
    <n v="43"/>
    <n v="900"/>
    <n v="15"/>
    <n v="32895"/>
    <n v="14802.75"/>
    <n v="18092.25"/>
    <s v="B2B"/>
    <s v="Net Banking"/>
    <s v="No"/>
    <s v="Jan"/>
    <n v="2022"/>
    <n v="0.55000000000000004"/>
    <s v="Small"/>
    <s v="Medium Profit"/>
    <x v="10"/>
    <x v="10"/>
  </r>
  <r>
    <s v="ORD-0024"/>
    <d v="2023-02-02T00:00:00"/>
    <x v="1"/>
    <s v="Canada"/>
    <s v="Aarav Shah"/>
    <x v="1"/>
    <s v="Smartwatch"/>
    <n v="31"/>
    <n v="15000"/>
    <n v="20"/>
    <n v="372000"/>
    <n v="204600"/>
    <n v="167400"/>
    <s v="B2B"/>
    <s v="Credit Card"/>
    <s v="Yes"/>
    <s v="Feb"/>
    <n v="2023"/>
    <n v="0.45"/>
    <s v="Medium"/>
    <s v="Low Profit"/>
    <x v="6"/>
    <x v="6"/>
  </r>
  <r>
    <s v="ORD-0025"/>
    <d v="2024-09-03T00:00:00"/>
    <x v="2"/>
    <s v="Brazil"/>
    <s v="Neha Sharma"/>
    <x v="1"/>
    <s v="Smartphone"/>
    <n v="26"/>
    <n v="45000"/>
    <n v="0"/>
    <n v="1170000"/>
    <n v="643500"/>
    <n v="526500"/>
    <s v="B2B"/>
    <s v="Wallet"/>
    <s v="Yes"/>
    <s v="Sep"/>
    <n v="2024"/>
    <n v="0.45"/>
    <s v="Large"/>
    <s v="Low Profit"/>
    <x v="11"/>
    <x v="11"/>
  </r>
  <r>
    <s v="ORD-0026"/>
    <d v="2022-03-20T00:00:00"/>
    <x v="1"/>
    <s v="Canada"/>
    <s v="Neha Sharma"/>
    <x v="2"/>
    <s v="Sofa"/>
    <n v="14"/>
    <n v="25000"/>
    <n v="10"/>
    <n v="315000"/>
    <n v="157500"/>
    <n v="157500"/>
    <s v="B2C"/>
    <s v="Cash"/>
    <s v="No"/>
    <s v="Mar"/>
    <n v="2022"/>
    <n v="0.5"/>
    <s v="Medium"/>
    <s v="Medium Profit"/>
    <x v="1"/>
    <x v="1"/>
  </r>
  <r>
    <s v="ORD-0027"/>
    <d v="2022-09-22T00:00:00"/>
    <x v="0"/>
    <s v="Japan"/>
    <s v="Anjali Singh"/>
    <x v="1"/>
    <s v="Laptop"/>
    <n v="30"/>
    <n v="75000"/>
    <n v="20"/>
    <n v="1800000"/>
    <n v="990000"/>
    <n v="810000"/>
    <s v="B2B"/>
    <s v="Credit Card"/>
    <s v="Yes"/>
    <s v="Sep"/>
    <n v="2022"/>
    <n v="0.45"/>
    <s v="Large"/>
    <s v="Low Profit"/>
    <x v="17"/>
    <x v="17"/>
  </r>
  <r>
    <s v="ORD-0028"/>
    <d v="2024-11-07T00:00:00"/>
    <x v="0"/>
    <s v="India"/>
    <s v="Anjali Singh"/>
    <x v="1"/>
    <s v="Smartphone"/>
    <n v="24"/>
    <n v="45000"/>
    <n v="10"/>
    <n v="972000"/>
    <n v="534600"/>
    <n v="437400"/>
    <s v="B2C"/>
    <s v="Wallet"/>
    <s v="No"/>
    <s v="Nov"/>
    <n v="2024"/>
    <n v="0.45"/>
    <s v="Large"/>
    <s v="Low Profit"/>
    <x v="18"/>
    <x v="18"/>
  </r>
  <r>
    <s v="ORD-0029"/>
    <d v="2023-08-20T00:00:00"/>
    <x v="1"/>
    <s v="Canada"/>
    <s v="Priya Mehta"/>
    <x v="0"/>
    <s v="T-Shirt"/>
    <n v="8"/>
    <n v="800"/>
    <n v="0"/>
    <n v="6400"/>
    <n v="2560"/>
    <n v="3840"/>
    <s v="B2B"/>
    <s v="Net Banking"/>
    <s v="Yes"/>
    <s v="Aug"/>
    <n v="2023"/>
    <n v="0.6"/>
    <s v="Small"/>
    <s v="High Profit"/>
    <x v="19"/>
    <x v="19"/>
  </r>
  <r>
    <s v="ORD-0030"/>
    <d v="2023-07-20T00:00:00"/>
    <x v="2"/>
    <s v="Argentina"/>
    <s v="Sneha Iyer"/>
    <x v="2"/>
    <s v="Rug"/>
    <n v="32"/>
    <n v="4000"/>
    <n v="10"/>
    <n v="115200"/>
    <n v="57600"/>
    <n v="57600"/>
    <s v="B2B"/>
    <s v="Cash"/>
    <s v="No"/>
    <s v="Jul"/>
    <n v="2023"/>
    <n v="0.5"/>
    <s v="Small"/>
    <s v="Medium Profit"/>
    <x v="5"/>
    <x v="5"/>
  </r>
  <r>
    <s v="ORD-0031"/>
    <d v="2023-06-02T00:00:00"/>
    <x v="1"/>
    <s v="Canada"/>
    <s v="Rahul Gupta"/>
    <x v="2"/>
    <s v="Air Fryer"/>
    <n v="48"/>
    <n v="8500"/>
    <n v="15"/>
    <n v="346800"/>
    <n v="173400"/>
    <n v="173400"/>
    <s v="Enterprise"/>
    <s v="Cash"/>
    <s v="Yes"/>
    <s v="Jun"/>
    <n v="2023"/>
    <n v="0.5"/>
    <s v="Medium"/>
    <s v="Medium Profit"/>
    <x v="2"/>
    <x v="2"/>
  </r>
  <r>
    <s v="ORD-0032"/>
    <d v="2024-12-01T00:00:00"/>
    <x v="1"/>
    <s v="USA"/>
    <s v="Rahul Gupta"/>
    <x v="1"/>
    <s v="Tablet"/>
    <n v="38"/>
    <n v="35000"/>
    <n v="20"/>
    <n v="1064000"/>
    <n v="585200"/>
    <n v="478800"/>
    <s v="B2C"/>
    <s v="UPI"/>
    <s v="No"/>
    <s v="Dec"/>
    <n v="2024"/>
    <n v="0.45"/>
    <s v="Large"/>
    <s v="Low Profit"/>
    <x v="20"/>
    <x v="20"/>
  </r>
  <r>
    <s v="ORD-0033"/>
    <d v="2022-03-10T00:00:00"/>
    <x v="0"/>
    <s v="India"/>
    <s v="Anjali Singh"/>
    <x v="0"/>
    <s v="Sneakers"/>
    <n v="43"/>
    <n v="4200"/>
    <n v="0"/>
    <n v="180600"/>
    <n v="72240"/>
    <n v="108360"/>
    <s v="Enterprise"/>
    <s v="Cash"/>
    <s v="No"/>
    <s v="Mar"/>
    <n v="2022"/>
    <n v="0.6"/>
    <s v="Small"/>
    <s v="High Profit"/>
    <x v="1"/>
    <x v="1"/>
  </r>
  <r>
    <s v="ORD-0034"/>
    <d v="2022-10-08T00:00:00"/>
    <x v="2"/>
    <s v="Brazil"/>
    <s v="Rohan Joshi"/>
    <x v="1"/>
    <s v="Smartphone"/>
    <n v="48"/>
    <n v="45000"/>
    <n v="10"/>
    <n v="1944000"/>
    <n v="1069200"/>
    <n v="874800"/>
    <s v="Enterprise"/>
    <s v="UPI"/>
    <s v="No"/>
    <s v="Oct"/>
    <n v="2022"/>
    <n v="0.45"/>
    <s v="Large"/>
    <s v="Low Profit"/>
    <x v="21"/>
    <x v="21"/>
  </r>
  <r>
    <s v="ORD-0035"/>
    <d v="2023-06-06T00:00:00"/>
    <x v="1"/>
    <s v="Canada"/>
    <s v="Aarav Shah"/>
    <x v="3"/>
    <s v="Dumbbell"/>
    <n v="13"/>
    <n v="3000"/>
    <n v="15"/>
    <n v="33150"/>
    <n v="14917.5"/>
    <n v="18232.5"/>
    <s v="B2C"/>
    <s v="UPI"/>
    <s v="No"/>
    <s v="Jun"/>
    <n v="2023"/>
    <n v="0.55000000000000004"/>
    <s v="Small"/>
    <s v="Medium Profit"/>
    <x v="2"/>
    <x v="2"/>
  </r>
  <r>
    <s v="ORD-0036"/>
    <d v="2023-03-01T00:00:00"/>
    <x v="2"/>
    <s v="Argentina"/>
    <s v="Anjali Singh"/>
    <x v="2"/>
    <s v="Blender"/>
    <n v="50"/>
    <n v="5000"/>
    <n v="10"/>
    <n v="225000"/>
    <n v="112500"/>
    <n v="112500"/>
    <s v="Enterprise"/>
    <s v="Wallet"/>
    <s v="No"/>
    <s v="Mar"/>
    <n v="2023"/>
    <n v="0.5"/>
    <s v="Small"/>
    <s v="Medium Profit"/>
    <x v="22"/>
    <x v="22"/>
  </r>
  <r>
    <s v="ORD-0037"/>
    <d v="2024-02-22T00:00:00"/>
    <x v="0"/>
    <s v="India"/>
    <s v="Priya Mehta"/>
    <x v="2"/>
    <s v="Air Fryer"/>
    <n v="38"/>
    <n v="8500"/>
    <n v="10"/>
    <n v="290700"/>
    <n v="145350"/>
    <n v="145350"/>
    <s v="B2B"/>
    <s v="Wallet"/>
    <s v="No"/>
    <s v="Feb"/>
    <n v="2024"/>
    <n v="0.5"/>
    <s v="Small"/>
    <s v="Medium Profit"/>
    <x v="23"/>
    <x v="23"/>
  </r>
  <r>
    <s v="ORD-0038"/>
    <d v="2024-04-12T00:00:00"/>
    <x v="0"/>
    <s v="Japan"/>
    <s v="Neha Sharma"/>
    <x v="1"/>
    <s v="Headphones"/>
    <n v="37"/>
    <n v="8000"/>
    <n v="5"/>
    <n v="281200"/>
    <n v="154660"/>
    <n v="126540"/>
    <s v="B2B"/>
    <s v="Cash"/>
    <s v="No"/>
    <s v="Apr"/>
    <n v="2024"/>
    <n v="0.45"/>
    <s v="Small"/>
    <s v="Low Profit"/>
    <x v="8"/>
    <x v="8"/>
  </r>
  <r>
    <s v="ORD-0039"/>
    <d v="2022-01-17T00:00:00"/>
    <x v="2"/>
    <s v="Argentina"/>
    <s v="Rohan Joshi"/>
    <x v="1"/>
    <s v="Tablet"/>
    <n v="40"/>
    <n v="35000"/>
    <n v="10"/>
    <n v="1260000"/>
    <n v="693000"/>
    <n v="567000"/>
    <s v="Enterprise"/>
    <s v="Net Banking"/>
    <s v="No"/>
    <s v="Jan"/>
    <n v="2022"/>
    <n v="0.45"/>
    <s v="Large"/>
    <s v="Low Profit"/>
    <x v="10"/>
    <x v="10"/>
  </r>
  <r>
    <s v="ORD-0040"/>
    <d v="2024-09-10T00:00:00"/>
    <x v="3"/>
    <s v="Germany"/>
    <s v="Rohan Joshi"/>
    <x v="2"/>
    <s v="Rug"/>
    <n v="9"/>
    <n v="4000"/>
    <n v="5"/>
    <n v="34200"/>
    <n v="17100"/>
    <n v="17100"/>
    <s v="Enterprise"/>
    <s v="Cash"/>
    <s v="No"/>
    <s v="Sep"/>
    <n v="2024"/>
    <n v="0.5"/>
    <s v="Small"/>
    <s v="Medium Profit"/>
    <x v="11"/>
    <x v="11"/>
  </r>
  <r>
    <s v="ORD-0041"/>
    <d v="2022-12-20T00:00:00"/>
    <x v="0"/>
    <s v="Japan"/>
    <s v="Amit Kumar"/>
    <x v="1"/>
    <s v="Tablet"/>
    <n v="19"/>
    <n v="35000"/>
    <n v="5"/>
    <n v="631750"/>
    <n v="347462.5"/>
    <n v="284287.5"/>
    <s v="Enterprise"/>
    <s v="Wallet"/>
    <s v="No"/>
    <s v="Dec"/>
    <n v="2022"/>
    <n v="0.45"/>
    <s v="Medium"/>
    <s v="Low Profit"/>
    <x v="24"/>
    <x v="24"/>
  </r>
  <r>
    <s v="ORD-0042"/>
    <d v="2023-09-15T00:00:00"/>
    <x v="3"/>
    <s v="Germany"/>
    <s v="Sneha Iyer"/>
    <x v="3"/>
    <s v="Dumbbell"/>
    <n v="43"/>
    <n v="3000"/>
    <n v="0"/>
    <n v="129000"/>
    <n v="58050"/>
    <n v="70950"/>
    <s v="Enterprise"/>
    <s v="Wallet"/>
    <s v="No"/>
    <s v="Sep"/>
    <n v="2023"/>
    <n v="0.55000000000000004"/>
    <s v="Small"/>
    <s v="Medium Profit"/>
    <x v="7"/>
    <x v="7"/>
  </r>
  <r>
    <s v="ORD-0043"/>
    <d v="2023-10-03T00:00:00"/>
    <x v="2"/>
    <s v="Argentina"/>
    <s v="Sneha Iyer"/>
    <x v="0"/>
    <s v="Sneakers"/>
    <n v="2"/>
    <n v="4200"/>
    <n v="0"/>
    <n v="8400"/>
    <n v="3360"/>
    <n v="5040"/>
    <s v="B2C"/>
    <s v="Wallet"/>
    <s v="No"/>
    <s v="Oct"/>
    <n v="2023"/>
    <n v="0.6"/>
    <s v="Small"/>
    <s v="High Profit"/>
    <x v="14"/>
    <x v="14"/>
  </r>
  <r>
    <s v="ORD-0044"/>
    <d v="2022-05-15T00:00:00"/>
    <x v="3"/>
    <s v="France"/>
    <s v="Neha Sharma"/>
    <x v="0"/>
    <s v="Jeans"/>
    <n v="32"/>
    <n v="2500"/>
    <n v="15"/>
    <n v="68000"/>
    <n v="27200"/>
    <n v="40800"/>
    <s v="B2B"/>
    <s v="Credit Card"/>
    <s v="No"/>
    <s v="May"/>
    <n v="2022"/>
    <n v="0.6"/>
    <s v="Small"/>
    <s v="High Profit"/>
    <x v="13"/>
    <x v="13"/>
  </r>
  <r>
    <s v="ORD-0045"/>
    <d v="2022-07-25T00:00:00"/>
    <x v="3"/>
    <s v="UK"/>
    <s v="Rahul Gupta"/>
    <x v="3"/>
    <s v="Yoga Mat"/>
    <n v="36"/>
    <n v="1200"/>
    <n v="5"/>
    <n v="41040"/>
    <n v="18468"/>
    <n v="22572"/>
    <s v="B2C"/>
    <s v="UPI"/>
    <s v="No"/>
    <s v="Jul"/>
    <n v="2022"/>
    <n v="0.55000000000000004"/>
    <s v="Small"/>
    <s v="Medium Profit"/>
    <x v="16"/>
    <x v="16"/>
  </r>
  <r>
    <s v="ORD-0046"/>
    <d v="2024-06-22T00:00:00"/>
    <x v="0"/>
    <s v="Japan"/>
    <s v="Neha Sharma"/>
    <x v="3"/>
    <s v="Football"/>
    <n v="29"/>
    <n v="900"/>
    <n v="5"/>
    <n v="24795"/>
    <n v="11157.75"/>
    <n v="13637.25"/>
    <s v="B2C"/>
    <s v="Net Banking"/>
    <s v="No"/>
    <s v="Jun"/>
    <n v="2024"/>
    <n v="0.55000000000000004"/>
    <s v="Small"/>
    <s v="Medium Profit"/>
    <x v="25"/>
    <x v="25"/>
  </r>
  <r>
    <s v="ORD-0047"/>
    <d v="2023-04-27T00:00:00"/>
    <x v="0"/>
    <s v="China"/>
    <s v="Pooja Patel"/>
    <x v="0"/>
    <s v="T-Shirt"/>
    <n v="29"/>
    <n v="800"/>
    <n v="0"/>
    <n v="23200"/>
    <n v="9280"/>
    <n v="13920"/>
    <s v="B2B"/>
    <s v="Net Banking"/>
    <s v="No"/>
    <s v="Apr"/>
    <n v="2023"/>
    <n v="0.6"/>
    <s v="Small"/>
    <s v="High Profit"/>
    <x v="26"/>
    <x v="26"/>
  </r>
  <r>
    <s v="ORD-0048"/>
    <d v="2023-10-11T00:00:00"/>
    <x v="1"/>
    <s v="USA"/>
    <s v="Rahul Gupta"/>
    <x v="0"/>
    <s v="Jeans"/>
    <n v="45"/>
    <n v="2500"/>
    <n v="5"/>
    <n v="106875"/>
    <n v="42750"/>
    <n v="64125"/>
    <s v="B2B"/>
    <s v="Cash"/>
    <s v="No"/>
    <s v="Oct"/>
    <n v="2023"/>
    <n v="0.6"/>
    <s v="Small"/>
    <s v="High Profit"/>
    <x v="14"/>
    <x v="14"/>
  </r>
  <r>
    <s v="ORD-0049"/>
    <d v="2024-03-11T00:00:00"/>
    <x v="3"/>
    <s v="Germany"/>
    <s v="Aarav Shah"/>
    <x v="0"/>
    <s v="Jeans"/>
    <n v="25"/>
    <n v="2500"/>
    <n v="20"/>
    <n v="50000"/>
    <n v="20000"/>
    <n v="30000"/>
    <s v="Enterprise"/>
    <s v="Cash"/>
    <s v="No"/>
    <s v="Mar"/>
    <n v="2024"/>
    <n v="0.6"/>
    <s v="Small"/>
    <s v="High Profit"/>
    <x v="27"/>
    <x v="27"/>
  </r>
  <r>
    <s v="ORD-0050"/>
    <d v="2024-07-01T00:00:00"/>
    <x v="0"/>
    <s v="Japan"/>
    <s v="Rohan Joshi"/>
    <x v="3"/>
    <s v="Football"/>
    <n v="48"/>
    <n v="900"/>
    <n v="20"/>
    <n v="34560"/>
    <n v="15552"/>
    <n v="19008"/>
    <s v="B2B"/>
    <s v="Cash"/>
    <s v="Yes"/>
    <s v="Jul"/>
    <n v="2024"/>
    <n v="0.55000000000000004"/>
    <s v="Small"/>
    <s v="Medium Profit"/>
    <x v="15"/>
    <x v="15"/>
  </r>
  <r>
    <s v="ORD-0051"/>
    <d v="2023-03-09T00:00:00"/>
    <x v="3"/>
    <s v="Germany"/>
    <s v="Aarav Shah"/>
    <x v="3"/>
    <s v="Cycle"/>
    <n v="43"/>
    <n v="18000"/>
    <n v="15"/>
    <n v="657900"/>
    <n v="296055"/>
    <n v="361845"/>
    <s v="B2C"/>
    <s v="UPI"/>
    <s v="No"/>
    <s v="Mar"/>
    <n v="2023"/>
    <n v="0.55000000000000004"/>
    <s v="Medium"/>
    <s v="Medium Profit"/>
    <x v="22"/>
    <x v="22"/>
  </r>
  <r>
    <s v="ORD-0052"/>
    <d v="2024-11-01T00:00:00"/>
    <x v="3"/>
    <s v="France"/>
    <s v="Neha Sharma"/>
    <x v="1"/>
    <s v="Laptop"/>
    <n v="42"/>
    <n v="75000"/>
    <n v="15"/>
    <n v="2677500"/>
    <n v="1472625"/>
    <n v="1204875"/>
    <s v="B2C"/>
    <s v="UPI"/>
    <s v="No"/>
    <s v="Nov"/>
    <n v="2024"/>
    <n v="0.45"/>
    <s v="Large"/>
    <s v="Low Profit"/>
    <x v="18"/>
    <x v="18"/>
  </r>
  <r>
    <s v="ORD-0053"/>
    <d v="2022-04-09T00:00:00"/>
    <x v="3"/>
    <s v="Germany"/>
    <s v="Sneha Iyer"/>
    <x v="3"/>
    <s v="Cycle"/>
    <n v="22"/>
    <n v="18000"/>
    <n v="15"/>
    <n v="336600"/>
    <n v="151470"/>
    <n v="185130"/>
    <s v="B2C"/>
    <s v="Net Banking"/>
    <s v="No"/>
    <s v="Apr"/>
    <n v="2022"/>
    <n v="0.55000000000000004"/>
    <s v="Medium"/>
    <s v="Medium Profit"/>
    <x v="28"/>
    <x v="28"/>
  </r>
  <r>
    <s v="ORD-0054"/>
    <d v="2022-06-16T00:00:00"/>
    <x v="1"/>
    <s v="USA"/>
    <s v="Anjali Singh"/>
    <x v="0"/>
    <s v="Jacket"/>
    <n v="50"/>
    <n v="3500"/>
    <n v="0"/>
    <n v="175000"/>
    <n v="70000"/>
    <n v="105000"/>
    <s v="B2B"/>
    <s v="UPI"/>
    <s v="No"/>
    <s v="Jun"/>
    <n v="2022"/>
    <n v="0.6"/>
    <s v="Small"/>
    <s v="High Profit"/>
    <x v="4"/>
    <x v="4"/>
  </r>
  <r>
    <s v="ORD-0055"/>
    <d v="2022-02-20T00:00:00"/>
    <x v="2"/>
    <s v="Brazil"/>
    <s v="Rahul Gupta"/>
    <x v="3"/>
    <s v="Yoga Mat"/>
    <n v="37"/>
    <n v="1200"/>
    <n v="5"/>
    <n v="42180"/>
    <n v="18981"/>
    <n v="23199"/>
    <s v="Enterprise"/>
    <s v="Net Banking"/>
    <s v="No"/>
    <s v="Feb"/>
    <n v="2022"/>
    <n v="0.55000000000000004"/>
    <s v="Small"/>
    <s v="Medium Profit"/>
    <x v="29"/>
    <x v="29"/>
  </r>
  <r>
    <s v="ORD-0056"/>
    <d v="2023-12-06T00:00:00"/>
    <x v="1"/>
    <s v="USA"/>
    <s v="Vikram Nair"/>
    <x v="1"/>
    <s v="Smartwatch"/>
    <n v="2"/>
    <n v="15000"/>
    <n v="10"/>
    <n v="27000"/>
    <n v="14850"/>
    <n v="12150"/>
    <s v="Enterprise"/>
    <s v="Cash"/>
    <s v="Yes"/>
    <s v="Dec"/>
    <n v="2023"/>
    <n v="0.45"/>
    <s v="Small"/>
    <s v="Low Profit"/>
    <x v="30"/>
    <x v="30"/>
  </r>
  <r>
    <s v="ORD-0057"/>
    <d v="2024-02-23T00:00:00"/>
    <x v="2"/>
    <s v="Brazil"/>
    <s v="Neha Sharma"/>
    <x v="0"/>
    <s v="Jacket"/>
    <n v="45"/>
    <n v="3500"/>
    <n v="10"/>
    <n v="141750"/>
    <n v="56700"/>
    <n v="85050"/>
    <s v="B2B"/>
    <s v="Wallet"/>
    <s v="Yes"/>
    <s v="Feb"/>
    <n v="2024"/>
    <n v="0.6"/>
    <s v="Small"/>
    <s v="High Profit"/>
    <x v="23"/>
    <x v="23"/>
  </r>
  <r>
    <s v="ORD-0058"/>
    <d v="2022-03-12T00:00:00"/>
    <x v="3"/>
    <s v="France"/>
    <s v="Anjali Singh"/>
    <x v="1"/>
    <s v="Smartwatch"/>
    <n v="42"/>
    <n v="15000"/>
    <n v="10"/>
    <n v="567000"/>
    <n v="311850"/>
    <n v="255150"/>
    <s v="B2C"/>
    <s v="Cash"/>
    <s v="No"/>
    <s v="Mar"/>
    <n v="2022"/>
    <n v="0.45"/>
    <s v="Medium"/>
    <s v="Low Profit"/>
    <x v="1"/>
    <x v="1"/>
  </r>
  <r>
    <s v="ORD-0059"/>
    <d v="2022-07-14T00:00:00"/>
    <x v="0"/>
    <s v="China"/>
    <s v="Pooja Patel"/>
    <x v="0"/>
    <s v="Jeans"/>
    <n v="12"/>
    <n v="2500"/>
    <n v="20"/>
    <n v="24000"/>
    <n v="9600"/>
    <n v="14400"/>
    <s v="Enterprise"/>
    <s v="Wallet"/>
    <s v="No"/>
    <s v="Jul"/>
    <n v="2022"/>
    <n v="0.6"/>
    <s v="Small"/>
    <s v="High Profit"/>
    <x v="16"/>
    <x v="16"/>
  </r>
  <r>
    <s v="ORD-0060"/>
    <d v="2024-07-15T00:00:00"/>
    <x v="3"/>
    <s v="France"/>
    <s v="Neha Sharma"/>
    <x v="2"/>
    <s v="Sofa"/>
    <n v="16"/>
    <n v="25000"/>
    <n v="0"/>
    <n v="400000"/>
    <n v="200000"/>
    <n v="200000"/>
    <s v="B2C"/>
    <s v="UPI"/>
    <s v="No"/>
    <s v="Jul"/>
    <n v="2024"/>
    <n v="0.5"/>
    <s v="Medium"/>
    <s v="Medium Profit"/>
    <x v="15"/>
    <x v="15"/>
  </r>
  <r>
    <s v="ORD-0061"/>
    <d v="2024-06-19T00:00:00"/>
    <x v="3"/>
    <s v="Germany"/>
    <s v="Aarav Shah"/>
    <x v="3"/>
    <s v="Cycle"/>
    <n v="12"/>
    <n v="18000"/>
    <n v="15"/>
    <n v="183600"/>
    <n v="82620"/>
    <n v="100980"/>
    <s v="B2C"/>
    <s v="Net Banking"/>
    <s v="No"/>
    <s v="Jun"/>
    <n v="2024"/>
    <n v="0.55000000000000004"/>
    <s v="Small"/>
    <s v="Medium Profit"/>
    <x v="25"/>
    <x v="25"/>
  </r>
  <r>
    <s v="ORD-0062"/>
    <d v="2023-10-09T00:00:00"/>
    <x v="0"/>
    <s v="China"/>
    <s v="Aarav Shah"/>
    <x v="0"/>
    <s v="Jacket"/>
    <n v="16"/>
    <n v="3500"/>
    <n v="15"/>
    <n v="47600"/>
    <n v="19040"/>
    <n v="28560"/>
    <s v="Enterprise"/>
    <s v="UPI"/>
    <s v="No"/>
    <s v="Oct"/>
    <n v="2023"/>
    <n v="0.6"/>
    <s v="Small"/>
    <s v="High Profit"/>
    <x v="14"/>
    <x v="14"/>
  </r>
  <r>
    <s v="ORD-0063"/>
    <d v="2024-07-21T00:00:00"/>
    <x v="3"/>
    <s v="Germany"/>
    <s v="Aarav Shah"/>
    <x v="1"/>
    <s v="Tablet"/>
    <n v="15"/>
    <n v="35000"/>
    <n v="15"/>
    <n v="446250"/>
    <n v="245437.5"/>
    <n v="200812.5"/>
    <s v="B2C"/>
    <s v="Wallet"/>
    <s v="No"/>
    <s v="Jul"/>
    <n v="2024"/>
    <n v="0.45"/>
    <s v="Medium"/>
    <s v="Low Profit"/>
    <x v="15"/>
    <x v="15"/>
  </r>
  <r>
    <s v="ORD-0064"/>
    <d v="2023-12-16T00:00:00"/>
    <x v="0"/>
    <s v="Japan"/>
    <s v="Amit Kumar"/>
    <x v="2"/>
    <s v="Sofa"/>
    <n v="45"/>
    <n v="25000"/>
    <n v="15"/>
    <n v="956250"/>
    <n v="478125"/>
    <n v="478125"/>
    <s v="B2C"/>
    <s v="Net Banking"/>
    <s v="No"/>
    <s v="Dec"/>
    <n v="2023"/>
    <n v="0.5"/>
    <s v="Large"/>
    <s v="Medium Profit"/>
    <x v="30"/>
    <x v="30"/>
  </r>
  <r>
    <s v="ORD-0065"/>
    <d v="2023-03-04T00:00:00"/>
    <x v="2"/>
    <s v="Argentina"/>
    <s v="Priya Mehta"/>
    <x v="0"/>
    <s v="Sneakers"/>
    <n v="14"/>
    <n v="4200"/>
    <n v="15"/>
    <n v="49980"/>
    <n v="19992"/>
    <n v="29988"/>
    <s v="Enterprise"/>
    <s v="Wallet"/>
    <s v="No"/>
    <s v="Mar"/>
    <n v="2023"/>
    <n v="0.6"/>
    <s v="Small"/>
    <s v="High Profit"/>
    <x v="22"/>
    <x v="22"/>
  </r>
  <r>
    <s v="ORD-0066"/>
    <d v="2024-10-20T00:00:00"/>
    <x v="0"/>
    <s v="India"/>
    <s v="Sneha Iyer"/>
    <x v="2"/>
    <s v="Air Fryer"/>
    <n v="24"/>
    <n v="8500"/>
    <n v="5"/>
    <n v="193800"/>
    <n v="96900"/>
    <n v="96900"/>
    <s v="B2B"/>
    <s v="Wallet"/>
    <s v="No"/>
    <s v="Oct"/>
    <n v="2024"/>
    <n v="0.5"/>
    <s v="Small"/>
    <s v="Medium Profit"/>
    <x v="31"/>
    <x v="31"/>
  </r>
  <r>
    <s v="ORD-0067"/>
    <d v="2022-09-09T00:00:00"/>
    <x v="1"/>
    <s v="USA"/>
    <s v="Amit Kumar"/>
    <x v="2"/>
    <s v="Air Fryer"/>
    <n v="41"/>
    <n v="8500"/>
    <n v="15"/>
    <n v="296225"/>
    <n v="148112.5"/>
    <n v="148112.5"/>
    <s v="B2B"/>
    <s v="Wallet"/>
    <s v="No"/>
    <s v="Sep"/>
    <n v="2022"/>
    <n v="0.5"/>
    <s v="Small"/>
    <s v="Medium Profit"/>
    <x v="17"/>
    <x v="17"/>
  </r>
  <r>
    <s v="ORD-0068"/>
    <d v="2023-07-16T00:00:00"/>
    <x v="3"/>
    <s v="Germany"/>
    <s v="Anjali Singh"/>
    <x v="0"/>
    <s v="Jacket"/>
    <n v="17"/>
    <n v="3500"/>
    <n v="15"/>
    <n v="50575"/>
    <n v="20230"/>
    <n v="30345"/>
    <s v="B2B"/>
    <s v="Cash"/>
    <s v="No"/>
    <s v="Jul"/>
    <n v="2023"/>
    <n v="0.6"/>
    <s v="Small"/>
    <s v="High Profit"/>
    <x v="5"/>
    <x v="5"/>
  </r>
  <r>
    <s v="ORD-0069"/>
    <d v="2024-08-03T00:00:00"/>
    <x v="1"/>
    <s v="USA"/>
    <s v="Rahul Gupta"/>
    <x v="2"/>
    <s v="Blender"/>
    <n v="16"/>
    <n v="5000"/>
    <n v="0"/>
    <n v="80000"/>
    <n v="40000"/>
    <n v="40000"/>
    <s v="B2C"/>
    <s v="Wallet"/>
    <s v="Yes"/>
    <s v="Aug"/>
    <n v="2024"/>
    <n v="0.5"/>
    <s v="Small"/>
    <s v="Medium Profit"/>
    <x v="12"/>
    <x v="12"/>
  </r>
  <r>
    <s v="ORD-0070"/>
    <d v="2023-03-25T00:00:00"/>
    <x v="3"/>
    <s v="Germany"/>
    <s v="Pooja Patel"/>
    <x v="2"/>
    <s v="Rug"/>
    <n v="28"/>
    <n v="4000"/>
    <n v="10"/>
    <n v="100800"/>
    <n v="50400"/>
    <n v="50400"/>
    <s v="Enterprise"/>
    <s v="Credit Card"/>
    <s v="Yes"/>
    <s v="Mar"/>
    <n v="2023"/>
    <n v="0.5"/>
    <s v="Small"/>
    <s v="Medium Profit"/>
    <x v="22"/>
    <x v="22"/>
  </r>
  <r>
    <s v="ORD-0071"/>
    <d v="2022-07-25T00:00:00"/>
    <x v="2"/>
    <s v="Brazil"/>
    <s v="Vikram Nair"/>
    <x v="1"/>
    <s v="Smartphone"/>
    <n v="16"/>
    <n v="45000"/>
    <n v="5"/>
    <n v="684000"/>
    <n v="376200"/>
    <n v="307800"/>
    <s v="B2B"/>
    <s v="UPI"/>
    <s v="Yes"/>
    <s v="Jul"/>
    <n v="2022"/>
    <n v="0.45"/>
    <s v="Medium"/>
    <s v="Low Profit"/>
    <x v="16"/>
    <x v="16"/>
  </r>
  <r>
    <s v="ORD-0072"/>
    <d v="2022-01-14T00:00:00"/>
    <x v="3"/>
    <s v="France"/>
    <s v="Neha Sharma"/>
    <x v="3"/>
    <s v="Cycle"/>
    <n v="3"/>
    <n v="18000"/>
    <n v="5"/>
    <n v="51300"/>
    <n v="23085"/>
    <n v="28215"/>
    <s v="Enterprise"/>
    <s v="Net Banking"/>
    <s v="No"/>
    <s v="Jan"/>
    <n v="2022"/>
    <n v="0.55000000000000004"/>
    <s v="Small"/>
    <s v="Medium Profit"/>
    <x v="10"/>
    <x v="10"/>
  </r>
  <r>
    <s v="ORD-0073"/>
    <d v="2024-06-03T00:00:00"/>
    <x v="2"/>
    <s v="Argentina"/>
    <s v="Neha Sharma"/>
    <x v="0"/>
    <s v="Jeans"/>
    <n v="8"/>
    <n v="2500"/>
    <n v="20"/>
    <n v="16000"/>
    <n v="6400"/>
    <n v="9600"/>
    <s v="Enterprise"/>
    <s v="UPI"/>
    <s v="No"/>
    <s v="Jun"/>
    <n v="2024"/>
    <n v="0.6"/>
    <s v="Small"/>
    <s v="High Profit"/>
    <x v="25"/>
    <x v="25"/>
  </r>
  <r>
    <s v="ORD-0074"/>
    <d v="2023-06-27T00:00:00"/>
    <x v="2"/>
    <s v="Brazil"/>
    <s v="Aarav Shah"/>
    <x v="0"/>
    <s v="T-Shirt"/>
    <n v="39"/>
    <n v="800"/>
    <n v="20"/>
    <n v="24960"/>
    <n v="9984"/>
    <n v="14976"/>
    <s v="B2C"/>
    <s v="Credit Card"/>
    <s v="No"/>
    <s v="Jun"/>
    <n v="2023"/>
    <n v="0.6"/>
    <s v="Small"/>
    <s v="High Profit"/>
    <x v="2"/>
    <x v="2"/>
  </r>
  <r>
    <s v="ORD-0075"/>
    <d v="2024-06-23T00:00:00"/>
    <x v="0"/>
    <s v="China"/>
    <s v="Rohan Joshi"/>
    <x v="2"/>
    <s v="Rug"/>
    <n v="35"/>
    <n v="4000"/>
    <n v="15"/>
    <n v="119000"/>
    <n v="59500"/>
    <n v="59500"/>
    <s v="B2B"/>
    <s v="Wallet"/>
    <s v="No"/>
    <s v="Jun"/>
    <n v="2024"/>
    <n v="0.5"/>
    <s v="Small"/>
    <s v="Medium Profit"/>
    <x v="25"/>
    <x v="25"/>
  </r>
  <r>
    <s v="ORD-0076"/>
    <d v="2022-03-14T00:00:00"/>
    <x v="0"/>
    <s v="China"/>
    <s v="Vikram Nair"/>
    <x v="1"/>
    <s v="Laptop"/>
    <n v="15"/>
    <n v="75000"/>
    <n v="20"/>
    <n v="900000"/>
    <n v="495000"/>
    <n v="405000"/>
    <s v="B2B"/>
    <s v="Net Banking"/>
    <s v="Yes"/>
    <s v="Mar"/>
    <n v="2022"/>
    <n v="0.45"/>
    <s v="Large"/>
    <s v="Low Profit"/>
    <x v="1"/>
    <x v="1"/>
  </r>
  <r>
    <s v="ORD-0077"/>
    <d v="2022-03-25T00:00:00"/>
    <x v="2"/>
    <s v="Argentina"/>
    <s v="Amit Kumar"/>
    <x v="3"/>
    <s v="Cycle"/>
    <n v="12"/>
    <n v="18000"/>
    <n v="20"/>
    <n v="172800"/>
    <n v="77760"/>
    <n v="95040"/>
    <s v="Enterprise"/>
    <s v="Cash"/>
    <s v="No"/>
    <s v="Mar"/>
    <n v="2022"/>
    <n v="0.55000000000000004"/>
    <s v="Small"/>
    <s v="Medium Profit"/>
    <x v="1"/>
    <x v="1"/>
  </r>
  <r>
    <s v="ORD-0078"/>
    <d v="2022-06-16T00:00:00"/>
    <x v="0"/>
    <s v="Japan"/>
    <s v="Anjali Singh"/>
    <x v="2"/>
    <s v="Blender"/>
    <n v="11"/>
    <n v="5000"/>
    <n v="10"/>
    <n v="49500"/>
    <n v="24750"/>
    <n v="24750"/>
    <s v="Enterprise"/>
    <s v="Cash"/>
    <s v="No"/>
    <s v="Jun"/>
    <n v="2022"/>
    <n v="0.5"/>
    <s v="Small"/>
    <s v="Medium Profit"/>
    <x v="4"/>
    <x v="4"/>
  </r>
  <r>
    <s v="ORD-0079"/>
    <d v="2023-07-22T00:00:00"/>
    <x v="3"/>
    <s v="France"/>
    <s v="Aarav Shah"/>
    <x v="3"/>
    <s v="Yoga Mat"/>
    <n v="21"/>
    <n v="1200"/>
    <n v="10"/>
    <n v="22680"/>
    <n v="10206"/>
    <n v="12474"/>
    <s v="B2B"/>
    <s v="Cash"/>
    <s v="No"/>
    <s v="Jul"/>
    <n v="2023"/>
    <n v="0.55000000000000004"/>
    <s v="Small"/>
    <s v="Medium Profit"/>
    <x v="5"/>
    <x v="5"/>
  </r>
  <r>
    <s v="ORD-0080"/>
    <d v="2024-09-27T00:00:00"/>
    <x v="1"/>
    <s v="Canada"/>
    <s v="Rohan Joshi"/>
    <x v="1"/>
    <s v="Smartphone"/>
    <n v="34"/>
    <n v="45000"/>
    <n v="10"/>
    <n v="1377000"/>
    <n v="757350"/>
    <n v="619650"/>
    <s v="B2C"/>
    <s v="Cash"/>
    <s v="Yes"/>
    <s v="Sep"/>
    <n v="2024"/>
    <n v="0.45"/>
    <s v="Large"/>
    <s v="Low Profit"/>
    <x v="11"/>
    <x v="11"/>
  </r>
  <r>
    <s v="ORD-0081"/>
    <d v="2022-04-07T00:00:00"/>
    <x v="0"/>
    <s v="China"/>
    <s v="Rahul Gupta"/>
    <x v="2"/>
    <s v="Lamp"/>
    <n v="45"/>
    <n v="1500"/>
    <n v="15"/>
    <n v="57375"/>
    <n v="28687.5"/>
    <n v="28687.5"/>
    <s v="B2B"/>
    <s v="Wallet"/>
    <s v="No"/>
    <s v="Apr"/>
    <n v="2022"/>
    <n v="0.5"/>
    <s v="Small"/>
    <s v="Medium Profit"/>
    <x v="28"/>
    <x v="28"/>
  </r>
  <r>
    <s v="ORD-0082"/>
    <d v="2023-04-23T00:00:00"/>
    <x v="2"/>
    <s v="Argentina"/>
    <s v="Amit Kumar"/>
    <x v="1"/>
    <s v="Smartwatch"/>
    <n v="27"/>
    <n v="15000"/>
    <n v="0"/>
    <n v="405000"/>
    <n v="222750"/>
    <n v="182250"/>
    <s v="B2B"/>
    <s v="Cash"/>
    <s v="No"/>
    <s v="Apr"/>
    <n v="2023"/>
    <n v="0.45"/>
    <s v="Medium"/>
    <s v="Low Profit"/>
    <x v="26"/>
    <x v="26"/>
  </r>
  <r>
    <s v="ORD-0083"/>
    <d v="2022-08-21T00:00:00"/>
    <x v="2"/>
    <s v="Argentina"/>
    <s v="Vikram Nair"/>
    <x v="2"/>
    <s v="Lamp"/>
    <n v="31"/>
    <n v="1500"/>
    <n v="15"/>
    <n v="39525"/>
    <n v="19762.5"/>
    <n v="19762.5"/>
    <s v="B2C"/>
    <s v="Wallet"/>
    <s v="No"/>
    <s v="Aug"/>
    <n v="2022"/>
    <n v="0.5"/>
    <s v="Small"/>
    <s v="Medium Profit"/>
    <x v="0"/>
    <x v="0"/>
  </r>
  <r>
    <s v="ORD-0084"/>
    <d v="2022-10-13T00:00:00"/>
    <x v="2"/>
    <s v="Brazil"/>
    <s v="Priya Mehta"/>
    <x v="2"/>
    <s v="Lamp"/>
    <n v="22"/>
    <n v="1500"/>
    <n v="20"/>
    <n v="26400"/>
    <n v="13200"/>
    <n v="13200"/>
    <s v="B2B"/>
    <s v="Net Banking"/>
    <s v="No"/>
    <s v="Oct"/>
    <n v="2022"/>
    <n v="0.5"/>
    <s v="Small"/>
    <s v="Medium Profit"/>
    <x v="21"/>
    <x v="21"/>
  </r>
  <r>
    <s v="ORD-0085"/>
    <d v="2023-08-27T00:00:00"/>
    <x v="3"/>
    <s v="UK"/>
    <s v="Pooja Patel"/>
    <x v="3"/>
    <s v="Cycle"/>
    <n v="22"/>
    <n v="18000"/>
    <n v="20"/>
    <n v="316800"/>
    <n v="142560"/>
    <n v="174240"/>
    <s v="B2C"/>
    <s v="Cash"/>
    <s v="Yes"/>
    <s v="Aug"/>
    <n v="2023"/>
    <n v="0.55000000000000004"/>
    <s v="Medium"/>
    <s v="Medium Profit"/>
    <x v="19"/>
    <x v="19"/>
  </r>
  <r>
    <s v="ORD-0086"/>
    <d v="2023-09-28T00:00:00"/>
    <x v="2"/>
    <s v="Brazil"/>
    <s v="Neha Sharma"/>
    <x v="3"/>
    <s v="Dumbbell"/>
    <n v="50"/>
    <n v="3000"/>
    <n v="15"/>
    <n v="127500"/>
    <n v="57375"/>
    <n v="70125"/>
    <s v="B2C"/>
    <s v="Cash"/>
    <s v="No"/>
    <s v="Sep"/>
    <n v="2023"/>
    <n v="0.55000000000000004"/>
    <s v="Small"/>
    <s v="Medium Profit"/>
    <x v="7"/>
    <x v="7"/>
  </r>
  <r>
    <s v="ORD-0087"/>
    <d v="2024-01-13T00:00:00"/>
    <x v="2"/>
    <s v="Argentina"/>
    <s v="Aarav Shah"/>
    <x v="0"/>
    <s v="Cap"/>
    <n v="38"/>
    <n v="600"/>
    <n v="10"/>
    <n v="20520"/>
    <n v="8208"/>
    <n v="12312"/>
    <s v="B2C"/>
    <s v="Credit Card"/>
    <s v="No"/>
    <s v="Jan"/>
    <n v="2024"/>
    <n v="0.6"/>
    <s v="Small"/>
    <s v="High Profit"/>
    <x v="3"/>
    <x v="3"/>
  </r>
  <r>
    <s v="ORD-0088"/>
    <d v="2024-10-15T00:00:00"/>
    <x v="1"/>
    <s v="USA"/>
    <s v="Rohan Joshi"/>
    <x v="0"/>
    <s v="Jacket"/>
    <n v="31"/>
    <n v="3500"/>
    <n v="10"/>
    <n v="97650"/>
    <n v="39060"/>
    <n v="58590"/>
    <s v="Enterprise"/>
    <s v="Cash"/>
    <s v="No"/>
    <s v="Oct"/>
    <n v="2024"/>
    <n v="0.6"/>
    <s v="Small"/>
    <s v="High Profit"/>
    <x v="31"/>
    <x v="31"/>
  </r>
  <r>
    <s v="ORD-0089"/>
    <d v="2022-06-28T00:00:00"/>
    <x v="0"/>
    <s v="China"/>
    <s v="Amit Kumar"/>
    <x v="3"/>
    <s v="Cycle"/>
    <n v="41"/>
    <n v="18000"/>
    <n v="15"/>
    <n v="627300"/>
    <n v="282285"/>
    <n v="345015"/>
    <s v="B2B"/>
    <s v="Wallet"/>
    <s v="Yes"/>
    <s v="Jun"/>
    <n v="2022"/>
    <n v="0.55000000000000004"/>
    <s v="Medium"/>
    <s v="Medium Profit"/>
    <x v="4"/>
    <x v="4"/>
  </r>
  <r>
    <s v="ORD-0090"/>
    <d v="2022-05-08T00:00:00"/>
    <x v="0"/>
    <s v="India"/>
    <s v="Priya Mehta"/>
    <x v="3"/>
    <s v="Yoga Mat"/>
    <n v="49"/>
    <n v="1200"/>
    <n v="0"/>
    <n v="58800"/>
    <n v="26460"/>
    <n v="32340"/>
    <s v="B2B"/>
    <s v="Net Banking"/>
    <s v="No"/>
    <s v="May"/>
    <n v="2022"/>
    <n v="0.55000000000000004"/>
    <s v="Small"/>
    <s v="Medium Profit"/>
    <x v="13"/>
    <x v="13"/>
  </r>
  <r>
    <s v="ORD-0091"/>
    <d v="2022-02-02T00:00:00"/>
    <x v="0"/>
    <s v="India"/>
    <s v="Vikram Nair"/>
    <x v="2"/>
    <s v="Sofa"/>
    <n v="28"/>
    <n v="25000"/>
    <n v="5"/>
    <n v="665000"/>
    <n v="332500"/>
    <n v="332500"/>
    <s v="Enterprise"/>
    <s v="Cash"/>
    <s v="No"/>
    <s v="Feb"/>
    <n v="2022"/>
    <n v="0.5"/>
    <s v="Medium"/>
    <s v="Medium Profit"/>
    <x v="29"/>
    <x v="29"/>
  </r>
  <r>
    <s v="ORD-0092"/>
    <d v="2022-12-06T00:00:00"/>
    <x v="2"/>
    <s v="Brazil"/>
    <s v="Neha Sharma"/>
    <x v="3"/>
    <s v="Football"/>
    <n v="44"/>
    <n v="900"/>
    <n v="5"/>
    <n v="37620"/>
    <n v="16929"/>
    <n v="20691"/>
    <s v="Enterprise"/>
    <s v="UPI"/>
    <s v="No"/>
    <s v="Dec"/>
    <n v="2022"/>
    <n v="0.55000000000000004"/>
    <s v="Small"/>
    <s v="Medium Profit"/>
    <x v="24"/>
    <x v="24"/>
  </r>
  <r>
    <s v="ORD-0093"/>
    <d v="2023-03-15T00:00:00"/>
    <x v="0"/>
    <s v="Japan"/>
    <s v="Vikram Nair"/>
    <x v="1"/>
    <s v="Headphones"/>
    <n v="19"/>
    <n v="8000"/>
    <n v="20"/>
    <n v="121600"/>
    <n v="66880"/>
    <n v="54720"/>
    <s v="B2B"/>
    <s v="Cash"/>
    <s v="No"/>
    <s v="Mar"/>
    <n v="2023"/>
    <n v="0.45"/>
    <s v="Small"/>
    <s v="Low Profit"/>
    <x v="22"/>
    <x v="22"/>
  </r>
  <r>
    <s v="ORD-0094"/>
    <d v="2023-11-19T00:00:00"/>
    <x v="0"/>
    <s v="China"/>
    <s v="Rohan Joshi"/>
    <x v="2"/>
    <s v="Lamp"/>
    <n v="20"/>
    <n v="1500"/>
    <n v="5"/>
    <n v="28500"/>
    <n v="14250"/>
    <n v="14250"/>
    <s v="B2C"/>
    <s v="Credit Card"/>
    <s v="No"/>
    <s v="Nov"/>
    <n v="2023"/>
    <n v="0.5"/>
    <s v="Small"/>
    <s v="Medium Profit"/>
    <x v="32"/>
    <x v="32"/>
  </r>
  <r>
    <s v="ORD-0095"/>
    <d v="2023-04-13T00:00:00"/>
    <x v="0"/>
    <s v="China"/>
    <s v="Vikram Nair"/>
    <x v="2"/>
    <s v="Blender"/>
    <n v="43"/>
    <n v="5000"/>
    <n v="15"/>
    <n v="182750"/>
    <n v="91375"/>
    <n v="91375"/>
    <s v="B2B"/>
    <s v="Wallet"/>
    <s v="No"/>
    <s v="Apr"/>
    <n v="2023"/>
    <n v="0.5"/>
    <s v="Small"/>
    <s v="Medium Profit"/>
    <x v="26"/>
    <x v="26"/>
  </r>
  <r>
    <s v="ORD-0096"/>
    <d v="2022-04-20T00:00:00"/>
    <x v="3"/>
    <s v="Germany"/>
    <s v="Sneha Iyer"/>
    <x v="2"/>
    <s v="Air Fryer"/>
    <n v="41"/>
    <n v="8500"/>
    <n v="5"/>
    <n v="331075"/>
    <n v="165537.5"/>
    <n v="165537.5"/>
    <s v="B2C"/>
    <s v="UPI"/>
    <s v="Yes"/>
    <s v="Apr"/>
    <n v="2022"/>
    <n v="0.5"/>
    <s v="Medium"/>
    <s v="Medium Profit"/>
    <x v="28"/>
    <x v="28"/>
  </r>
  <r>
    <s v="ORD-0097"/>
    <d v="2022-07-21T00:00:00"/>
    <x v="1"/>
    <s v="Canada"/>
    <s v="Pooja Patel"/>
    <x v="1"/>
    <s v="Smartwatch"/>
    <n v="24"/>
    <n v="15000"/>
    <n v="5"/>
    <n v="342000"/>
    <n v="188100"/>
    <n v="153900"/>
    <s v="B2C"/>
    <s v="Net Banking"/>
    <s v="No"/>
    <s v="Jul"/>
    <n v="2022"/>
    <n v="0.45"/>
    <s v="Medium"/>
    <s v="Low Profit"/>
    <x v="16"/>
    <x v="16"/>
  </r>
  <r>
    <s v="ORD-0098"/>
    <d v="2024-03-06T00:00:00"/>
    <x v="2"/>
    <s v="Brazil"/>
    <s v="Amit Kumar"/>
    <x v="2"/>
    <s v="Rug"/>
    <n v="33"/>
    <n v="4000"/>
    <n v="10"/>
    <n v="118800"/>
    <n v="59400"/>
    <n v="59400"/>
    <s v="B2C"/>
    <s v="Cash"/>
    <s v="No"/>
    <s v="Mar"/>
    <n v="2024"/>
    <n v="0.5"/>
    <s v="Small"/>
    <s v="Medium Profit"/>
    <x v="27"/>
    <x v="27"/>
  </r>
  <r>
    <s v="ORD-0099"/>
    <d v="2023-07-24T00:00:00"/>
    <x v="0"/>
    <s v="India"/>
    <s v="Pooja Patel"/>
    <x v="1"/>
    <s v="Smartphone"/>
    <n v="49"/>
    <n v="45000"/>
    <n v="5"/>
    <n v="2094750"/>
    <n v="1152112.5"/>
    <n v="942637.5"/>
    <s v="Enterprise"/>
    <s v="Net Banking"/>
    <s v="No"/>
    <s v="Jul"/>
    <n v="2023"/>
    <n v="0.45"/>
    <s v="Large"/>
    <s v="Low Profit"/>
    <x v="5"/>
    <x v="5"/>
  </r>
  <r>
    <s v="ORD-0100"/>
    <d v="2022-06-26T00:00:00"/>
    <x v="3"/>
    <s v="UK"/>
    <s v="Vikram Nair"/>
    <x v="1"/>
    <s v="Headphones"/>
    <n v="24"/>
    <n v="8000"/>
    <n v="10"/>
    <n v="172800"/>
    <n v="95040"/>
    <n v="77760"/>
    <s v="B2C"/>
    <s v="Net Banking"/>
    <s v="Yes"/>
    <s v="Jun"/>
    <n v="2022"/>
    <n v="0.45"/>
    <s v="Small"/>
    <s v="Low Profit"/>
    <x v="4"/>
    <x v="4"/>
  </r>
  <r>
    <s v="ORD-0101"/>
    <d v="2022-07-22T00:00:00"/>
    <x v="2"/>
    <s v="Argentina"/>
    <s v="Aarav Shah"/>
    <x v="2"/>
    <s v="Rug"/>
    <n v="15"/>
    <n v="4000"/>
    <n v="0"/>
    <n v="60000"/>
    <n v="30000"/>
    <n v="30000"/>
    <s v="Enterprise"/>
    <s v="Net Banking"/>
    <s v="No"/>
    <s v="Jul"/>
    <n v="2022"/>
    <n v="0.5"/>
    <s v="Small"/>
    <s v="Medium Profit"/>
    <x v="16"/>
    <x v="16"/>
  </r>
  <r>
    <s v="ORD-0102"/>
    <d v="2024-03-04T00:00:00"/>
    <x v="2"/>
    <s v="Brazil"/>
    <s v="Aarav Shah"/>
    <x v="2"/>
    <s v="Lamp"/>
    <n v="8"/>
    <n v="1500"/>
    <n v="0"/>
    <n v="12000"/>
    <n v="6000"/>
    <n v="6000"/>
    <s v="Enterprise"/>
    <s v="UPI"/>
    <s v="No"/>
    <s v="Mar"/>
    <n v="2024"/>
    <n v="0.5"/>
    <s v="Small"/>
    <s v="Medium Profit"/>
    <x v="27"/>
    <x v="27"/>
  </r>
  <r>
    <s v="ORD-0103"/>
    <d v="2024-01-15T00:00:00"/>
    <x v="0"/>
    <s v="China"/>
    <s v="Amit Kumar"/>
    <x v="3"/>
    <s v="Football"/>
    <n v="48"/>
    <n v="900"/>
    <n v="5"/>
    <n v="41040"/>
    <n v="18468"/>
    <n v="22572"/>
    <s v="Enterprise"/>
    <s v="Credit Card"/>
    <s v="No"/>
    <s v="Jan"/>
    <n v="2024"/>
    <n v="0.55000000000000004"/>
    <s v="Small"/>
    <s v="Medium Profit"/>
    <x v="3"/>
    <x v="3"/>
  </r>
  <r>
    <s v="ORD-0104"/>
    <d v="2024-08-20T00:00:00"/>
    <x v="3"/>
    <s v="Germany"/>
    <s v="Aarav Shah"/>
    <x v="2"/>
    <s v="Air Fryer"/>
    <n v="29"/>
    <n v="8500"/>
    <n v="15"/>
    <n v="209525"/>
    <n v="104762.5"/>
    <n v="104762.5"/>
    <s v="B2C"/>
    <s v="Credit Card"/>
    <s v="No"/>
    <s v="Aug"/>
    <n v="2024"/>
    <n v="0.5"/>
    <s v="Small"/>
    <s v="Medium Profit"/>
    <x v="12"/>
    <x v="12"/>
  </r>
  <r>
    <s v="ORD-0105"/>
    <d v="2023-12-18T00:00:00"/>
    <x v="0"/>
    <s v="India"/>
    <s v="Rohan Joshi"/>
    <x v="2"/>
    <s v="Air Fryer"/>
    <n v="8"/>
    <n v="8500"/>
    <n v="15"/>
    <n v="57800"/>
    <n v="28900"/>
    <n v="28900"/>
    <s v="Enterprise"/>
    <s v="UPI"/>
    <s v="No"/>
    <s v="Dec"/>
    <n v="2023"/>
    <n v="0.5"/>
    <s v="Small"/>
    <s v="Medium Profit"/>
    <x v="30"/>
    <x v="30"/>
  </r>
  <r>
    <s v="ORD-0106"/>
    <d v="2022-02-02T00:00:00"/>
    <x v="0"/>
    <s v="India"/>
    <s v="Rahul Gupta"/>
    <x v="0"/>
    <s v="Jacket"/>
    <n v="49"/>
    <n v="3500"/>
    <n v="20"/>
    <n v="137200"/>
    <n v="54880"/>
    <n v="82320"/>
    <s v="Enterprise"/>
    <s v="UPI"/>
    <s v="No"/>
    <s v="Feb"/>
    <n v="2022"/>
    <n v="0.6"/>
    <s v="Small"/>
    <s v="High Profit"/>
    <x v="29"/>
    <x v="29"/>
  </r>
  <r>
    <s v="ORD-0107"/>
    <d v="2023-03-11T00:00:00"/>
    <x v="2"/>
    <s v="Brazil"/>
    <s v="Vikram Nair"/>
    <x v="0"/>
    <s v="Sneakers"/>
    <n v="35"/>
    <n v="4200"/>
    <n v="10"/>
    <n v="132300"/>
    <n v="52920"/>
    <n v="79380"/>
    <s v="B2B"/>
    <s v="Credit Card"/>
    <s v="No"/>
    <s v="Mar"/>
    <n v="2023"/>
    <n v="0.6"/>
    <s v="Small"/>
    <s v="High Profit"/>
    <x v="22"/>
    <x v="22"/>
  </r>
  <r>
    <s v="ORD-0108"/>
    <d v="2022-09-01T00:00:00"/>
    <x v="0"/>
    <s v="India"/>
    <s v="Neha Sharma"/>
    <x v="2"/>
    <s v="Blender"/>
    <n v="12"/>
    <n v="5000"/>
    <n v="10"/>
    <n v="54000"/>
    <n v="27000"/>
    <n v="27000"/>
    <s v="B2B"/>
    <s v="Cash"/>
    <s v="No"/>
    <s v="Sep"/>
    <n v="2022"/>
    <n v="0.5"/>
    <s v="Small"/>
    <s v="Medium Profit"/>
    <x v="17"/>
    <x v="17"/>
  </r>
  <r>
    <s v="ORD-0109"/>
    <d v="2024-10-04T00:00:00"/>
    <x v="1"/>
    <s v="Canada"/>
    <s v="Pooja Patel"/>
    <x v="2"/>
    <s v="Rug"/>
    <n v="38"/>
    <n v="4000"/>
    <n v="0"/>
    <n v="152000"/>
    <n v="76000"/>
    <n v="76000"/>
    <s v="Enterprise"/>
    <s v="UPI"/>
    <s v="No"/>
    <s v="Oct"/>
    <n v="2024"/>
    <n v="0.5"/>
    <s v="Small"/>
    <s v="Medium Profit"/>
    <x v="31"/>
    <x v="31"/>
  </r>
  <r>
    <s v="ORD-0110"/>
    <d v="2022-03-24T00:00:00"/>
    <x v="0"/>
    <s v="Japan"/>
    <s v="Aarav Shah"/>
    <x v="1"/>
    <s v="Headphones"/>
    <n v="26"/>
    <n v="8000"/>
    <n v="15"/>
    <n v="176800"/>
    <n v="97240"/>
    <n v="79560"/>
    <s v="B2C"/>
    <s v="Cash"/>
    <s v="No"/>
    <s v="Mar"/>
    <n v="2022"/>
    <n v="0.45"/>
    <s v="Small"/>
    <s v="Low Profit"/>
    <x v="1"/>
    <x v="1"/>
  </r>
  <r>
    <s v="ORD-0111"/>
    <d v="2022-05-03T00:00:00"/>
    <x v="0"/>
    <s v="China"/>
    <s v="Rahul Gupta"/>
    <x v="1"/>
    <s v="Smartphone"/>
    <n v="18"/>
    <n v="45000"/>
    <n v="20"/>
    <n v="648000"/>
    <n v="356400"/>
    <n v="291600"/>
    <s v="Enterprise"/>
    <s v="Net Banking"/>
    <s v="Yes"/>
    <s v="May"/>
    <n v="2022"/>
    <n v="0.45"/>
    <s v="Medium"/>
    <s v="Low Profit"/>
    <x v="13"/>
    <x v="13"/>
  </r>
  <r>
    <s v="ORD-0112"/>
    <d v="2024-01-20T00:00:00"/>
    <x v="0"/>
    <s v="Japan"/>
    <s v="Amit Kumar"/>
    <x v="3"/>
    <s v="Yoga Mat"/>
    <n v="45"/>
    <n v="1200"/>
    <n v="0"/>
    <n v="54000"/>
    <n v="24300"/>
    <n v="29700"/>
    <s v="Enterprise"/>
    <s v="UPI"/>
    <s v="Yes"/>
    <s v="Jan"/>
    <n v="2024"/>
    <n v="0.55000000000000004"/>
    <s v="Small"/>
    <s v="Medium Profit"/>
    <x v="3"/>
    <x v="3"/>
  </r>
  <r>
    <s v="ORD-0113"/>
    <d v="2024-04-15T00:00:00"/>
    <x v="2"/>
    <s v="Argentina"/>
    <s v="Anjali Singh"/>
    <x v="3"/>
    <s v="Tennis Racket"/>
    <n v="27"/>
    <n v="5500"/>
    <n v="0"/>
    <n v="148500"/>
    <n v="66825"/>
    <n v="81675"/>
    <s v="B2C"/>
    <s v="Net Banking"/>
    <s v="No"/>
    <s v="Apr"/>
    <n v="2024"/>
    <n v="0.55000000000000004"/>
    <s v="Small"/>
    <s v="Medium Profit"/>
    <x v="8"/>
    <x v="8"/>
  </r>
  <r>
    <s v="ORD-0114"/>
    <d v="2023-05-12T00:00:00"/>
    <x v="2"/>
    <s v="Argentina"/>
    <s v="Priya Mehta"/>
    <x v="1"/>
    <s v="Laptop"/>
    <n v="6"/>
    <n v="75000"/>
    <n v="15"/>
    <n v="382500"/>
    <n v="210375"/>
    <n v="172125"/>
    <s v="Enterprise"/>
    <s v="Net Banking"/>
    <s v="No"/>
    <s v="May"/>
    <n v="2023"/>
    <n v="0.45"/>
    <s v="Medium"/>
    <s v="Low Profit"/>
    <x v="33"/>
    <x v="33"/>
  </r>
  <r>
    <s v="ORD-0115"/>
    <d v="2022-09-18T00:00:00"/>
    <x v="1"/>
    <s v="Canada"/>
    <s v="Priya Mehta"/>
    <x v="3"/>
    <s v="Cycle"/>
    <n v="43"/>
    <n v="18000"/>
    <n v="15"/>
    <n v="657900"/>
    <n v="296055"/>
    <n v="361845"/>
    <s v="B2C"/>
    <s v="Wallet"/>
    <s v="No"/>
    <s v="Sep"/>
    <n v="2022"/>
    <n v="0.55000000000000004"/>
    <s v="Medium"/>
    <s v="Medium Profit"/>
    <x v="17"/>
    <x v="17"/>
  </r>
  <r>
    <s v="ORD-0116"/>
    <d v="2023-08-12T00:00:00"/>
    <x v="1"/>
    <s v="USA"/>
    <s v="Rahul Gupta"/>
    <x v="3"/>
    <s v="Dumbbell"/>
    <n v="7"/>
    <n v="3000"/>
    <n v="10"/>
    <n v="18900"/>
    <n v="8505"/>
    <n v="10395"/>
    <s v="B2C"/>
    <s v="Credit Card"/>
    <s v="Yes"/>
    <s v="Aug"/>
    <n v="2023"/>
    <n v="0.55000000000000004"/>
    <s v="Small"/>
    <s v="Medium Profit"/>
    <x v="19"/>
    <x v="19"/>
  </r>
  <r>
    <s v="ORD-0117"/>
    <d v="2023-06-19T00:00:00"/>
    <x v="2"/>
    <s v="Argentina"/>
    <s v="Amit Kumar"/>
    <x v="1"/>
    <s v="Smartwatch"/>
    <n v="43"/>
    <n v="15000"/>
    <n v="10"/>
    <n v="580500"/>
    <n v="319275"/>
    <n v="261225"/>
    <s v="B2B"/>
    <s v="Net Banking"/>
    <s v="No"/>
    <s v="Jun"/>
    <n v="2023"/>
    <n v="0.45"/>
    <s v="Medium"/>
    <s v="Low Profit"/>
    <x v="2"/>
    <x v="2"/>
  </r>
  <r>
    <s v="ORD-0118"/>
    <d v="2023-08-11T00:00:00"/>
    <x v="0"/>
    <s v="India"/>
    <s v="Rahul Gupta"/>
    <x v="0"/>
    <s v="Cap"/>
    <n v="43"/>
    <n v="600"/>
    <n v="15"/>
    <n v="21930"/>
    <n v="8772"/>
    <n v="13158"/>
    <s v="B2B"/>
    <s v="Credit Card"/>
    <s v="No"/>
    <s v="Aug"/>
    <n v="2023"/>
    <n v="0.6"/>
    <s v="Small"/>
    <s v="High Profit"/>
    <x v="19"/>
    <x v="19"/>
  </r>
  <r>
    <s v="ORD-0119"/>
    <d v="2022-06-24T00:00:00"/>
    <x v="2"/>
    <s v="Argentina"/>
    <s v="Rohan Joshi"/>
    <x v="3"/>
    <s v="Cycle"/>
    <n v="11"/>
    <n v="18000"/>
    <n v="10"/>
    <n v="178200"/>
    <n v="80190"/>
    <n v="98010"/>
    <s v="Enterprise"/>
    <s v="Net Banking"/>
    <s v="No"/>
    <s v="Jun"/>
    <n v="2022"/>
    <n v="0.55000000000000004"/>
    <s v="Small"/>
    <s v="Medium Profit"/>
    <x v="4"/>
    <x v="4"/>
  </r>
  <r>
    <s v="ORD-0120"/>
    <d v="2022-06-02T00:00:00"/>
    <x v="2"/>
    <s v="Brazil"/>
    <s v="Neha Sharma"/>
    <x v="1"/>
    <s v="Laptop"/>
    <n v="18"/>
    <n v="75000"/>
    <n v="15"/>
    <n v="1147500"/>
    <n v="631125"/>
    <n v="516375"/>
    <s v="B2C"/>
    <s v="Wallet"/>
    <s v="No"/>
    <s v="Jun"/>
    <n v="2022"/>
    <n v="0.45"/>
    <s v="Large"/>
    <s v="Low Profit"/>
    <x v="4"/>
    <x v="4"/>
  </r>
  <r>
    <s v="ORD-0121"/>
    <d v="2024-05-14T00:00:00"/>
    <x v="0"/>
    <s v="India"/>
    <s v="Amit Kumar"/>
    <x v="1"/>
    <s v="Tablet"/>
    <n v="28"/>
    <n v="35000"/>
    <n v="0"/>
    <n v="980000"/>
    <n v="539000"/>
    <n v="441000"/>
    <s v="Enterprise"/>
    <s v="Wallet"/>
    <s v="No"/>
    <s v="May"/>
    <n v="2024"/>
    <n v="0.45"/>
    <s v="Large"/>
    <s v="Low Profit"/>
    <x v="34"/>
    <x v="34"/>
  </r>
  <r>
    <s v="ORD-0122"/>
    <d v="2024-08-17T00:00:00"/>
    <x v="0"/>
    <s v="India"/>
    <s v="Sneha Iyer"/>
    <x v="3"/>
    <s v="Football"/>
    <n v="4"/>
    <n v="900"/>
    <n v="0"/>
    <n v="3600"/>
    <n v="1620"/>
    <n v="1980"/>
    <s v="B2C"/>
    <s v="UPI"/>
    <s v="No"/>
    <s v="Aug"/>
    <n v="2024"/>
    <n v="0.55000000000000004"/>
    <s v="Small"/>
    <s v="Medium Profit"/>
    <x v="12"/>
    <x v="12"/>
  </r>
  <r>
    <s v="ORD-0123"/>
    <d v="2022-09-25T00:00:00"/>
    <x v="0"/>
    <s v="Japan"/>
    <s v="Anjali Singh"/>
    <x v="1"/>
    <s v="Laptop"/>
    <n v="32"/>
    <n v="75000"/>
    <n v="15"/>
    <n v="2040000"/>
    <n v="1122000"/>
    <n v="918000"/>
    <s v="B2B"/>
    <s v="Cash"/>
    <s v="No"/>
    <s v="Sep"/>
    <n v="2022"/>
    <n v="0.45"/>
    <s v="Large"/>
    <s v="Low Profit"/>
    <x v="17"/>
    <x v="17"/>
  </r>
  <r>
    <s v="ORD-0124"/>
    <d v="2024-11-23T00:00:00"/>
    <x v="2"/>
    <s v="Argentina"/>
    <s v="Priya Mehta"/>
    <x v="3"/>
    <s v="Yoga Mat"/>
    <n v="28"/>
    <n v="1200"/>
    <n v="0"/>
    <n v="33600"/>
    <n v="15120"/>
    <n v="18480"/>
    <s v="B2B"/>
    <s v="Net Banking"/>
    <s v="No"/>
    <s v="Nov"/>
    <n v="2024"/>
    <n v="0.55000000000000004"/>
    <s v="Small"/>
    <s v="Medium Profit"/>
    <x v="18"/>
    <x v="18"/>
  </r>
  <r>
    <s v="ORD-0125"/>
    <d v="2024-04-19T00:00:00"/>
    <x v="3"/>
    <s v="France"/>
    <s v="Rohan Joshi"/>
    <x v="2"/>
    <s v="Blender"/>
    <n v="26"/>
    <n v="5000"/>
    <n v="0"/>
    <n v="130000"/>
    <n v="65000"/>
    <n v="65000"/>
    <s v="B2B"/>
    <s v="Wallet"/>
    <s v="No"/>
    <s v="Apr"/>
    <n v="2024"/>
    <n v="0.5"/>
    <s v="Small"/>
    <s v="Medium Profit"/>
    <x v="8"/>
    <x v="8"/>
  </r>
  <r>
    <s v="ORD-0126"/>
    <d v="2024-06-27T00:00:00"/>
    <x v="0"/>
    <s v="India"/>
    <s v="Rohan Joshi"/>
    <x v="1"/>
    <s v="Smartphone"/>
    <n v="28"/>
    <n v="45000"/>
    <n v="20"/>
    <n v="1008000"/>
    <n v="554400"/>
    <n v="453600"/>
    <s v="Enterprise"/>
    <s v="Credit Card"/>
    <s v="No"/>
    <s v="Jun"/>
    <n v="2024"/>
    <n v="0.45"/>
    <s v="Large"/>
    <s v="Low Profit"/>
    <x v="25"/>
    <x v="25"/>
  </r>
  <r>
    <s v="ORD-0127"/>
    <d v="2024-02-28T00:00:00"/>
    <x v="0"/>
    <s v="China"/>
    <s v="Anjali Singh"/>
    <x v="0"/>
    <s v="T-Shirt"/>
    <n v="50"/>
    <n v="800"/>
    <n v="5"/>
    <n v="38000"/>
    <n v="15200"/>
    <n v="22800"/>
    <s v="Enterprise"/>
    <s v="Credit Card"/>
    <s v="No"/>
    <s v="Feb"/>
    <n v="2024"/>
    <n v="0.6"/>
    <s v="Small"/>
    <s v="High Profit"/>
    <x v="23"/>
    <x v="23"/>
  </r>
  <r>
    <s v="ORD-0128"/>
    <d v="2024-10-17T00:00:00"/>
    <x v="2"/>
    <s v="Argentina"/>
    <s v="Anjali Singh"/>
    <x v="0"/>
    <s v="Sneakers"/>
    <n v="7"/>
    <n v="4200"/>
    <n v="5"/>
    <n v="27930"/>
    <n v="11172"/>
    <n v="16758"/>
    <s v="B2B"/>
    <s v="UPI"/>
    <s v="No"/>
    <s v="Oct"/>
    <n v="2024"/>
    <n v="0.6"/>
    <s v="Small"/>
    <s v="High Profit"/>
    <x v="31"/>
    <x v="31"/>
  </r>
  <r>
    <s v="ORD-0129"/>
    <d v="2022-10-25T00:00:00"/>
    <x v="1"/>
    <s v="USA"/>
    <s v="Pooja Patel"/>
    <x v="3"/>
    <s v="Football"/>
    <n v="49"/>
    <n v="900"/>
    <n v="20"/>
    <n v="35280"/>
    <n v="15876"/>
    <n v="19404"/>
    <s v="Enterprise"/>
    <s v="Wallet"/>
    <s v="No"/>
    <s v="Oct"/>
    <n v="2022"/>
    <n v="0.55000000000000004"/>
    <s v="Small"/>
    <s v="Medium Profit"/>
    <x v="21"/>
    <x v="21"/>
  </r>
  <r>
    <s v="ORD-0130"/>
    <d v="2023-09-28T00:00:00"/>
    <x v="0"/>
    <s v="India"/>
    <s v="Pooja Patel"/>
    <x v="1"/>
    <s v="Headphones"/>
    <n v="29"/>
    <n v="8000"/>
    <n v="10"/>
    <n v="208800"/>
    <n v="114840"/>
    <n v="93960"/>
    <s v="Enterprise"/>
    <s v="Credit Card"/>
    <s v="No"/>
    <s v="Sep"/>
    <n v="2023"/>
    <n v="0.45"/>
    <s v="Small"/>
    <s v="Low Profit"/>
    <x v="7"/>
    <x v="7"/>
  </r>
  <r>
    <s v="ORD-0131"/>
    <d v="2023-11-17T00:00:00"/>
    <x v="1"/>
    <s v="Canada"/>
    <s v="Pooja Patel"/>
    <x v="3"/>
    <s v="Yoga Mat"/>
    <n v="4"/>
    <n v="1200"/>
    <n v="10"/>
    <n v="4320"/>
    <n v="1944"/>
    <n v="2376"/>
    <s v="B2B"/>
    <s v="Credit Card"/>
    <s v="No"/>
    <s v="Nov"/>
    <n v="2023"/>
    <n v="0.55000000000000004"/>
    <s v="Small"/>
    <s v="Medium Profit"/>
    <x v="32"/>
    <x v="32"/>
  </r>
  <r>
    <s v="ORD-0132"/>
    <d v="2024-09-13T00:00:00"/>
    <x v="3"/>
    <s v="France"/>
    <s v="Amit Kumar"/>
    <x v="1"/>
    <s v="Headphones"/>
    <n v="37"/>
    <n v="8000"/>
    <n v="5"/>
    <n v="281200"/>
    <n v="154660"/>
    <n v="126540"/>
    <s v="Enterprise"/>
    <s v="Cash"/>
    <s v="No"/>
    <s v="Sep"/>
    <n v="2024"/>
    <n v="0.45"/>
    <s v="Small"/>
    <s v="Low Profit"/>
    <x v="11"/>
    <x v="11"/>
  </r>
  <r>
    <s v="ORD-0133"/>
    <d v="2024-09-05T00:00:00"/>
    <x v="1"/>
    <s v="Canada"/>
    <s v="Priya Mehta"/>
    <x v="2"/>
    <s v="Blender"/>
    <n v="33"/>
    <n v="5000"/>
    <n v="5"/>
    <n v="156750"/>
    <n v="78375"/>
    <n v="78375"/>
    <s v="B2B"/>
    <s v="Cash"/>
    <s v="No"/>
    <s v="Sep"/>
    <n v="2024"/>
    <n v="0.5"/>
    <s v="Small"/>
    <s v="Medium Profit"/>
    <x v="11"/>
    <x v="11"/>
  </r>
  <r>
    <s v="ORD-0134"/>
    <d v="2024-05-17T00:00:00"/>
    <x v="2"/>
    <s v="Argentina"/>
    <s v="Anjali Singh"/>
    <x v="2"/>
    <s v="Lamp"/>
    <n v="27"/>
    <n v="1500"/>
    <n v="10"/>
    <n v="36450"/>
    <n v="18225"/>
    <n v="18225"/>
    <s v="B2B"/>
    <s v="Net Banking"/>
    <s v="Yes"/>
    <s v="May"/>
    <n v="2024"/>
    <n v="0.5"/>
    <s v="Small"/>
    <s v="Medium Profit"/>
    <x v="34"/>
    <x v="34"/>
  </r>
  <r>
    <s v="ORD-0135"/>
    <d v="2022-05-11T00:00:00"/>
    <x v="1"/>
    <s v="Canada"/>
    <s v="Vikram Nair"/>
    <x v="2"/>
    <s v="Rug"/>
    <n v="10"/>
    <n v="4000"/>
    <n v="10"/>
    <n v="36000"/>
    <n v="18000"/>
    <n v="18000"/>
    <s v="Enterprise"/>
    <s v="UPI"/>
    <s v="No"/>
    <s v="May"/>
    <n v="2022"/>
    <n v="0.5"/>
    <s v="Small"/>
    <s v="Medium Profit"/>
    <x v="13"/>
    <x v="13"/>
  </r>
  <r>
    <s v="ORD-0136"/>
    <d v="2023-11-10T00:00:00"/>
    <x v="3"/>
    <s v="UK"/>
    <s v="Neha Sharma"/>
    <x v="1"/>
    <s v="Tablet"/>
    <n v="36"/>
    <n v="35000"/>
    <n v="15"/>
    <n v="1071000"/>
    <n v="589050"/>
    <n v="481950"/>
    <s v="B2B"/>
    <s v="Wallet"/>
    <s v="No"/>
    <s v="Nov"/>
    <n v="2023"/>
    <n v="0.45"/>
    <s v="Large"/>
    <s v="Low Profit"/>
    <x v="32"/>
    <x v="32"/>
  </r>
  <r>
    <s v="ORD-0137"/>
    <d v="2022-06-21T00:00:00"/>
    <x v="3"/>
    <s v="France"/>
    <s v="Anjali Singh"/>
    <x v="1"/>
    <s v="Tablet"/>
    <n v="20"/>
    <n v="35000"/>
    <n v="5"/>
    <n v="665000"/>
    <n v="365750"/>
    <n v="299250"/>
    <s v="B2C"/>
    <s v="Cash"/>
    <s v="No"/>
    <s v="Jun"/>
    <n v="2022"/>
    <n v="0.45"/>
    <s v="Medium"/>
    <s v="Low Profit"/>
    <x v="4"/>
    <x v="4"/>
  </r>
  <r>
    <s v="ORD-0138"/>
    <d v="2023-01-08T00:00:00"/>
    <x v="2"/>
    <s v="Brazil"/>
    <s v="Priya Mehta"/>
    <x v="2"/>
    <s v="Blender"/>
    <n v="33"/>
    <n v="5000"/>
    <n v="20"/>
    <n v="132000"/>
    <n v="66000"/>
    <n v="66000"/>
    <s v="B2B"/>
    <s v="Net Banking"/>
    <s v="Yes"/>
    <s v="Jan"/>
    <n v="2023"/>
    <n v="0.5"/>
    <s v="Small"/>
    <s v="Medium Profit"/>
    <x v="35"/>
    <x v="35"/>
  </r>
  <r>
    <s v="ORD-0139"/>
    <d v="2022-09-20T00:00:00"/>
    <x v="3"/>
    <s v="UK"/>
    <s v="Rahul Gupta"/>
    <x v="0"/>
    <s v="Cap"/>
    <n v="11"/>
    <n v="600"/>
    <n v="15"/>
    <n v="5610"/>
    <n v="2244"/>
    <n v="3366"/>
    <s v="B2C"/>
    <s v="Net Banking"/>
    <s v="No"/>
    <s v="Sep"/>
    <n v="2022"/>
    <n v="0.6"/>
    <s v="Small"/>
    <s v="High Profit"/>
    <x v="17"/>
    <x v="17"/>
  </r>
  <r>
    <s v="ORD-0140"/>
    <d v="2023-04-15T00:00:00"/>
    <x v="0"/>
    <s v="China"/>
    <s v="Pooja Patel"/>
    <x v="0"/>
    <s v="Cap"/>
    <n v="16"/>
    <n v="600"/>
    <n v="10"/>
    <n v="8640"/>
    <n v="3456"/>
    <n v="5184"/>
    <s v="B2B"/>
    <s v="Net Banking"/>
    <s v="No"/>
    <s v="Apr"/>
    <n v="2023"/>
    <n v="0.6"/>
    <s v="Small"/>
    <s v="High Profit"/>
    <x v="26"/>
    <x v="26"/>
  </r>
  <r>
    <s v="ORD-0141"/>
    <d v="2024-05-15T00:00:00"/>
    <x v="0"/>
    <s v="Japan"/>
    <s v="Amit Kumar"/>
    <x v="3"/>
    <s v="Dumbbell"/>
    <n v="13"/>
    <n v="3000"/>
    <n v="20"/>
    <n v="31200"/>
    <n v="14040"/>
    <n v="17160"/>
    <s v="B2C"/>
    <s v="Credit Card"/>
    <s v="No"/>
    <s v="May"/>
    <n v="2024"/>
    <n v="0.55000000000000004"/>
    <s v="Small"/>
    <s v="Medium Profit"/>
    <x v="34"/>
    <x v="34"/>
  </r>
  <r>
    <s v="ORD-0142"/>
    <d v="2024-07-28T00:00:00"/>
    <x v="0"/>
    <s v="China"/>
    <s v="Priya Mehta"/>
    <x v="1"/>
    <s v="Tablet"/>
    <n v="6"/>
    <n v="35000"/>
    <n v="5"/>
    <n v="199500"/>
    <n v="109725"/>
    <n v="89775"/>
    <s v="B2C"/>
    <s v="Wallet"/>
    <s v="No"/>
    <s v="Jul"/>
    <n v="2024"/>
    <n v="0.45"/>
    <s v="Small"/>
    <s v="Low Profit"/>
    <x v="15"/>
    <x v="15"/>
  </r>
  <r>
    <s v="ORD-0143"/>
    <d v="2022-10-27T00:00:00"/>
    <x v="3"/>
    <s v="UK"/>
    <s v="Sneha Iyer"/>
    <x v="3"/>
    <s v="Cycle"/>
    <n v="2"/>
    <n v="18000"/>
    <n v="15"/>
    <n v="30600"/>
    <n v="13770"/>
    <n v="16830"/>
    <s v="B2C"/>
    <s v="Wallet"/>
    <s v="No"/>
    <s v="Oct"/>
    <n v="2022"/>
    <n v="0.55000000000000004"/>
    <s v="Small"/>
    <s v="Medium Profit"/>
    <x v="21"/>
    <x v="21"/>
  </r>
  <r>
    <s v="ORD-0144"/>
    <d v="2023-12-08T00:00:00"/>
    <x v="3"/>
    <s v="UK"/>
    <s v="Anjali Singh"/>
    <x v="0"/>
    <s v="Jacket"/>
    <n v="21"/>
    <n v="3500"/>
    <n v="0"/>
    <n v="73500"/>
    <n v="29400"/>
    <n v="44100"/>
    <s v="B2B"/>
    <s v="UPI"/>
    <s v="No"/>
    <s v="Dec"/>
    <n v="2023"/>
    <n v="0.6"/>
    <s v="Small"/>
    <s v="High Profit"/>
    <x v="30"/>
    <x v="30"/>
  </r>
  <r>
    <s v="ORD-0145"/>
    <d v="2022-03-10T00:00:00"/>
    <x v="3"/>
    <s v="France"/>
    <s v="Rahul Gupta"/>
    <x v="3"/>
    <s v="Tennis Racket"/>
    <n v="40"/>
    <n v="5500"/>
    <n v="0"/>
    <n v="220000"/>
    <n v="99000"/>
    <n v="121000"/>
    <s v="B2B"/>
    <s v="Net Banking"/>
    <s v="No"/>
    <s v="Mar"/>
    <n v="2022"/>
    <n v="0.55000000000000004"/>
    <s v="Small"/>
    <s v="Medium Profit"/>
    <x v="1"/>
    <x v="1"/>
  </r>
  <r>
    <s v="ORD-0146"/>
    <d v="2023-02-27T00:00:00"/>
    <x v="2"/>
    <s v="Argentina"/>
    <s v="Priya Mehta"/>
    <x v="2"/>
    <s v="Air Fryer"/>
    <n v="20"/>
    <n v="8500"/>
    <n v="0"/>
    <n v="170000"/>
    <n v="85000"/>
    <n v="85000"/>
    <s v="B2B"/>
    <s v="Cash"/>
    <s v="No"/>
    <s v="Feb"/>
    <n v="2023"/>
    <n v="0.5"/>
    <s v="Small"/>
    <s v="Medium Profit"/>
    <x v="6"/>
    <x v="6"/>
  </r>
  <r>
    <s v="ORD-0147"/>
    <d v="2024-06-03T00:00:00"/>
    <x v="1"/>
    <s v="Canada"/>
    <s v="Neha Sharma"/>
    <x v="1"/>
    <s v="Smartwatch"/>
    <n v="37"/>
    <n v="15000"/>
    <n v="5"/>
    <n v="527250"/>
    <n v="289987.5"/>
    <n v="237262.5"/>
    <s v="B2C"/>
    <s v="Cash"/>
    <s v="No"/>
    <s v="Jun"/>
    <n v="2024"/>
    <n v="0.45"/>
    <s v="Medium"/>
    <s v="Low Profit"/>
    <x v="25"/>
    <x v="25"/>
  </r>
  <r>
    <s v="ORD-0148"/>
    <d v="2022-01-20T00:00:00"/>
    <x v="0"/>
    <s v="India"/>
    <s v="Neha Sharma"/>
    <x v="3"/>
    <s v="Dumbbell"/>
    <n v="43"/>
    <n v="3000"/>
    <n v="0"/>
    <n v="129000"/>
    <n v="58050"/>
    <n v="70950"/>
    <s v="B2C"/>
    <s v="Credit Card"/>
    <s v="Yes"/>
    <s v="Jan"/>
    <n v="2022"/>
    <n v="0.55000000000000004"/>
    <s v="Small"/>
    <s v="Medium Profit"/>
    <x v="10"/>
    <x v="10"/>
  </r>
  <r>
    <s v="ORD-0149"/>
    <d v="2024-10-18T00:00:00"/>
    <x v="1"/>
    <s v="Canada"/>
    <s v="Pooja Patel"/>
    <x v="1"/>
    <s v="Headphones"/>
    <n v="24"/>
    <n v="8000"/>
    <n v="10"/>
    <n v="172800"/>
    <n v="95040"/>
    <n v="77760"/>
    <s v="B2C"/>
    <s v="Credit Card"/>
    <s v="No"/>
    <s v="Oct"/>
    <n v="2024"/>
    <n v="0.45"/>
    <s v="Small"/>
    <s v="Low Profit"/>
    <x v="31"/>
    <x v="31"/>
  </r>
  <r>
    <s v="ORD-0150"/>
    <d v="2023-11-08T00:00:00"/>
    <x v="1"/>
    <s v="Canada"/>
    <s v="Rahul Gupta"/>
    <x v="1"/>
    <s v="Tablet"/>
    <n v="35"/>
    <n v="35000"/>
    <n v="10"/>
    <n v="1102500"/>
    <n v="606375"/>
    <n v="496125"/>
    <s v="Enterprise"/>
    <s v="Cash"/>
    <s v="No"/>
    <s v="Nov"/>
    <n v="2023"/>
    <n v="0.45"/>
    <s v="Large"/>
    <s v="Low Profit"/>
    <x v="32"/>
    <x v="32"/>
  </r>
  <r>
    <s v="ORD-0151"/>
    <d v="2024-07-21T00:00:00"/>
    <x v="2"/>
    <s v="Brazil"/>
    <s v="Priya Mehta"/>
    <x v="3"/>
    <s v="Yoga Mat"/>
    <n v="19"/>
    <n v="1200"/>
    <n v="5"/>
    <n v="21660"/>
    <n v="9747"/>
    <n v="11913"/>
    <s v="B2B"/>
    <s v="Credit Card"/>
    <s v="No"/>
    <s v="Jul"/>
    <n v="2024"/>
    <n v="0.55000000000000004"/>
    <s v="Small"/>
    <s v="Medium Profit"/>
    <x v="15"/>
    <x v="15"/>
  </r>
  <r>
    <s v="ORD-0152"/>
    <d v="2023-09-10T00:00:00"/>
    <x v="3"/>
    <s v="France"/>
    <s v="Pooja Patel"/>
    <x v="2"/>
    <s v="Blender"/>
    <n v="49"/>
    <n v="5000"/>
    <n v="5"/>
    <n v="232750"/>
    <n v="116375"/>
    <n v="116375"/>
    <s v="B2C"/>
    <s v="Credit Card"/>
    <s v="No"/>
    <s v="Sep"/>
    <n v="2023"/>
    <n v="0.5"/>
    <s v="Small"/>
    <s v="Medium Profit"/>
    <x v="7"/>
    <x v="7"/>
  </r>
  <r>
    <s v="ORD-0153"/>
    <d v="2023-10-09T00:00:00"/>
    <x v="1"/>
    <s v="Canada"/>
    <s v="Rohan Joshi"/>
    <x v="3"/>
    <s v="Tennis Racket"/>
    <n v="25"/>
    <n v="5500"/>
    <n v="10"/>
    <n v="123750"/>
    <n v="55687.5"/>
    <n v="68062.5"/>
    <s v="B2C"/>
    <s v="Cash"/>
    <s v="No"/>
    <s v="Oct"/>
    <n v="2023"/>
    <n v="0.55000000000000004"/>
    <s v="Small"/>
    <s v="Medium Profit"/>
    <x v="14"/>
    <x v="14"/>
  </r>
  <r>
    <s v="ORD-0154"/>
    <d v="2023-12-26T00:00:00"/>
    <x v="0"/>
    <s v="India"/>
    <s v="Rohan Joshi"/>
    <x v="1"/>
    <s v="Headphones"/>
    <n v="39"/>
    <n v="8000"/>
    <n v="5"/>
    <n v="296400"/>
    <n v="163020"/>
    <n v="133380"/>
    <s v="B2C"/>
    <s v="Net Banking"/>
    <s v="Yes"/>
    <s v="Dec"/>
    <n v="2023"/>
    <n v="0.45"/>
    <s v="Small"/>
    <s v="Low Profit"/>
    <x v="30"/>
    <x v="30"/>
  </r>
  <r>
    <s v="ORD-0155"/>
    <d v="2022-07-03T00:00:00"/>
    <x v="0"/>
    <s v="China"/>
    <s v="Vikram Nair"/>
    <x v="2"/>
    <s v="Lamp"/>
    <n v="39"/>
    <n v="1500"/>
    <n v="15"/>
    <n v="49725"/>
    <n v="24862.5"/>
    <n v="24862.5"/>
    <s v="Enterprise"/>
    <s v="Cash"/>
    <s v="No"/>
    <s v="Jul"/>
    <n v="2022"/>
    <n v="0.5"/>
    <s v="Small"/>
    <s v="Medium Profit"/>
    <x v="16"/>
    <x v="16"/>
  </r>
  <r>
    <s v="ORD-0156"/>
    <d v="2023-11-15T00:00:00"/>
    <x v="1"/>
    <s v="Canada"/>
    <s v="Neha Sharma"/>
    <x v="3"/>
    <s v="Cycle"/>
    <n v="41"/>
    <n v="18000"/>
    <n v="0"/>
    <n v="738000"/>
    <n v="332100"/>
    <n v="405900"/>
    <s v="Enterprise"/>
    <s v="Cash"/>
    <s v="No"/>
    <s v="Nov"/>
    <n v="2023"/>
    <n v="0.55000000000000004"/>
    <s v="Large"/>
    <s v="Medium Profit"/>
    <x v="32"/>
    <x v="32"/>
  </r>
  <r>
    <s v="ORD-0157"/>
    <d v="2023-12-17T00:00:00"/>
    <x v="2"/>
    <s v="Brazil"/>
    <s v="Rahul Gupta"/>
    <x v="3"/>
    <s v="Yoga Mat"/>
    <n v="9"/>
    <n v="1200"/>
    <n v="0"/>
    <n v="10800"/>
    <n v="4860"/>
    <n v="5940"/>
    <s v="Enterprise"/>
    <s v="Net Banking"/>
    <s v="No"/>
    <s v="Dec"/>
    <n v="2023"/>
    <n v="0.55000000000000004"/>
    <s v="Small"/>
    <s v="Medium Profit"/>
    <x v="30"/>
    <x v="30"/>
  </r>
  <r>
    <s v="ORD-0158"/>
    <d v="2023-12-13T00:00:00"/>
    <x v="1"/>
    <s v="USA"/>
    <s v="Pooja Patel"/>
    <x v="2"/>
    <s v="Sofa"/>
    <n v="29"/>
    <n v="25000"/>
    <n v="0"/>
    <n v="725000"/>
    <n v="362500"/>
    <n v="362500"/>
    <s v="B2B"/>
    <s v="Wallet"/>
    <s v="Yes"/>
    <s v="Dec"/>
    <n v="2023"/>
    <n v="0.5"/>
    <s v="Large"/>
    <s v="Medium Profit"/>
    <x v="30"/>
    <x v="30"/>
  </r>
  <r>
    <s v="ORD-0159"/>
    <d v="2023-12-13T00:00:00"/>
    <x v="0"/>
    <s v="China"/>
    <s v="Vikram Nair"/>
    <x v="0"/>
    <s v="Jacket"/>
    <n v="2"/>
    <n v="3500"/>
    <n v="5"/>
    <n v="6650"/>
    <n v="2660"/>
    <n v="3990"/>
    <s v="Enterprise"/>
    <s v="Cash"/>
    <s v="No"/>
    <s v="Dec"/>
    <n v="2023"/>
    <n v="0.6"/>
    <s v="Small"/>
    <s v="High Profit"/>
    <x v="30"/>
    <x v="30"/>
  </r>
  <r>
    <s v="ORD-0160"/>
    <d v="2024-12-04T00:00:00"/>
    <x v="0"/>
    <s v="Japan"/>
    <s v="Pooja Patel"/>
    <x v="0"/>
    <s v="Cap"/>
    <n v="19"/>
    <n v="600"/>
    <n v="15"/>
    <n v="9690"/>
    <n v="3876"/>
    <n v="5814"/>
    <s v="B2B"/>
    <s v="UPI"/>
    <s v="No"/>
    <s v="Dec"/>
    <n v="2024"/>
    <n v="0.6"/>
    <s v="Small"/>
    <s v="High Profit"/>
    <x v="20"/>
    <x v="20"/>
  </r>
  <r>
    <s v="ORD-0161"/>
    <d v="2022-05-15T00:00:00"/>
    <x v="2"/>
    <s v="Argentina"/>
    <s v="Priya Mehta"/>
    <x v="2"/>
    <s v="Sofa"/>
    <n v="46"/>
    <n v="25000"/>
    <n v="0"/>
    <n v="1150000"/>
    <n v="575000"/>
    <n v="575000"/>
    <s v="Enterprise"/>
    <s v="Net Banking"/>
    <s v="Yes"/>
    <s v="May"/>
    <n v="2022"/>
    <n v="0.5"/>
    <s v="Large"/>
    <s v="Medium Profit"/>
    <x v="13"/>
    <x v="13"/>
  </r>
  <r>
    <s v="ORD-0162"/>
    <d v="2023-08-28T00:00:00"/>
    <x v="2"/>
    <s v="Brazil"/>
    <s v="Anjali Singh"/>
    <x v="0"/>
    <s v="Jacket"/>
    <n v="13"/>
    <n v="3500"/>
    <n v="5"/>
    <n v="43225"/>
    <n v="17290"/>
    <n v="25935"/>
    <s v="B2C"/>
    <s v="Credit Card"/>
    <s v="No"/>
    <s v="Aug"/>
    <n v="2023"/>
    <n v="0.6"/>
    <s v="Small"/>
    <s v="High Profit"/>
    <x v="19"/>
    <x v="19"/>
  </r>
  <r>
    <s v="ORD-0163"/>
    <d v="2023-12-18T00:00:00"/>
    <x v="0"/>
    <s v="Japan"/>
    <s v="Amit Kumar"/>
    <x v="0"/>
    <s v="Cap"/>
    <n v="6"/>
    <n v="600"/>
    <n v="0"/>
    <n v="3600"/>
    <n v="1440"/>
    <n v="2160"/>
    <s v="B2C"/>
    <s v="Cash"/>
    <s v="No"/>
    <s v="Dec"/>
    <n v="2023"/>
    <n v="0.6"/>
    <s v="Small"/>
    <s v="High Profit"/>
    <x v="30"/>
    <x v="30"/>
  </r>
  <r>
    <s v="ORD-0164"/>
    <d v="2024-10-14T00:00:00"/>
    <x v="3"/>
    <s v="France"/>
    <s v="Priya Mehta"/>
    <x v="0"/>
    <s v="T-Shirt"/>
    <n v="42"/>
    <n v="800"/>
    <n v="0"/>
    <n v="33600"/>
    <n v="13440"/>
    <n v="20160"/>
    <s v="B2C"/>
    <s v="Wallet"/>
    <s v="No"/>
    <s v="Oct"/>
    <n v="2024"/>
    <n v="0.6"/>
    <s v="Small"/>
    <s v="High Profit"/>
    <x v="31"/>
    <x v="31"/>
  </r>
  <r>
    <s v="ORD-0165"/>
    <d v="2023-11-05T00:00:00"/>
    <x v="2"/>
    <s v="Brazil"/>
    <s v="Rohan Joshi"/>
    <x v="1"/>
    <s v="Laptop"/>
    <n v="34"/>
    <n v="75000"/>
    <n v="5"/>
    <n v="2422500"/>
    <n v="1332375"/>
    <n v="1090125"/>
    <s v="B2B"/>
    <s v="UPI"/>
    <s v="No"/>
    <s v="Nov"/>
    <n v="2023"/>
    <n v="0.45"/>
    <s v="Large"/>
    <s v="Low Profit"/>
    <x v="32"/>
    <x v="32"/>
  </r>
  <r>
    <s v="ORD-0166"/>
    <d v="2023-09-23T00:00:00"/>
    <x v="2"/>
    <s v="Argentina"/>
    <s v="Amit Kumar"/>
    <x v="2"/>
    <s v="Blender"/>
    <n v="17"/>
    <n v="5000"/>
    <n v="5"/>
    <n v="80750"/>
    <n v="40375"/>
    <n v="40375"/>
    <s v="B2C"/>
    <s v="UPI"/>
    <s v="Yes"/>
    <s v="Sep"/>
    <n v="2023"/>
    <n v="0.5"/>
    <s v="Small"/>
    <s v="Medium Profit"/>
    <x v="7"/>
    <x v="7"/>
  </r>
  <r>
    <s v="ORD-0167"/>
    <d v="2023-08-20T00:00:00"/>
    <x v="1"/>
    <s v="USA"/>
    <s v="Neha Sharma"/>
    <x v="0"/>
    <s v="Sneakers"/>
    <n v="43"/>
    <n v="4200"/>
    <n v="20"/>
    <n v="144480"/>
    <n v="57792"/>
    <n v="86688"/>
    <s v="B2C"/>
    <s v="Wallet"/>
    <s v="Yes"/>
    <s v="Aug"/>
    <n v="2023"/>
    <n v="0.6"/>
    <s v="Small"/>
    <s v="High Profit"/>
    <x v="19"/>
    <x v="19"/>
  </r>
  <r>
    <s v="ORD-0168"/>
    <d v="2022-03-27T00:00:00"/>
    <x v="1"/>
    <s v="USA"/>
    <s v="Aarav Shah"/>
    <x v="2"/>
    <s v="Air Fryer"/>
    <n v="50"/>
    <n v="8500"/>
    <n v="20"/>
    <n v="340000"/>
    <n v="170000"/>
    <n v="170000"/>
    <s v="Enterprise"/>
    <s v="Credit Card"/>
    <s v="No"/>
    <s v="Mar"/>
    <n v="2022"/>
    <n v="0.5"/>
    <s v="Medium"/>
    <s v="Medium Profit"/>
    <x v="1"/>
    <x v="1"/>
  </r>
  <r>
    <s v="ORD-0169"/>
    <d v="2024-08-21T00:00:00"/>
    <x v="0"/>
    <s v="China"/>
    <s v="Vikram Nair"/>
    <x v="3"/>
    <s v="Dumbbell"/>
    <n v="44"/>
    <n v="3000"/>
    <n v="15"/>
    <n v="112200"/>
    <n v="50490"/>
    <n v="61710"/>
    <s v="B2C"/>
    <s v="Credit Card"/>
    <s v="No"/>
    <s v="Aug"/>
    <n v="2024"/>
    <n v="0.55000000000000004"/>
    <s v="Small"/>
    <s v="Medium Profit"/>
    <x v="12"/>
    <x v="12"/>
  </r>
  <r>
    <s v="ORD-0170"/>
    <d v="2022-04-06T00:00:00"/>
    <x v="3"/>
    <s v="Germany"/>
    <s v="Pooja Patel"/>
    <x v="3"/>
    <s v="Dumbbell"/>
    <n v="22"/>
    <n v="3000"/>
    <n v="20"/>
    <n v="52800"/>
    <n v="23760"/>
    <n v="29040"/>
    <s v="B2C"/>
    <s v="Net Banking"/>
    <s v="No"/>
    <s v="Apr"/>
    <n v="2022"/>
    <n v="0.55000000000000004"/>
    <s v="Small"/>
    <s v="Medium Profit"/>
    <x v="28"/>
    <x v="28"/>
  </r>
  <r>
    <s v="ORD-0171"/>
    <d v="2023-11-13T00:00:00"/>
    <x v="2"/>
    <s v="Argentina"/>
    <s v="Amit Kumar"/>
    <x v="1"/>
    <s v="Tablet"/>
    <n v="16"/>
    <n v="35000"/>
    <n v="15"/>
    <n v="476000"/>
    <n v="261800"/>
    <n v="214200"/>
    <s v="B2C"/>
    <s v="Cash"/>
    <s v="No"/>
    <s v="Nov"/>
    <n v="2023"/>
    <n v="0.45"/>
    <s v="Medium"/>
    <s v="Low Profit"/>
    <x v="32"/>
    <x v="32"/>
  </r>
  <r>
    <s v="ORD-0172"/>
    <d v="2023-04-05T00:00:00"/>
    <x v="1"/>
    <s v="USA"/>
    <s v="Vikram Nair"/>
    <x v="3"/>
    <s v="Football"/>
    <n v="27"/>
    <n v="900"/>
    <n v="5"/>
    <n v="23085"/>
    <n v="10388.25"/>
    <n v="12696.75"/>
    <s v="B2C"/>
    <s v="Wallet"/>
    <s v="No"/>
    <s v="Apr"/>
    <n v="2023"/>
    <n v="0.55000000000000004"/>
    <s v="Small"/>
    <s v="Medium Profit"/>
    <x v="26"/>
    <x v="26"/>
  </r>
  <r>
    <s v="ORD-0173"/>
    <d v="2023-09-07T00:00:00"/>
    <x v="2"/>
    <s v="Argentina"/>
    <s v="Amit Kumar"/>
    <x v="3"/>
    <s v="Tennis Racket"/>
    <n v="20"/>
    <n v="5500"/>
    <n v="15"/>
    <n v="93500"/>
    <n v="42075"/>
    <n v="51425"/>
    <s v="B2B"/>
    <s v="Cash"/>
    <s v="No"/>
    <s v="Sep"/>
    <n v="2023"/>
    <n v="0.55000000000000004"/>
    <s v="Small"/>
    <s v="Medium Profit"/>
    <x v="7"/>
    <x v="7"/>
  </r>
  <r>
    <s v="ORD-0174"/>
    <d v="2024-09-15T00:00:00"/>
    <x v="2"/>
    <s v="Brazil"/>
    <s v="Neha Sharma"/>
    <x v="2"/>
    <s v="Blender"/>
    <n v="4"/>
    <n v="5000"/>
    <n v="10"/>
    <n v="18000"/>
    <n v="9000"/>
    <n v="9000"/>
    <s v="Enterprise"/>
    <s v="Cash"/>
    <s v="No"/>
    <s v="Sep"/>
    <n v="2024"/>
    <n v="0.5"/>
    <s v="Small"/>
    <s v="Medium Profit"/>
    <x v="11"/>
    <x v="11"/>
  </r>
  <r>
    <s v="ORD-0175"/>
    <d v="2023-07-18T00:00:00"/>
    <x v="1"/>
    <s v="USA"/>
    <s v="Rohan Joshi"/>
    <x v="0"/>
    <s v="T-Shirt"/>
    <n v="47"/>
    <n v="800"/>
    <n v="10"/>
    <n v="33840"/>
    <n v="13536"/>
    <n v="20304"/>
    <s v="B2C"/>
    <s v="Credit Card"/>
    <s v="No"/>
    <s v="Jul"/>
    <n v="2023"/>
    <n v="0.6"/>
    <s v="Small"/>
    <s v="High Profit"/>
    <x v="5"/>
    <x v="5"/>
  </r>
  <r>
    <s v="ORD-0176"/>
    <d v="2024-02-02T00:00:00"/>
    <x v="2"/>
    <s v="Argentina"/>
    <s v="Amit Kumar"/>
    <x v="2"/>
    <s v="Blender"/>
    <n v="25"/>
    <n v="5000"/>
    <n v="20"/>
    <n v="100000"/>
    <n v="50000"/>
    <n v="50000"/>
    <s v="Enterprise"/>
    <s v="Net Banking"/>
    <s v="No"/>
    <s v="Feb"/>
    <n v="2024"/>
    <n v="0.5"/>
    <s v="Small"/>
    <s v="Medium Profit"/>
    <x v="23"/>
    <x v="23"/>
  </r>
  <r>
    <s v="ORD-0177"/>
    <d v="2022-08-05T00:00:00"/>
    <x v="1"/>
    <s v="Canada"/>
    <s v="Anjali Singh"/>
    <x v="2"/>
    <s v="Rug"/>
    <n v="24"/>
    <n v="4000"/>
    <n v="5"/>
    <n v="91200"/>
    <n v="45600"/>
    <n v="45600"/>
    <s v="Enterprise"/>
    <s v="Wallet"/>
    <s v="No"/>
    <s v="Aug"/>
    <n v="2022"/>
    <n v="0.5"/>
    <s v="Small"/>
    <s v="Medium Profit"/>
    <x v="0"/>
    <x v="0"/>
  </r>
  <r>
    <s v="ORD-0178"/>
    <d v="2024-02-17T00:00:00"/>
    <x v="1"/>
    <s v="USA"/>
    <s v="Aarav Shah"/>
    <x v="0"/>
    <s v="T-Shirt"/>
    <n v="31"/>
    <n v="800"/>
    <n v="20"/>
    <n v="19840"/>
    <n v="7936"/>
    <n v="11904"/>
    <s v="B2B"/>
    <s v="Wallet"/>
    <s v="No"/>
    <s v="Feb"/>
    <n v="2024"/>
    <n v="0.6"/>
    <s v="Small"/>
    <s v="High Profit"/>
    <x v="23"/>
    <x v="23"/>
  </r>
  <r>
    <s v="ORD-0179"/>
    <d v="2024-09-05T00:00:00"/>
    <x v="0"/>
    <s v="China"/>
    <s v="Anjali Singh"/>
    <x v="0"/>
    <s v="Jeans"/>
    <n v="40"/>
    <n v="2500"/>
    <n v="10"/>
    <n v="90000"/>
    <n v="36000"/>
    <n v="54000"/>
    <s v="B2C"/>
    <s v="Wallet"/>
    <s v="Yes"/>
    <s v="Sep"/>
    <n v="2024"/>
    <n v="0.6"/>
    <s v="Small"/>
    <s v="High Profit"/>
    <x v="11"/>
    <x v="11"/>
  </r>
  <r>
    <s v="ORD-0180"/>
    <d v="2024-09-18T00:00:00"/>
    <x v="3"/>
    <s v="France"/>
    <s v="Neha Sharma"/>
    <x v="2"/>
    <s v="Lamp"/>
    <n v="2"/>
    <n v="1500"/>
    <n v="10"/>
    <n v="2700"/>
    <n v="1350"/>
    <n v="1350"/>
    <s v="Enterprise"/>
    <s v="Credit Card"/>
    <s v="No"/>
    <s v="Sep"/>
    <n v="2024"/>
    <n v="0.5"/>
    <s v="Small"/>
    <s v="Medium Profit"/>
    <x v="11"/>
    <x v="11"/>
  </r>
  <r>
    <s v="ORD-0181"/>
    <d v="2024-03-19T00:00:00"/>
    <x v="0"/>
    <s v="China"/>
    <s v="Aarav Shah"/>
    <x v="3"/>
    <s v="Cycle"/>
    <n v="42"/>
    <n v="18000"/>
    <n v="20"/>
    <n v="604800"/>
    <n v="272160"/>
    <n v="332640"/>
    <s v="B2B"/>
    <s v="Credit Card"/>
    <s v="Yes"/>
    <s v="Mar"/>
    <n v="2024"/>
    <n v="0.55000000000000004"/>
    <s v="Medium"/>
    <s v="Medium Profit"/>
    <x v="27"/>
    <x v="27"/>
  </r>
  <r>
    <s v="ORD-0182"/>
    <d v="2024-07-06T00:00:00"/>
    <x v="3"/>
    <s v="UK"/>
    <s v="Sneha Iyer"/>
    <x v="1"/>
    <s v="Smartwatch"/>
    <n v="45"/>
    <n v="15000"/>
    <n v="0"/>
    <n v="675000"/>
    <n v="371250"/>
    <n v="303750"/>
    <s v="B2B"/>
    <s v="Cash"/>
    <s v="No"/>
    <s v="Jul"/>
    <n v="2024"/>
    <n v="0.45"/>
    <s v="Medium"/>
    <s v="Low Profit"/>
    <x v="15"/>
    <x v="15"/>
  </r>
  <r>
    <s v="ORD-0183"/>
    <d v="2023-09-14T00:00:00"/>
    <x v="2"/>
    <s v="Argentina"/>
    <s v="Sneha Iyer"/>
    <x v="3"/>
    <s v="Football"/>
    <n v="50"/>
    <n v="900"/>
    <n v="20"/>
    <n v="36000"/>
    <n v="16200"/>
    <n v="19800"/>
    <s v="Enterprise"/>
    <s v="Credit Card"/>
    <s v="No"/>
    <s v="Sep"/>
    <n v="2023"/>
    <n v="0.55000000000000004"/>
    <s v="Small"/>
    <s v="Medium Profit"/>
    <x v="7"/>
    <x v="7"/>
  </r>
  <r>
    <s v="ORD-0184"/>
    <d v="2022-09-17T00:00:00"/>
    <x v="2"/>
    <s v="Argentina"/>
    <s v="Pooja Patel"/>
    <x v="3"/>
    <s v="Cycle"/>
    <n v="12"/>
    <n v="18000"/>
    <n v="15"/>
    <n v="183600"/>
    <n v="82620"/>
    <n v="100980"/>
    <s v="B2C"/>
    <s v="Wallet"/>
    <s v="Yes"/>
    <s v="Sep"/>
    <n v="2022"/>
    <n v="0.55000000000000004"/>
    <s v="Small"/>
    <s v="Medium Profit"/>
    <x v="17"/>
    <x v="17"/>
  </r>
  <r>
    <s v="ORD-0185"/>
    <d v="2023-11-22T00:00:00"/>
    <x v="0"/>
    <s v="China"/>
    <s v="Pooja Patel"/>
    <x v="0"/>
    <s v="Sneakers"/>
    <n v="18"/>
    <n v="4200"/>
    <n v="20"/>
    <n v="60480"/>
    <n v="24192"/>
    <n v="36288"/>
    <s v="B2B"/>
    <s v="Net Banking"/>
    <s v="No"/>
    <s v="Nov"/>
    <n v="2023"/>
    <n v="0.6"/>
    <s v="Small"/>
    <s v="High Profit"/>
    <x v="32"/>
    <x v="32"/>
  </r>
  <r>
    <s v="ORD-0186"/>
    <d v="2023-07-23T00:00:00"/>
    <x v="2"/>
    <s v="Argentina"/>
    <s v="Anjali Singh"/>
    <x v="3"/>
    <s v="Cycle"/>
    <n v="36"/>
    <n v="18000"/>
    <n v="10"/>
    <n v="583200"/>
    <n v="262440"/>
    <n v="320760"/>
    <s v="B2B"/>
    <s v="Wallet"/>
    <s v="No"/>
    <s v="Jul"/>
    <n v="2023"/>
    <n v="0.55000000000000004"/>
    <s v="Medium"/>
    <s v="Medium Profit"/>
    <x v="5"/>
    <x v="5"/>
  </r>
  <r>
    <s v="ORD-0187"/>
    <d v="2024-11-13T00:00:00"/>
    <x v="3"/>
    <s v="Germany"/>
    <s v="Rahul Gupta"/>
    <x v="2"/>
    <s v="Blender"/>
    <n v="19"/>
    <n v="5000"/>
    <n v="0"/>
    <n v="95000"/>
    <n v="47500"/>
    <n v="47500"/>
    <s v="B2C"/>
    <s v="Net Banking"/>
    <s v="No"/>
    <s v="Nov"/>
    <n v="2024"/>
    <n v="0.5"/>
    <s v="Small"/>
    <s v="Medium Profit"/>
    <x v="18"/>
    <x v="18"/>
  </r>
  <r>
    <s v="ORD-0188"/>
    <d v="2024-07-07T00:00:00"/>
    <x v="2"/>
    <s v="Argentina"/>
    <s v="Amit Kumar"/>
    <x v="2"/>
    <s v="Air Fryer"/>
    <n v="7"/>
    <n v="8500"/>
    <n v="20"/>
    <n v="47600"/>
    <n v="23800"/>
    <n v="23800"/>
    <s v="B2B"/>
    <s v="UPI"/>
    <s v="Yes"/>
    <s v="Jul"/>
    <n v="2024"/>
    <n v="0.5"/>
    <s v="Small"/>
    <s v="Medium Profit"/>
    <x v="15"/>
    <x v="15"/>
  </r>
  <r>
    <s v="ORD-0189"/>
    <d v="2022-04-22T00:00:00"/>
    <x v="2"/>
    <s v="Brazil"/>
    <s v="Aarav Shah"/>
    <x v="1"/>
    <s v="Headphones"/>
    <n v="22"/>
    <n v="8000"/>
    <n v="15"/>
    <n v="149600"/>
    <n v="82280"/>
    <n v="67320"/>
    <s v="Enterprise"/>
    <s v="UPI"/>
    <s v="No"/>
    <s v="Apr"/>
    <n v="2022"/>
    <n v="0.45"/>
    <s v="Small"/>
    <s v="Low Profit"/>
    <x v="28"/>
    <x v="28"/>
  </r>
  <r>
    <s v="ORD-0190"/>
    <d v="2022-01-18T00:00:00"/>
    <x v="2"/>
    <s v="Argentina"/>
    <s v="Pooja Patel"/>
    <x v="3"/>
    <s v="Dumbbell"/>
    <n v="49"/>
    <n v="3000"/>
    <n v="10"/>
    <n v="132300"/>
    <n v="59535"/>
    <n v="72765"/>
    <s v="B2C"/>
    <s v="Credit Card"/>
    <s v="No"/>
    <s v="Jan"/>
    <n v="2022"/>
    <n v="0.55000000000000004"/>
    <s v="Small"/>
    <s v="Medium Profit"/>
    <x v="10"/>
    <x v="10"/>
  </r>
  <r>
    <s v="ORD-0191"/>
    <d v="2022-06-21T00:00:00"/>
    <x v="2"/>
    <s v="Brazil"/>
    <s v="Rahul Gupta"/>
    <x v="3"/>
    <s v="Dumbbell"/>
    <n v="3"/>
    <n v="3000"/>
    <n v="15"/>
    <n v="7650"/>
    <n v="3442.5"/>
    <n v="4207.5"/>
    <s v="B2B"/>
    <s v="Net Banking"/>
    <s v="No"/>
    <s v="Jun"/>
    <n v="2022"/>
    <n v="0.55000000000000004"/>
    <s v="Small"/>
    <s v="Medium Profit"/>
    <x v="4"/>
    <x v="4"/>
  </r>
  <r>
    <s v="ORD-0192"/>
    <d v="2022-03-01T00:00:00"/>
    <x v="0"/>
    <s v="China"/>
    <s v="Neha Sharma"/>
    <x v="1"/>
    <s v="Tablet"/>
    <n v="19"/>
    <n v="35000"/>
    <n v="15"/>
    <n v="565250"/>
    <n v="310887.5"/>
    <n v="254362.5"/>
    <s v="Enterprise"/>
    <s v="Cash"/>
    <s v="Yes"/>
    <s v="Mar"/>
    <n v="2022"/>
    <n v="0.45"/>
    <s v="Medium"/>
    <s v="Low Profit"/>
    <x v="1"/>
    <x v="1"/>
  </r>
  <r>
    <s v="ORD-0193"/>
    <d v="2022-09-28T00:00:00"/>
    <x v="3"/>
    <s v="Germany"/>
    <s v="Sneha Iyer"/>
    <x v="1"/>
    <s v="Tablet"/>
    <n v="11"/>
    <n v="35000"/>
    <n v="15"/>
    <n v="327250"/>
    <n v="179987.5"/>
    <n v="147262.5"/>
    <s v="Enterprise"/>
    <s v="UPI"/>
    <s v="No"/>
    <s v="Sep"/>
    <n v="2022"/>
    <n v="0.45"/>
    <s v="Medium"/>
    <s v="Low Profit"/>
    <x v="17"/>
    <x v="17"/>
  </r>
  <r>
    <s v="ORD-0194"/>
    <d v="2022-01-24T00:00:00"/>
    <x v="0"/>
    <s v="Japan"/>
    <s v="Neha Sharma"/>
    <x v="0"/>
    <s v="Sneakers"/>
    <n v="40"/>
    <n v="4200"/>
    <n v="15"/>
    <n v="142800"/>
    <n v="57120"/>
    <n v="85680"/>
    <s v="Enterprise"/>
    <s v="Net Banking"/>
    <s v="No"/>
    <s v="Jan"/>
    <n v="2022"/>
    <n v="0.6"/>
    <s v="Small"/>
    <s v="High Profit"/>
    <x v="10"/>
    <x v="10"/>
  </r>
  <r>
    <s v="ORD-0195"/>
    <d v="2022-06-13T00:00:00"/>
    <x v="1"/>
    <s v="USA"/>
    <s v="Rahul Gupta"/>
    <x v="3"/>
    <s v="Cycle"/>
    <n v="16"/>
    <n v="18000"/>
    <n v="0"/>
    <n v="288000"/>
    <n v="129600"/>
    <n v="158400"/>
    <s v="B2C"/>
    <s v="UPI"/>
    <s v="No"/>
    <s v="Jun"/>
    <n v="2022"/>
    <n v="0.55000000000000004"/>
    <s v="Small"/>
    <s v="Medium Profit"/>
    <x v="4"/>
    <x v="4"/>
  </r>
  <r>
    <s v="ORD-0196"/>
    <d v="2024-05-25T00:00:00"/>
    <x v="0"/>
    <s v="Japan"/>
    <s v="Vikram Nair"/>
    <x v="1"/>
    <s v="Tablet"/>
    <n v="42"/>
    <n v="35000"/>
    <n v="10"/>
    <n v="1323000"/>
    <n v="727650"/>
    <n v="595350"/>
    <s v="B2B"/>
    <s v="Credit Card"/>
    <s v="No"/>
    <s v="May"/>
    <n v="2024"/>
    <n v="0.45"/>
    <s v="Large"/>
    <s v="Low Profit"/>
    <x v="34"/>
    <x v="34"/>
  </r>
  <r>
    <s v="ORD-0197"/>
    <d v="2024-06-10T00:00:00"/>
    <x v="2"/>
    <s v="Argentina"/>
    <s v="Amit Kumar"/>
    <x v="2"/>
    <s v="Blender"/>
    <n v="41"/>
    <n v="5000"/>
    <n v="10"/>
    <n v="184500"/>
    <n v="92250"/>
    <n v="92250"/>
    <s v="Enterprise"/>
    <s v="UPI"/>
    <s v="No"/>
    <s v="Jun"/>
    <n v="2024"/>
    <n v="0.5"/>
    <s v="Small"/>
    <s v="Medium Profit"/>
    <x v="25"/>
    <x v="25"/>
  </r>
  <r>
    <s v="ORD-0198"/>
    <d v="2023-03-05T00:00:00"/>
    <x v="3"/>
    <s v="UK"/>
    <s v="Pooja Patel"/>
    <x v="2"/>
    <s v="Lamp"/>
    <n v="45"/>
    <n v="1500"/>
    <n v="20"/>
    <n v="54000"/>
    <n v="27000"/>
    <n v="27000"/>
    <s v="Enterprise"/>
    <s v="UPI"/>
    <s v="No"/>
    <s v="Mar"/>
    <n v="2023"/>
    <n v="0.5"/>
    <s v="Small"/>
    <s v="Medium Profit"/>
    <x v="22"/>
    <x v="22"/>
  </r>
  <r>
    <s v="ORD-0199"/>
    <d v="2023-04-22T00:00:00"/>
    <x v="1"/>
    <s v="Canada"/>
    <s v="Amit Kumar"/>
    <x v="2"/>
    <s v="Blender"/>
    <n v="37"/>
    <n v="5000"/>
    <n v="0"/>
    <n v="185000"/>
    <n v="92500"/>
    <n v="92500"/>
    <s v="Enterprise"/>
    <s v="Wallet"/>
    <s v="No"/>
    <s v="Apr"/>
    <n v="2023"/>
    <n v="0.5"/>
    <s v="Small"/>
    <s v="Medium Profit"/>
    <x v="26"/>
    <x v="26"/>
  </r>
  <r>
    <s v="ORD-0200"/>
    <d v="2023-01-19T00:00:00"/>
    <x v="2"/>
    <s v="Brazil"/>
    <s v="Anjali Singh"/>
    <x v="3"/>
    <s v="Yoga Mat"/>
    <n v="44"/>
    <n v="1200"/>
    <n v="5"/>
    <n v="50160"/>
    <n v="22572"/>
    <n v="27588"/>
    <s v="B2C"/>
    <s v="Credit Card"/>
    <s v="Yes"/>
    <s v="Jan"/>
    <n v="2023"/>
    <n v="0.55000000000000004"/>
    <s v="Small"/>
    <s v="Medium Profit"/>
    <x v="35"/>
    <x v="35"/>
  </r>
  <r>
    <s v="ORD-0201"/>
    <d v="2024-09-15T00:00:00"/>
    <x v="1"/>
    <s v="Canada"/>
    <s v="Rahul Gupta"/>
    <x v="3"/>
    <s v="Tennis Racket"/>
    <n v="37"/>
    <n v="5500"/>
    <n v="0"/>
    <n v="203500"/>
    <n v="91575"/>
    <n v="111925"/>
    <s v="B2C"/>
    <s v="Net Banking"/>
    <s v="Yes"/>
    <s v="Sep"/>
    <n v="2024"/>
    <n v="0.55000000000000004"/>
    <s v="Small"/>
    <s v="Medium Profit"/>
    <x v="11"/>
    <x v="11"/>
  </r>
  <r>
    <s v="ORD-0202"/>
    <d v="2022-02-13T00:00:00"/>
    <x v="0"/>
    <s v="India"/>
    <s v="Sneha Iyer"/>
    <x v="1"/>
    <s v="Laptop"/>
    <n v="28"/>
    <n v="75000"/>
    <n v="10"/>
    <n v="1890000"/>
    <n v="1039500"/>
    <n v="850500"/>
    <s v="Enterprise"/>
    <s v="Credit Card"/>
    <s v="No"/>
    <s v="Feb"/>
    <n v="2022"/>
    <n v="0.45"/>
    <s v="Large"/>
    <s v="Low Profit"/>
    <x v="29"/>
    <x v="29"/>
  </r>
  <r>
    <s v="ORD-0203"/>
    <d v="2022-05-16T00:00:00"/>
    <x v="1"/>
    <s v="Canada"/>
    <s v="Rohan Joshi"/>
    <x v="0"/>
    <s v="Sneakers"/>
    <n v="50"/>
    <n v="4200"/>
    <n v="15"/>
    <n v="178500"/>
    <n v="71400"/>
    <n v="107100"/>
    <s v="B2C"/>
    <s v="Cash"/>
    <s v="No"/>
    <s v="May"/>
    <n v="2022"/>
    <n v="0.6"/>
    <s v="Small"/>
    <s v="High Profit"/>
    <x v="13"/>
    <x v="13"/>
  </r>
  <r>
    <s v="ORD-0204"/>
    <d v="2024-01-13T00:00:00"/>
    <x v="1"/>
    <s v="USA"/>
    <s v="Anjali Singh"/>
    <x v="1"/>
    <s v="Smartphone"/>
    <n v="35"/>
    <n v="45000"/>
    <n v="15"/>
    <n v="1338750"/>
    <n v="736312.5"/>
    <n v="602437.5"/>
    <s v="B2B"/>
    <s v="UPI"/>
    <s v="Yes"/>
    <s v="Jan"/>
    <n v="2024"/>
    <n v="0.45"/>
    <s v="Large"/>
    <s v="Low Profit"/>
    <x v="3"/>
    <x v="3"/>
  </r>
  <r>
    <s v="ORD-0205"/>
    <d v="2022-01-25T00:00:00"/>
    <x v="1"/>
    <s v="Canada"/>
    <s v="Pooja Patel"/>
    <x v="3"/>
    <s v="Football"/>
    <n v="25"/>
    <n v="900"/>
    <n v="5"/>
    <n v="21375"/>
    <n v="9618.75"/>
    <n v="11756.25"/>
    <s v="B2C"/>
    <s v="Net Banking"/>
    <s v="No"/>
    <s v="Jan"/>
    <n v="2022"/>
    <n v="0.55000000000000004"/>
    <s v="Small"/>
    <s v="Medium Profit"/>
    <x v="10"/>
    <x v="10"/>
  </r>
  <r>
    <s v="ORD-0206"/>
    <d v="2022-10-09T00:00:00"/>
    <x v="2"/>
    <s v="Brazil"/>
    <s v="Aarav Shah"/>
    <x v="3"/>
    <s v="Football"/>
    <n v="50"/>
    <n v="900"/>
    <n v="0"/>
    <n v="45000"/>
    <n v="20250"/>
    <n v="24750"/>
    <s v="B2B"/>
    <s v="Credit Card"/>
    <s v="No"/>
    <s v="Oct"/>
    <n v="2022"/>
    <n v="0.55000000000000004"/>
    <s v="Small"/>
    <s v="Medium Profit"/>
    <x v="21"/>
    <x v="21"/>
  </r>
  <r>
    <s v="ORD-0207"/>
    <d v="2022-07-20T00:00:00"/>
    <x v="1"/>
    <s v="Canada"/>
    <s v="Neha Sharma"/>
    <x v="1"/>
    <s v="Smartphone"/>
    <n v="48"/>
    <n v="45000"/>
    <n v="0"/>
    <n v="2160000"/>
    <n v="1188000"/>
    <n v="972000"/>
    <s v="B2C"/>
    <s v="UPI"/>
    <s v="No"/>
    <s v="Jul"/>
    <n v="2022"/>
    <n v="0.45"/>
    <s v="Large"/>
    <s v="Low Profit"/>
    <x v="16"/>
    <x v="16"/>
  </r>
  <r>
    <s v="ORD-0208"/>
    <d v="2024-11-07T00:00:00"/>
    <x v="1"/>
    <s v="USA"/>
    <s v="Amit Kumar"/>
    <x v="2"/>
    <s v="Air Fryer"/>
    <n v="47"/>
    <n v="8500"/>
    <n v="20"/>
    <n v="319600"/>
    <n v="159800"/>
    <n v="159800"/>
    <s v="Enterprise"/>
    <s v="Wallet"/>
    <s v="No"/>
    <s v="Nov"/>
    <n v="2024"/>
    <n v="0.5"/>
    <s v="Medium"/>
    <s v="Medium Profit"/>
    <x v="18"/>
    <x v="18"/>
  </r>
  <r>
    <s v="ORD-0209"/>
    <d v="2023-09-08T00:00:00"/>
    <x v="0"/>
    <s v="India"/>
    <s v="Amit Kumar"/>
    <x v="0"/>
    <s v="Jeans"/>
    <n v="20"/>
    <n v="2500"/>
    <n v="10"/>
    <n v="45000"/>
    <n v="18000"/>
    <n v="27000"/>
    <s v="Enterprise"/>
    <s v="Wallet"/>
    <s v="No"/>
    <s v="Sep"/>
    <n v="2023"/>
    <n v="0.6"/>
    <s v="Small"/>
    <s v="High Profit"/>
    <x v="7"/>
    <x v="7"/>
  </r>
  <r>
    <s v="ORD-0210"/>
    <d v="2022-12-21T00:00:00"/>
    <x v="3"/>
    <s v="France"/>
    <s v="Pooja Patel"/>
    <x v="1"/>
    <s v="Tablet"/>
    <n v="42"/>
    <n v="35000"/>
    <n v="15"/>
    <n v="1249500"/>
    <n v="687225"/>
    <n v="562275"/>
    <s v="B2C"/>
    <s v="Cash"/>
    <s v="Yes"/>
    <s v="Dec"/>
    <n v="2022"/>
    <n v="0.45"/>
    <s v="Large"/>
    <s v="Low Profit"/>
    <x v="24"/>
    <x v="24"/>
  </r>
  <r>
    <s v="ORD-0211"/>
    <d v="2024-03-05T00:00:00"/>
    <x v="0"/>
    <s v="Japan"/>
    <s v="Rahul Gupta"/>
    <x v="3"/>
    <s v="Dumbbell"/>
    <n v="15"/>
    <n v="3000"/>
    <n v="10"/>
    <n v="40500"/>
    <n v="18225"/>
    <n v="22275"/>
    <s v="B2C"/>
    <s v="Credit Card"/>
    <s v="No"/>
    <s v="Mar"/>
    <n v="2024"/>
    <n v="0.55000000000000004"/>
    <s v="Small"/>
    <s v="Medium Profit"/>
    <x v="27"/>
    <x v="27"/>
  </r>
  <r>
    <s v="ORD-0212"/>
    <d v="2024-12-14T00:00:00"/>
    <x v="3"/>
    <s v="France"/>
    <s v="Amit Kumar"/>
    <x v="0"/>
    <s v="Jeans"/>
    <n v="16"/>
    <n v="2500"/>
    <n v="10"/>
    <n v="36000"/>
    <n v="14400"/>
    <n v="21600"/>
    <s v="B2C"/>
    <s v="Credit Card"/>
    <s v="No"/>
    <s v="Dec"/>
    <n v="2024"/>
    <n v="0.6"/>
    <s v="Small"/>
    <s v="High Profit"/>
    <x v="20"/>
    <x v="20"/>
  </r>
  <r>
    <s v="ORD-0213"/>
    <d v="2024-05-28T00:00:00"/>
    <x v="0"/>
    <s v="India"/>
    <s v="Amit Kumar"/>
    <x v="0"/>
    <s v="Jacket"/>
    <n v="18"/>
    <n v="3500"/>
    <n v="15"/>
    <n v="53550"/>
    <n v="21420"/>
    <n v="32130"/>
    <s v="Enterprise"/>
    <s v="Credit Card"/>
    <s v="Yes"/>
    <s v="May"/>
    <n v="2024"/>
    <n v="0.6"/>
    <s v="Small"/>
    <s v="High Profit"/>
    <x v="34"/>
    <x v="34"/>
  </r>
  <r>
    <s v="ORD-0214"/>
    <d v="2022-05-07T00:00:00"/>
    <x v="2"/>
    <s v="Argentina"/>
    <s v="Sneha Iyer"/>
    <x v="2"/>
    <s v="Sofa"/>
    <n v="1"/>
    <n v="25000"/>
    <n v="5"/>
    <n v="23750"/>
    <n v="11875"/>
    <n v="11875"/>
    <s v="Enterprise"/>
    <s v="Credit Card"/>
    <s v="No"/>
    <s v="May"/>
    <n v="2022"/>
    <n v="0.5"/>
    <s v="Small"/>
    <s v="Medium Profit"/>
    <x v="13"/>
    <x v="13"/>
  </r>
  <r>
    <s v="ORD-0215"/>
    <d v="2024-07-08T00:00:00"/>
    <x v="2"/>
    <s v="Argentina"/>
    <s v="Sneha Iyer"/>
    <x v="2"/>
    <s v="Sofa"/>
    <n v="25"/>
    <n v="25000"/>
    <n v="15"/>
    <n v="531250"/>
    <n v="265625"/>
    <n v="265625"/>
    <s v="Enterprise"/>
    <s v="Net Banking"/>
    <s v="Yes"/>
    <s v="Jul"/>
    <n v="2024"/>
    <n v="0.5"/>
    <s v="Medium"/>
    <s v="Medium Profit"/>
    <x v="15"/>
    <x v="15"/>
  </r>
  <r>
    <s v="ORD-0216"/>
    <d v="2023-08-09T00:00:00"/>
    <x v="0"/>
    <s v="China"/>
    <s v="Pooja Patel"/>
    <x v="3"/>
    <s v="Yoga Mat"/>
    <n v="47"/>
    <n v="1200"/>
    <n v="15"/>
    <n v="47940"/>
    <n v="21573"/>
    <n v="26367"/>
    <s v="B2B"/>
    <s v="Net Banking"/>
    <s v="No"/>
    <s v="Aug"/>
    <n v="2023"/>
    <n v="0.55000000000000004"/>
    <s v="Small"/>
    <s v="Medium Profit"/>
    <x v="19"/>
    <x v="19"/>
  </r>
  <r>
    <s v="ORD-0217"/>
    <d v="2023-09-14T00:00:00"/>
    <x v="1"/>
    <s v="USA"/>
    <s v="Rahul Gupta"/>
    <x v="1"/>
    <s v="Tablet"/>
    <n v="36"/>
    <n v="35000"/>
    <n v="20"/>
    <n v="1008000"/>
    <n v="554400"/>
    <n v="453600"/>
    <s v="Enterprise"/>
    <s v="Cash"/>
    <s v="Yes"/>
    <s v="Sep"/>
    <n v="2023"/>
    <n v="0.45"/>
    <s v="Large"/>
    <s v="Low Profit"/>
    <x v="7"/>
    <x v="7"/>
  </r>
  <r>
    <s v="ORD-0218"/>
    <d v="2023-07-05T00:00:00"/>
    <x v="2"/>
    <s v="Argentina"/>
    <s v="Sneha Iyer"/>
    <x v="3"/>
    <s v="Football"/>
    <n v="16"/>
    <n v="900"/>
    <n v="15"/>
    <n v="12240"/>
    <n v="5508"/>
    <n v="6732"/>
    <s v="Enterprise"/>
    <s v="Net Banking"/>
    <s v="Yes"/>
    <s v="Jul"/>
    <n v="2023"/>
    <n v="0.55000000000000004"/>
    <s v="Small"/>
    <s v="Medium Profit"/>
    <x v="5"/>
    <x v="5"/>
  </r>
  <r>
    <s v="ORD-0219"/>
    <d v="2023-05-25T00:00:00"/>
    <x v="3"/>
    <s v="France"/>
    <s v="Pooja Patel"/>
    <x v="3"/>
    <s v="Dumbbell"/>
    <n v="47"/>
    <n v="3000"/>
    <n v="10"/>
    <n v="126900"/>
    <n v="57105"/>
    <n v="69795"/>
    <s v="B2B"/>
    <s v="Wallet"/>
    <s v="No"/>
    <s v="May"/>
    <n v="2023"/>
    <n v="0.55000000000000004"/>
    <s v="Small"/>
    <s v="Medium Profit"/>
    <x v="33"/>
    <x v="33"/>
  </r>
  <r>
    <s v="ORD-0220"/>
    <d v="2024-08-06T00:00:00"/>
    <x v="1"/>
    <s v="USA"/>
    <s v="Priya Mehta"/>
    <x v="1"/>
    <s v="Laptop"/>
    <n v="27"/>
    <n v="75000"/>
    <n v="5"/>
    <n v="1923750"/>
    <n v="1058062.5"/>
    <n v="865687.5"/>
    <s v="B2B"/>
    <s v="UPI"/>
    <s v="No"/>
    <s v="Aug"/>
    <n v="2024"/>
    <n v="0.45"/>
    <s v="Large"/>
    <s v="Low Profit"/>
    <x v="12"/>
    <x v="12"/>
  </r>
  <r>
    <s v="ORD-0221"/>
    <d v="2022-01-07T00:00:00"/>
    <x v="3"/>
    <s v="Germany"/>
    <s v="Aarav Shah"/>
    <x v="3"/>
    <s v="Tennis Racket"/>
    <n v="2"/>
    <n v="5500"/>
    <n v="0"/>
    <n v="11000"/>
    <n v="4950"/>
    <n v="6050"/>
    <s v="Enterprise"/>
    <s v="Cash"/>
    <s v="Yes"/>
    <s v="Jan"/>
    <n v="2022"/>
    <n v="0.55000000000000004"/>
    <s v="Small"/>
    <s v="Medium Profit"/>
    <x v="10"/>
    <x v="10"/>
  </r>
  <r>
    <s v="ORD-0222"/>
    <d v="2022-01-01T00:00:00"/>
    <x v="0"/>
    <s v="China"/>
    <s v="Vikram Nair"/>
    <x v="1"/>
    <s v="Smartwatch"/>
    <n v="45"/>
    <n v="15000"/>
    <n v="15"/>
    <n v="573750"/>
    <n v="315562.5"/>
    <n v="258187.5"/>
    <s v="B2B"/>
    <s v="Credit Card"/>
    <s v="No"/>
    <s v="Jan"/>
    <n v="2022"/>
    <n v="0.45"/>
    <s v="Medium"/>
    <s v="Low Profit"/>
    <x v="10"/>
    <x v="10"/>
  </r>
  <r>
    <s v="ORD-0223"/>
    <d v="2024-10-05T00:00:00"/>
    <x v="2"/>
    <s v="Brazil"/>
    <s v="Neha Sharma"/>
    <x v="2"/>
    <s v="Sofa"/>
    <n v="18"/>
    <n v="25000"/>
    <n v="15"/>
    <n v="382500"/>
    <n v="191250"/>
    <n v="191250"/>
    <s v="B2C"/>
    <s v="Cash"/>
    <s v="No"/>
    <s v="Oct"/>
    <n v="2024"/>
    <n v="0.5"/>
    <s v="Medium"/>
    <s v="Medium Profit"/>
    <x v="31"/>
    <x v="31"/>
  </r>
  <r>
    <s v="ORD-0224"/>
    <d v="2024-06-19T00:00:00"/>
    <x v="2"/>
    <s v="Brazil"/>
    <s v="Vikram Nair"/>
    <x v="1"/>
    <s v="Laptop"/>
    <n v="6"/>
    <n v="75000"/>
    <n v="15"/>
    <n v="382500"/>
    <n v="210375"/>
    <n v="172125"/>
    <s v="B2C"/>
    <s v="Wallet"/>
    <s v="No"/>
    <s v="Jun"/>
    <n v="2024"/>
    <n v="0.45"/>
    <s v="Medium"/>
    <s v="Low Profit"/>
    <x v="25"/>
    <x v="25"/>
  </r>
  <r>
    <s v="ORD-0225"/>
    <d v="2024-07-02T00:00:00"/>
    <x v="1"/>
    <s v="USA"/>
    <s v="Priya Mehta"/>
    <x v="3"/>
    <s v="Tennis Racket"/>
    <n v="42"/>
    <n v="5500"/>
    <n v="10"/>
    <n v="207900"/>
    <n v="93555"/>
    <n v="114345"/>
    <s v="B2B"/>
    <s v="Wallet"/>
    <s v="Yes"/>
    <s v="Jul"/>
    <n v="2024"/>
    <n v="0.55000000000000004"/>
    <s v="Small"/>
    <s v="Medium Profit"/>
    <x v="15"/>
    <x v="15"/>
  </r>
  <r>
    <s v="ORD-0226"/>
    <d v="2022-03-08T00:00:00"/>
    <x v="2"/>
    <s v="Argentina"/>
    <s v="Vikram Nair"/>
    <x v="1"/>
    <s v="Laptop"/>
    <n v="44"/>
    <n v="75000"/>
    <n v="10"/>
    <n v="2970000"/>
    <n v="1633500"/>
    <n v="1336500"/>
    <s v="Enterprise"/>
    <s v="Credit Card"/>
    <s v="Yes"/>
    <s v="Mar"/>
    <n v="2022"/>
    <n v="0.45"/>
    <s v="Large"/>
    <s v="Low Profit"/>
    <x v="1"/>
    <x v="1"/>
  </r>
  <r>
    <s v="ORD-0227"/>
    <d v="2022-12-28T00:00:00"/>
    <x v="0"/>
    <s v="India"/>
    <s v="Sneha Iyer"/>
    <x v="0"/>
    <s v="Jeans"/>
    <n v="5"/>
    <n v="2500"/>
    <n v="10"/>
    <n v="11250"/>
    <n v="4500"/>
    <n v="6750"/>
    <s v="Enterprise"/>
    <s v="UPI"/>
    <s v="No"/>
    <s v="Dec"/>
    <n v="2022"/>
    <n v="0.6"/>
    <s v="Small"/>
    <s v="High Profit"/>
    <x v="24"/>
    <x v="24"/>
  </r>
  <r>
    <s v="ORD-0228"/>
    <d v="2024-01-22T00:00:00"/>
    <x v="0"/>
    <s v="Japan"/>
    <s v="Rahul Gupta"/>
    <x v="1"/>
    <s v="Smartwatch"/>
    <n v="48"/>
    <n v="15000"/>
    <n v="10"/>
    <n v="648000"/>
    <n v="356400"/>
    <n v="291600"/>
    <s v="B2B"/>
    <s v="Cash"/>
    <s v="No"/>
    <s v="Jan"/>
    <n v="2024"/>
    <n v="0.45"/>
    <s v="Medium"/>
    <s v="Low Profit"/>
    <x v="3"/>
    <x v="3"/>
  </r>
  <r>
    <s v="ORD-0229"/>
    <d v="2023-03-27T00:00:00"/>
    <x v="1"/>
    <s v="Canada"/>
    <s v="Neha Sharma"/>
    <x v="3"/>
    <s v="Cycle"/>
    <n v="2"/>
    <n v="18000"/>
    <n v="10"/>
    <n v="32400"/>
    <n v="14580"/>
    <n v="17820"/>
    <s v="B2C"/>
    <s v="UPI"/>
    <s v="No"/>
    <s v="Mar"/>
    <n v="2023"/>
    <n v="0.55000000000000004"/>
    <s v="Small"/>
    <s v="Medium Profit"/>
    <x v="22"/>
    <x v="22"/>
  </r>
  <r>
    <s v="ORD-0230"/>
    <d v="2023-11-18T00:00:00"/>
    <x v="3"/>
    <s v="Germany"/>
    <s v="Rahul Gupta"/>
    <x v="3"/>
    <s v="Yoga Mat"/>
    <n v="50"/>
    <n v="1200"/>
    <n v="20"/>
    <n v="48000"/>
    <n v="21600"/>
    <n v="26400"/>
    <s v="B2B"/>
    <s v="Credit Card"/>
    <s v="No"/>
    <s v="Nov"/>
    <n v="2023"/>
    <n v="0.55000000000000004"/>
    <s v="Small"/>
    <s v="Medium Profit"/>
    <x v="32"/>
    <x v="32"/>
  </r>
  <r>
    <s v="ORD-0231"/>
    <d v="2022-06-09T00:00:00"/>
    <x v="2"/>
    <s v="Argentina"/>
    <s v="Rahul Gupta"/>
    <x v="3"/>
    <s v="Cycle"/>
    <n v="24"/>
    <n v="18000"/>
    <n v="0"/>
    <n v="432000"/>
    <n v="194400"/>
    <n v="237600"/>
    <s v="B2B"/>
    <s v="Net Banking"/>
    <s v="No"/>
    <s v="Jun"/>
    <n v="2022"/>
    <n v="0.55000000000000004"/>
    <s v="Medium"/>
    <s v="Medium Profit"/>
    <x v="4"/>
    <x v="4"/>
  </r>
  <r>
    <s v="ORD-0232"/>
    <d v="2024-05-12T00:00:00"/>
    <x v="0"/>
    <s v="India"/>
    <s v="Rahul Gupta"/>
    <x v="1"/>
    <s v="Smartphone"/>
    <n v="28"/>
    <n v="45000"/>
    <n v="15"/>
    <n v="1071000"/>
    <n v="589050"/>
    <n v="481950"/>
    <s v="Enterprise"/>
    <s v="Wallet"/>
    <s v="Yes"/>
    <s v="May"/>
    <n v="2024"/>
    <n v="0.45"/>
    <s v="Large"/>
    <s v="Low Profit"/>
    <x v="34"/>
    <x v="34"/>
  </r>
  <r>
    <s v="ORD-0233"/>
    <d v="2024-03-04T00:00:00"/>
    <x v="1"/>
    <s v="USA"/>
    <s v="Anjali Singh"/>
    <x v="1"/>
    <s v="Smartwatch"/>
    <n v="39"/>
    <n v="15000"/>
    <n v="10"/>
    <n v="526500"/>
    <n v="289575"/>
    <n v="236925"/>
    <s v="B2B"/>
    <s v="Net Banking"/>
    <s v="No"/>
    <s v="Mar"/>
    <n v="2024"/>
    <n v="0.45"/>
    <s v="Medium"/>
    <s v="Low Profit"/>
    <x v="27"/>
    <x v="27"/>
  </r>
  <r>
    <s v="ORD-0234"/>
    <d v="2024-03-13T00:00:00"/>
    <x v="1"/>
    <s v="USA"/>
    <s v="Neha Sharma"/>
    <x v="0"/>
    <s v="Jeans"/>
    <n v="11"/>
    <n v="2500"/>
    <n v="5"/>
    <n v="26125"/>
    <n v="10450"/>
    <n v="15675"/>
    <s v="B2C"/>
    <s v="Net Banking"/>
    <s v="No"/>
    <s v="Mar"/>
    <n v="2024"/>
    <n v="0.6"/>
    <s v="Small"/>
    <s v="High Profit"/>
    <x v="27"/>
    <x v="27"/>
  </r>
  <r>
    <s v="ORD-0235"/>
    <d v="2024-08-05T00:00:00"/>
    <x v="1"/>
    <s v="USA"/>
    <s v="Rohan Joshi"/>
    <x v="2"/>
    <s v="Lamp"/>
    <n v="20"/>
    <n v="1500"/>
    <n v="15"/>
    <n v="25500"/>
    <n v="12750"/>
    <n v="12750"/>
    <s v="B2C"/>
    <s v="Net Banking"/>
    <s v="No"/>
    <s v="Aug"/>
    <n v="2024"/>
    <n v="0.5"/>
    <s v="Small"/>
    <s v="Medium Profit"/>
    <x v="12"/>
    <x v="12"/>
  </r>
  <r>
    <s v="ORD-0236"/>
    <d v="2023-04-24T00:00:00"/>
    <x v="3"/>
    <s v="France"/>
    <s v="Neha Sharma"/>
    <x v="0"/>
    <s v="Jeans"/>
    <n v="7"/>
    <n v="2500"/>
    <n v="5"/>
    <n v="16625"/>
    <n v="6650"/>
    <n v="9975"/>
    <s v="B2B"/>
    <s v="Cash"/>
    <s v="No"/>
    <s v="Apr"/>
    <n v="2023"/>
    <n v="0.6"/>
    <s v="Small"/>
    <s v="High Profit"/>
    <x v="26"/>
    <x v="26"/>
  </r>
  <r>
    <s v="ORD-0237"/>
    <d v="2023-10-27T00:00:00"/>
    <x v="3"/>
    <s v="Germany"/>
    <s v="Pooja Patel"/>
    <x v="2"/>
    <s v="Lamp"/>
    <n v="42"/>
    <n v="1500"/>
    <n v="20"/>
    <n v="50400"/>
    <n v="25200"/>
    <n v="25200"/>
    <s v="B2C"/>
    <s v="Net Banking"/>
    <s v="No"/>
    <s v="Oct"/>
    <n v="2023"/>
    <n v="0.5"/>
    <s v="Small"/>
    <s v="Medium Profit"/>
    <x v="14"/>
    <x v="14"/>
  </r>
  <r>
    <s v="ORD-0238"/>
    <d v="2023-01-16T00:00:00"/>
    <x v="0"/>
    <s v="India"/>
    <s v="Rohan Joshi"/>
    <x v="2"/>
    <s v="Sofa"/>
    <n v="48"/>
    <n v="25000"/>
    <n v="15"/>
    <n v="1020000"/>
    <n v="510000"/>
    <n v="510000"/>
    <s v="B2B"/>
    <s v="Net Banking"/>
    <s v="Yes"/>
    <s v="Jan"/>
    <n v="2023"/>
    <n v="0.5"/>
    <s v="Large"/>
    <s v="Medium Profit"/>
    <x v="35"/>
    <x v="35"/>
  </r>
  <r>
    <s v="ORD-0239"/>
    <d v="2024-01-09T00:00:00"/>
    <x v="3"/>
    <s v="Germany"/>
    <s v="Priya Mehta"/>
    <x v="0"/>
    <s v="Cap"/>
    <n v="35"/>
    <n v="600"/>
    <n v="5"/>
    <n v="19950"/>
    <n v="7980"/>
    <n v="11970"/>
    <s v="B2B"/>
    <s v="Cash"/>
    <s v="Yes"/>
    <s v="Jan"/>
    <n v="2024"/>
    <n v="0.6"/>
    <s v="Small"/>
    <s v="High Profit"/>
    <x v="3"/>
    <x v="3"/>
  </r>
  <r>
    <s v="ORD-0240"/>
    <d v="2023-02-15T00:00:00"/>
    <x v="0"/>
    <s v="China"/>
    <s v="Priya Mehta"/>
    <x v="3"/>
    <s v="Tennis Racket"/>
    <n v="9"/>
    <n v="5500"/>
    <n v="10"/>
    <n v="44550"/>
    <n v="20047.5"/>
    <n v="24502.5"/>
    <s v="B2C"/>
    <s v="UPI"/>
    <s v="No"/>
    <s v="Feb"/>
    <n v="2023"/>
    <n v="0.55000000000000004"/>
    <s v="Small"/>
    <s v="Medium Profit"/>
    <x v="6"/>
    <x v="6"/>
  </r>
  <r>
    <s v="ORD-0241"/>
    <d v="2024-04-26T00:00:00"/>
    <x v="3"/>
    <s v="UK"/>
    <s v="Pooja Patel"/>
    <x v="3"/>
    <s v="Football"/>
    <n v="26"/>
    <n v="900"/>
    <n v="20"/>
    <n v="18720"/>
    <n v="8424"/>
    <n v="10296"/>
    <s v="Enterprise"/>
    <s v="Cash"/>
    <s v="Yes"/>
    <s v="Apr"/>
    <n v="2024"/>
    <n v="0.55000000000000004"/>
    <s v="Small"/>
    <s v="Medium Profit"/>
    <x v="8"/>
    <x v="8"/>
  </r>
  <r>
    <s v="ORD-0242"/>
    <d v="2024-11-02T00:00:00"/>
    <x v="0"/>
    <s v="China"/>
    <s v="Amit Kumar"/>
    <x v="1"/>
    <s v="Laptop"/>
    <n v="50"/>
    <n v="75000"/>
    <n v="5"/>
    <n v="3562500"/>
    <n v="1959375"/>
    <n v="1603125"/>
    <s v="B2B"/>
    <s v="Wallet"/>
    <s v="No"/>
    <s v="Nov"/>
    <n v="2024"/>
    <n v="0.45"/>
    <s v="Large"/>
    <s v="Low Profit"/>
    <x v="18"/>
    <x v="18"/>
  </r>
  <r>
    <s v="ORD-0243"/>
    <d v="2022-03-19T00:00:00"/>
    <x v="3"/>
    <s v="Germany"/>
    <s v="Rohan Joshi"/>
    <x v="1"/>
    <s v="Laptop"/>
    <n v="7"/>
    <n v="75000"/>
    <n v="10"/>
    <n v="472500"/>
    <n v="259875"/>
    <n v="212625"/>
    <s v="Enterprise"/>
    <s v="Wallet"/>
    <s v="No"/>
    <s v="Mar"/>
    <n v="2022"/>
    <n v="0.45"/>
    <s v="Medium"/>
    <s v="Low Profit"/>
    <x v="1"/>
    <x v="1"/>
  </r>
  <r>
    <s v="ORD-0244"/>
    <d v="2024-12-19T00:00:00"/>
    <x v="2"/>
    <s v="Argentina"/>
    <s v="Anjali Singh"/>
    <x v="3"/>
    <s v="Tennis Racket"/>
    <n v="50"/>
    <n v="5500"/>
    <n v="20"/>
    <n v="220000"/>
    <n v="99000"/>
    <n v="121000"/>
    <s v="B2B"/>
    <s v="Net Banking"/>
    <s v="Yes"/>
    <s v="Dec"/>
    <n v="2024"/>
    <n v="0.55000000000000004"/>
    <s v="Small"/>
    <s v="Medium Profit"/>
    <x v="20"/>
    <x v="20"/>
  </r>
  <r>
    <s v="ORD-0245"/>
    <d v="2022-02-16T00:00:00"/>
    <x v="1"/>
    <s v="Canada"/>
    <s v="Rohan Joshi"/>
    <x v="1"/>
    <s v="Laptop"/>
    <n v="47"/>
    <n v="75000"/>
    <n v="5"/>
    <n v="3348750"/>
    <n v="1841812.5"/>
    <n v="1506937.5"/>
    <s v="B2C"/>
    <s v="Net Banking"/>
    <s v="No"/>
    <s v="Feb"/>
    <n v="2022"/>
    <n v="0.45"/>
    <s v="Large"/>
    <s v="Low Profit"/>
    <x v="29"/>
    <x v="29"/>
  </r>
  <r>
    <s v="ORD-0246"/>
    <d v="2024-06-26T00:00:00"/>
    <x v="2"/>
    <s v="Argentina"/>
    <s v="Anjali Singh"/>
    <x v="3"/>
    <s v="Yoga Mat"/>
    <n v="29"/>
    <n v="1200"/>
    <n v="15"/>
    <n v="29580"/>
    <n v="13311"/>
    <n v="16269"/>
    <s v="B2B"/>
    <s v="Net Banking"/>
    <s v="No"/>
    <s v="Jun"/>
    <n v="2024"/>
    <n v="0.55000000000000004"/>
    <s v="Small"/>
    <s v="Medium Profit"/>
    <x v="25"/>
    <x v="25"/>
  </r>
  <r>
    <s v="ORD-0247"/>
    <d v="2022-03-26T00:00:00"/>
    <x v="1"/>
    <s v="USA"/>
    <s v="Anjali Singh"/>
    <x v="1"/>
    <s v="Smartphone"/>
    <n v="48"/>
    <n v="45000"/>
    <n v="5"/>
    <n v="2052000"/>
    <n v="1128600"/>
    <n v="923400"/>
    <s v="B2B"/>
    <s v="Wallet"/>
    <s v="Yes"/>
    <s v="Mar"/>
    <n v="2022"/>
    <n v="0.45"/>
    <s v="Large"/>
    <s v="Low Profit"/>
    <x v="1"/>
    <x v="1"/>
  </r>
  <r>
    <s v="ORD-0248"/>
    <d v="2022-11-11T00:00:00"/>
    <x v="3"/>
    <s v="Germany"/>
    <s v="Sneha Iyer"/>
    <x v="3"/>
    <s v="Dumbbell"/>
    <n v="12"/>
    <n v="3000"/>
    <n v="15"/>
    <n v="30600"/>
    <n v="13770"/>
    <n v="16830"/>
    <s v="B2B"/>
    <s v="Wallet"/>
    <s v="No"/>
    <s v="Nov"/>
    <n v="2022"/>
    <n v="0.55000000000000004"/>
    <s v="Small"/>
    <s v="Medium Profit"/>
    <x v="9"/>
    <x v="9"/>
  </r>
  <r>
    <s v="ORD-0249"/>
    <d v="2023-01-15T00:00:00"/>
    <x v="3"/>
    <s v="Germany"/>
    <s v="Aarav Shah"/>
    <x v="0"/>
    <s v="Sneakers"/>
    <n v="18"/>
    <n v="4200"/>
    <n v="0"/>
    <n v="75600"/>
    <n v="30240"/>
    <n v="45360"/>
    <s v="B2B"/>
    <s v="Wallet"/>
    <s v="Yes"/>
    <s v="Jan"/>
    <n v="2023"/>
    <n v="0.6"/>
    <s v="Small"/>
    <s v="High Profit"/>
    <x v="35"/>
    <x v="35"/>
  </r>
  <r>
    <s v="ORD-0250"/>
    <d v="2022-12-12T00:00:00"/>
    <x v="0"/>
    <s v="India"/>
    <s v="Pooja Patel"/>
    <x v="1"/>
    <s v="Tablet"/>
    <n v="43"/>
    <n v="35000"/>
    <n v="15"/>
    <n v="1279250"/>
    <n v="703587.5"/>
    <n v="575662.5"/>
    <s v="Enterprise"/>
    <s v="Net Banking"/>
    <s v="Yes"/>
    <s v="Dec"/>
    <n v="2022"/>
    <n v="0.45"/>
    <s v="Large"/>
    <s v="Low Profit"/>
    <x v="24"/>
    <x v="24"/>
  </r>
  <r>
    <s v="ORD-0251"/>
    <d v="2024-01-20T00:00:00"/>
    <x v="3"/>
    <s v="France"/>
    <s v="Priya Mehta"/>
    <x v="2"/>
    <s v="Sofa"/>
    <n v="30"/>
    <n v="25000"/>
    <n v="20"/>
    <n v="600000"/>
    <n v="300000"/>
    <n v="300000"/>
    <s v="Enterprise"/>
    <s v="Net Banking"/>
    <s v="No"/>
    <s v="Jan"/>
    <n v="2024"/>
    <n v="0.5"/>
    <s v="Medium"/>
    <s v="Medium Profit"/>
    <x v="3"/>
    <x v="3"/>
  </r>
  <r>
    <s v="ORD-0252"/>
    <d v="2022-06-22T00:00:00"/>
    <x v="2"/>
    <s v="Argentina"/>
    <s v="Priya Mehta"/>
    <x v="0"/>
    <s v="T-Shirt"/>
    <n v="8"/>
    <n v="800"/>
    <n v="5"/>
    <n v="6080"/>
    <n v="2432"/>
    <n v="3648"/>
    <s v="Enterprise"/>
    <s v="UPI"/>
    <s v="No"/>
    <s v="Jun"/>
    <n v="2022"/>
    <n v="0.6"/>
    <s v="Small"/>
    <s v="High Profit"/>
    <x v="4"/>
    <x v="4"/>
  </r>
  <r>
    <s v="ORD-0253"/>
    <d v="2024-09-13T00:00:00"/>
    <x v="3"/>
    <s v="France"/>
    <s v="Rahul Gupta"/>
    <x v="3"/>
    <s v="Tennis Racket"/>
    <n v="12"/>
    <n v="5500"/>
    <n v="15"/>
    <n v="56100"/>
    <n v="25245"/>
    <n v="30855"/>
    <s v="Enterprise"/>
    <s v="UPI"/>
    <s v="Yes"/>
    <s v="Sep"/>
    <n v="2024"/>
    <n v="0.55000000000000004"/>
    <s v="Small"/>
    <s v="Medium Profit"/>
    <x v="11"/>
    <x v="11"/>
  </r>
  <r>
    <s v="ORD-0254"/>
    <d v="2024-12-06T00:00:00"/>
    <x v="3"/>
    <s v="Germany"/>
    <s v="Rahul Gupta"/>
    <x v="0"/>
    <s v="T-Shirt"/>
    <n v="29"/>
    <n v="800"/>
    <n v="20"/>
    <n v="18560"/>
    <n v="7424"/>
    <n v="11136"/>
    <s v="B2C"/>
    <s v="Credit Card"/>
    <s v="No"/>
    <s v="Dec"/>
    <n v="2024"/>
    <n v="0.6"/>
    <s v="Small"/>
    <s v="High Profit"/>
    <x v="20"/>
    <x v="20"/>
  </r>
  <r>
    <s v="ORD-0255"/>
    <d v="2024-08-05T00:00:00"/>
    <x v="2"/>
    <s v="Argentina"/>
    <s v="Amit Kumar"/>
    <x v="3"/>
    <s v="Tennis Racket"/>
    <n v="44"/>
    <n v="5500"/>
    <n v="15"/>
    <n v="205700"/>
    <n v="92565"/>
    <n v="113135"/>
    <s v="Enterprise"/>
    <s v="Cash"/>
    <s v="No"/>
    <s v="Aug"/>
    <n v="2024"/>
    <n v="0.55000000000000004"/>
    <s v="Small"/>
    <s v="Medium Profit"/>
    <x v="12"/>
    <x v="12"/>
  </r>
  <r>
    <s v="ORD-0256"/>
    <d v="2024-08-06T00:00:00"/>
    <x v="1"/>
    <s v="USA"/>
    <s v="Sneha Iyer"/>
    <x v="2"/>
    <s v="Blender"/>
    <n v="18"/>
    <n v="5000"/>
    <n v="5"/>
    <n v="85500"/>
    <n v="42750"/>
    <n v="42750"/>
    <s v="B2C"/>
    <s v="UPI"/>
    <s v="Yes"/>
    <s v="Aug"/>
    <n v="2024"/>
    <n v="0.5"/>
    <s v="Small"/>
    <s v="Medium Profit"/>
    <x v="12"/>
    <x v="12"/>
  </r>
  <r>
    <s v="ORD-0257"/>
    <d v="2024-06-19T00:00:00"/>
    <x v="3"/>
    <s v="France"/>
    <s v="Amit Kumar"/>
    <x v="1"/>
    <s v="Smartwatch"/>
    <n v="8"/>
    <n v="15000"/>
    <n v="10"/>
    <n v="108000"/>
    <n v="59400"/>
    <n v="48600"/>
    <s v="B2C"/>
    <s v="Wallet"/>
    <s v="Yes"/>
    <s v="Jun"/>
    <n v="2024"/>
    <n v="0.45"/>
    <s v="Small"/>
    <s v="Low Profit"/>
    <x v="25"/>
    <x v="25"/>
  </r>
  <r>
    <s v="ORD-0258"/>
    <d v="2022-03-25T00:00:00"/>
    <x v="3"/>
    <s v="France"/>
    <s v="Sneha Iyer"/>
    <x v="3"/>
    <s v="Yoga Mat"/>
    <n v="48"/>
    <n v="1200"/>
    <n v="5"/>
    <n v="54720"/>
    <n v="24624"/>
    <n v="30096"/>
    <s v="B2B"/>
    <s v="Cash"/>
    <s v="No"/>
    <s v="Mar"/>
    <n v="2022"/>
    <n v="0.55000000000000004"/>
    <s v="Small"/>
    <s v="Medium Profit"/>
    <x v="1"/>
    <x v="1"/>
  </r>
  <r>
    <s v="ORD-0259"/>
    <d v="2023-05-12T00:00:00"/>
    <x v="1"/>
    <s v="Canada"/>
    <s v="Priya Mehta"/>
    <x v="0"/>
    <s v="Sneakers"/>
    <n v="48"/>
    <n v="4200"/>
    <n v="20"/>
    <n v="161280"/>
    <n v="64512"/>
    <n v="96768"/>
    <s v="Enterprise"/>
    <s v="Wallet"/>
    <s v="No"/>
    <s v="May"/>
    <n v="2023"/>
    <n v="0.6"/>
    <s v="Small"/>
    <s v="High Profit"/>
    <x v="33"/>
    <x v="33"/>
  </r>
  <r>
    <s v="ORD-0260"/>
    <d v="2024-04-06T00:00:00"/>
    <x v="2"/>
    <s v="Brazil"/>
    <s v="Sneha Iyer"/>
    <x v="1"/>
    <s v="Smartwatch"/>
    <n v="23"/>
    <n v="15000"/>
    <n v="20"/>
    <n v="276000"/>
    <n v="151800"/>
    <n v="124200"/>
    <s v="Enterprise"/>
    <s v="Wallet"/>
    <s v="No"/>
    <s v="Apr"/>
    <n v="2024"/>
    <n v="0.45"/>
    <s v="Small"/>
    <s v="Low Profit"/>
    <x v="8"/>
    <x v="8"/>
  </r>
  <r>
    <s v="ORD-0261"/>
    <d v="2022-11-11T00:00:00"/>
    <x v="0"/>
    <s v="Japan"/>
    <s v="Neha Sharma"/>
    <x v="2"/>
    <s v="Rug"/>
    <n v="44"/>
    <n v="4000"/>
    <n v="0"/>
    <n v="176000"/>
    <n v="88000"/>
    <n v="88000"/>
    <s v="B2C"/>
    <s v="Credit Card"/>
    <s v="No"/>
    <s v="Nov"/>
    <n v="2022"/>
    <n v="0.5"/>
    <s v="Small"/>
    <s v="Medium Profit"/>
    <x v="9"/>
    <x v="9"/>
  </r>
  <r>
    <s v="ORD-0262"/>
    <d v="2023-06-28T00:00:00"/>
    <x v="2"/>
    <s v="Brazil"/>
    <s v="Sneha Iyer"/>
    <x v="0"/>
    <s v="T-Shirt"/>
    <n v="16"/>
    <n v="800"/>
    <n v="15"/>
    <n v="10880"/>
    <n v="4352"/>
    <n v="6528"/>
    <s v="B2B"/>
    <s v="Wallet"/>
    <s v="No"/>
    <s v="Jun"/>
    <n v="2023"/>
    <n v="0.6"/>
    <s v="Small"/>
    <s v="High Profit"/>
    <x v="2"/>
    <x v="2"/>
  </r>
  <r>
    <s v="ORD-0263"/>
    <d v="2023-06-21T00:00:00"/>
    <x v="3"/>
    <s v="Germany"/>
    <s v="Pooja Patel"/>
    <x v="1"/>
    <s v="Laptop"/>
    <n v="26"/>
    <n v="75000"/>
    <n v="20"/>
    <n v="1560000"/>
    <n v="858000"/>
    <n v="702000"/>
    <s v="Enterprise"/>
    <s v="Net Banking"/>
    <s v="No"/>
    <s v="Jun"/>
    <n v="2023"/>
    <n v="0.45"/>
    <s v="Large"/>
    <s v="Low Profit"/>
    <x v="2"/>
    <x v="2"/>
  </r>
  <r>
    <s v="ORD-0264"/>
    <d v="2024-06-16T00:00:00"/>
    <x v="0"/>
    <s v="China"/>
    <s v="Aarav Shah"/>
    <x v="1"/>
    <s v="Headphones"/>
    <n v="41"/>
    <n v="8000"/>
    <n v="10"/>
    <n v="295200"/>
    <n v="162360"/>
    <n v="132840"/>
    <s v="Enterprise"/>
    <s v="Cash"/>
    <s v="No"/>
    <s v="Jun"/>
    <n v="2024"/>
    <n v="0.45"/>
    <s v="Small"/>
    <s v="Low Profit"/>
    <x v="25"/>
    <x v="25"/>
  </r>
  <r>
    <s v="ORD-0265"/>
    <d v="2023-02-14T00:00:00"/>
    <x v="2"/>
    <s v="Argentina"/>
    <s v="Vikram Nair"/>
    <x v="2"/>
    <s v="Sofa"/>
    <n v="22"/>
    <n v="25000"/>
    <n v="20"/>
    <n v="440000"/>
    <n v="220000"/>
    <n v="220000"/>
    <s v="B2B"/>
    <s v="Wallet"/>
    <s v="Yes"/>
    <s v="Feb"/>
    <n v="2023"/>
    <n v="0.5"/>
    <s v="Medium"/>
    <s v="Medium Profit"/>
    <x v="6"/>
    <x v="6"/>
  </r>
  <r>
    <s v="ORD-0266"/>
    <d v="2024-08-26T00:00:00"/>
    <x v="0"/>
    <s v="China"/>
    <s v="Aarav Shah"/>
    <x v="1"/>
    <s v="Laptop"/>
    <n v="41"/>
    <n v="75000"/>
    <n v="15"/>
    <n v="2613750"/>
    <n v="1437562.5"/>
    <n v="1176187.5"/>
    <s v="B2B"/>
    <s v="UPI"/>
    <s v="No"/>
    <s v="Aug"/>
    <n v="2024"/>
    <n v="0.45"/>
    <s v="Large"/>
    <s v="Low Profit"/>
    <x v="12"/>
    <x v="12"/>
  </r>
  <r>
    <s v="ORD-0267"/>
    <d v="2024-05-15T00:00:00"/>
    <x v="1"/>
    <s v="Canada"/>
    <s v="Sneha Iyer"/>
    <x v="0"/>
    <s v="T-Shirt"/>
    <n v="11"/>
    <n v="800"/>
    <n v="10"/>
    <n v="7920"/>
    <n v="3168"/>
    <n v="4752"/>
    <s v="Enterprise"/>
    <s v="Net Banking"/>
    <s v="No"/>
    <s v="May"/>
    <n v="2024"/>
    <n v="0.6"/>
    <s v="Small"/>
    <s v="High Profit"/>
    <x v="34"/>
    <x v="34"/>
  </r>
  <r>
    <s v="ORD-0268"/>
    <d v="2023-05-03T00:00:00"/>
    <x v="0"/>
    <s v="China"/>
    <s v="Rahul Gupta"/>
    <x v="1"/>
    <s v="Headphones"/>
    <n v="41"/>
    <n v="8000"/>
    <n v="10"/>
    <n v="295200"/>
    <n v="162360"/>
    <n v="132840"/>
    <s v="B2C"/>
    <s v="Credit Card"/>
    <s v="No"/>
    <s v="May"/>
    <n v="2023"/>
    <n v="0.45"/>
    <s v="Small"/>
    <s v="Low Profit"/>
    <x v="33"/>
    <x v="33"/>
  </r>
  <r>
    <s v="ORD-0269"/>
    <d v="2022-07-01T00:00:00"/>
    <x v="2"/>
    <s v="Argentina"/>
    <s v="Priya Mehta"/>
    <x v="0"/>
    <s v="Cap"/>
    <n v="15"/>
    <n v="600"/>
    <n v="20"/>
    <n v="7200"/>
    <n v="2880"/>
    <n v="4320"/>
    <s v="B2B"/>
    <s v="Credit Card"/>
    <s v="No"/>
    <s v="Jul"/>
    <n v="2022"/>
    <n v="0.6"/>
    <s v="Small"/>
    <s v="High Profit"/>
    <x v="16"/>
    <x v="16"/>
  </r>
  <r>
    <s v="ORD-0270"/>
    <d v="2023-10-27T00:00:00"/>
    <x v="1"/>
    <s v="Canada"/>
    <s v="Rahul Gupta"/>
    <x v="3"/>
    <s v="Yoga Mat"/>
    <n v="15"/>
    <n v="1200"/>
    <n v="15"/>
    <n v="15300"/>
    <n v="6885"/>
    <n v="8415"/>
    <s v="Enterprise"/>
    <s v="Credit Card"/>
    <s v="No"/>
    <s v="Oct"/>
    <n v="2023"/>
    <n v="0.55000000000000004"/>
    <s v="Small"/>
    <s v="Medium Profit"/>
    <x v="14"/>
    <x v="14"/>
  </r>
  <r>
    <s v="ORD-0271"/>
    <d v="2022-07-11T00:00:00"/>
    <x v="0"/>
    <s v="Japan"/>
    <s v="Rahul Gupta"/>
    <x v="3"/>
    <s v="Dumbbell"/>
    <n v="42"/>
    <n v="3000"/>
    <n v="5"/>
    <n v="119700"/>
    <n v="53865"/>
    <n v="65835"/>
    <s v="Enterprise"/>
    <s v="Wallet"/>
    <s v="No"/>
    <s v="Jul"/>
    <n v="2022"/>
    <n v="0.55000000000000004"/>
    <s v="Small"/>
    <s v="Medium Profit"/>
    <x v="16"/>
    <x v="16"/>
  </r>
  <r>
    <s v="ORD-0272"/>
    <d v="2022-01-20T00:00:00"/>
    <x v="2"/>
    <s v="Argentina"/>
    <s v="Anjali Singh"/>
    <x v="0"/>
    <s v="Sneakers"/>
    <n v="27"/>
    <n v="4200"/>
    <n v="20"/>
    <n v="90720"/>
    <n v="36288"/>
    <n v="54432"/>
    <s v="B2B"/>
    <s v="Credit Card"/>
    <s v="No"/>
    <s v="Jan"/>
    <n v="2022"/>
    <n v="0.6"/>
    <s v="Small"/>
    <s v="High Profit"/>
    <x v="10"/>
    <x v="10"/>
  </r>
  <r>
    <s v="ORD-0273"/>
    <d v="2022-07-05T00:00:00"/>
    <x v="1"/>
    <s v="Canada"/>
    <s v="Anjali Singh"/>
    <x v="3"/>
    <s v="Cycle"/>
    <n v="9"/>
    <n v="18000"/>
    <n v="5"/>
    <n v="153900"/>
    <n v="69255"/>
    <n v="84645"/>
    <s v="Enterprise"/>
    <s v="Credit Card"/>
    <s v="No"/>
    <s v="Jul"/>
    <n v="2022"/>
    <n v="0.55000000000000004"/>
    <s v="Small"/>
    <s v="Medium Profit"/>
    <x v="16"/>
    <x v="16"/>
  </r>
  <r>
    <s v="ORD-0274"/>
    <d v="2023-04-18T00:00:00"/>
    <x v="0"/>
    <s v="China"/>
    <s v="Aarav Shah"/>
    <x v="2"/>
    <s v="Air Fryer"/>
    <n v="34"/>
    <n v="8500"/>
    <n v="20"/>
    <n v="231200"/>
    <n v="115600"/>
    <n v="115600"/>
    <s v="B2B"/>
    <s v="Cash"/>
    <s v="Yes"/>
    <s v="Apr"/>
    <n v="2023"/>
    <n v="0.5"/>
    <s v="Small"/>
    <s v="Medium Profit"/>
    <x v="26"/>
    <x v="26"/>
  </r>
  <r>
    <s v="ORD-0275"/>
    <d v="2023-07-21T00:00:00"/>
    <x v="1"/>
    <s v="USA"/>
    <s v="Pooja Patel"/>
    <x v="3"/>
    <s v="Yoga Mat"/>
    <n v="16"/>
    <n v="1200"/>
    <n v="15"/>
    <n v="16320"/>
    <n v="7344"/>
    <n v="8976"/>
    <s v="B2B"/>
    <s v="Wallet"/>
    <s v="Yes"/>
    <s v="Jul"/>
    <n v="2023"/>
    <n v="0.55000000000000004"/>
    <s v="Small"/>
    <s v="Medium Profit"/>
    <x v="5"/>
    <x v="5"/>
  </r>
  <r>
    <s v="ORD-0276"/>
    <d v="2022-01-12T00:00:00"/>
    <x v="0"/>
    <s v="India"/>
    <s v="Rohan Joshi"/>
    <x v="3"/>
    <s v="Cycle"/>
    <n v="35"/>
    <n v="18000"/>
    <n v="5"/>
    <n v="598500"/>
    <n v="269325"/>
    <n v="329175"/>
    <s v="B2B"/>
    <s v="Credit Card"/>
    <s v="No"/>
    <s v="Jan"/>
    <n v="2022"/>
    <n v="0.55000000000000004"/>
    <s v="Medium"/>
    <s v="Medium Profit"/>
    <x v="10"/>
    <x v="10"/>
  </r>
  <r>
    <s v="ORD-0277"/>
    <d v="2022-05-01T00:00:00"/>
    <x v="0"/>
    <s v="India"/>
    <s v="Aarav Shah"/>
    <x v="1"/>
    <s v="Headphones"/>
    <n v="33"/>
    <n v="8000"/>
    <n v="10"/>
    <n v="237600"/>
    <n v="130680"/>
    <n v="106920"/>
    <s v="B2C"/>
    <s v="Cash"/>
    <s v="Yes"/>
    <s v="May"/>
    <n v="2022"/>
    <n v="0.45"/>
    <s v="Small"/>
    <s v="Low Profit"/>
    <x v="13"/>
    <x v="13"/>
  </r>
  <r>
    <s v="ORD-0278"/>
    <d v="2024-02-03T00:00:00"/>
    <x v="2"/>
    <s v="Argentina"/>
    <s v="Priya Mehta"/>
    <x v="2"/>
    <s v="Blender"/>
    <n v="33"/>
    <n v="5000"/>
    <n v="5"/>
    <n v="156750"/>
    <n v="78375"/>
    <n v="78375"/>
    <s v="Enterprise"/>
    <s v="Net Banking"/>
    <s v="No"/>
    <s v="Feb"/>
    <n v="2024"/>
    <n v="0.5"/>
    <s v="Small"/>
    <s v="Medium Profit"/>
    <x v="23"/>
    <x v="23"/>
  </r>
  <r>
    <s v="ORD-0279"/>
    <d v="2024-02-19T00:00:00"/>
    <x v="1"/>
    <s v="Canada"/>
    <s v="Rohan Joshi"/>
    <x v="0"/>
    <s v="Jacket"/>
    <n v="16"/>
    <n v="3500"/>
    <n v="0"/>
    <n v="56000"/>
    <n v="22400"/>
    <n v="33600"/>
    <s v="B2B"/>
    <s v="Cash"/>
    <s v="No"/>
    <s v="Feb"/>
    <n v="2024"/>
    <n v="0.6"/>
    <s v="Small"/>
    <s v="High Profit"/>
    <x v="23"/>
    <x v="23"/>
  </r>
  <r>
    <s v="ORD-0280"/>
    <d v="2022-04-10T00:00:00"/>
    <x v="2"/>
    <s v="Brazil"/>
    <s v="Aarav Shah"/>
    <x v="0"/>
    <s v="Jacket"/>
    <n v="11"/>
    <n v="3500"/>
    <n v="15"/>
    <n v="32725"/>
    <n v="13090"/>
    <n v="19635"/>
    <s v="Enterprise"/>
    <s v="Wallet"/>
    <s v="No"/>
    <s v="Apr"/>
    <n v="2022"/>
    <n v="0.6"/>
    <s v="Small"/>
    <s v="High Profit"/>
    <x v="28"/>
    <x v="28"/>
  </r>
  <r>
    <s v="ORD-0281"/>
    <d v="2023-05-06T00:00:00"/>
    <x v="0"/>
    <s v="India"/>
    <s v="Vikram Nair"/>
    <x v="1"/>
    <s v="Laptop"/>
    <n v="22"/>
    <n v="75000"/>
    <n v="15"/>
    <n v="1402500"/>
    <n v="771375"/>
    <n v="631125"/>
    <s v="Enterprise"/>
    <s v="Credit Card"/>
    <s v="No"/>
    <s v="May"/>
    <n v="2023"/>
    <n v="0.45"/>
    <s v="Large"/>
    <s v="Low Profit"/>
    <x v="33"/>
    <x v="33"/>
  </r>
  <r>
    <s v="ORD-0282"/>
    <d v="2023-05-23T00:00:00"/>
    <x v="1"/>
    <s v="Canada"/>
    <s v="Pooja Patel"/>
    <x v="2"/>
    <s v="Blender"/>
    <n v="32"/>
    <n v="5000"/>
    <n v="20"/>
    <n v="128000"/>
    <n v="64000"/>
    <n v="64000"/>
    <s v="B2C"/>
    <s v="UPI"/>
    <s v="No"/>
    <s v="May"/>
    <n v="2023"/>
    <n v="0.5"/>
    <s v="Small"/>
    <s v="Medium Profit"/>
    <x v="33"/>
    <x v="33"/>
  </r>
  <r>
    <s v="ORD-0283"/>
    <d v="2023-05-25T00:00:00"/>
    <x v="1"/>
    <s v="USA"/>
    <s v="Sneha Iyer"/>
    <x v="1"/>
    <s v="Laptop"/>
    <n v="1"/>
    <n v="75000"/>
    <n v="5"/>
    <n v="71250"/>
    <n v="39187.5"/>
    <n v="32062.5"/>
    <s v="B2C"/>
    <s v="Net Banking"/>
    <s v="No"/>
    <s v="May"/>
    <n v="2023"/>
    <n v="0.45"/>
    <s v="Small"/>
    <s v="Low Profit"/>
    <x v="33"/>
    <x v="33"/>
  </r>
  <r>
    <s v="ORD-0284"/>
    <d v="2024-01-05T00:00:00"/>
    <x v="2"/>
    <s v="Brazil"/>
    <s v="Amit Kumar"/>
    <x v="3"/>
    <s v="Dumbbell"/>
    <n v="21"/>
    <n v="3000"/>
    <n v="5"/>
    <n v="59850"/>
    <n v="26932.5"/>
    <n v="32917.5"/>
    <s v="Enterprise"/>
    <s v="Net Banking"/>
    <s v="No"/>
    <s v="Jan"/>
    <n v="2024"/>
    <n v="0.55000000000000004"/>
    <s v="Small"/>
    <s v="Medium Profit"/>
    <x v="3"/>
    <x v="3"/>
  </r>
  <r>
    <s v="ORD-0285"/>
    <d v="2023-06-27T00:00:00"/>
    <x v="1"/>
    <s v="Canada"/>
    <s v="Priya Mehta"/>
    <x v="1"/>
    <s v="Smartphone"/>
    <n v="15"/>
    <n v="45000"/>
    <n v="20"/>
    <n v="540000"/>
    <n v="297000"/>
    <n v="243000"/>
    <s v="B2C"/>
    <s v="Credit Card"/>
    <s v="No"/>
    <s v="Jun"/>
    <n v="2023"/>
    <n v="0.45"/>
    <s v="Medium"/>
    <s v="Low Profit"/>
    <x v="2"/>
    <x v="2"/>
  </r>
  <r>
    <s v="ORD-0286"/>
    <d v="2024-06-28T00:00:00"/>
    <x v="0"/>
    <s v="Japan"/>
    <s v="Anjali Singh"/>
    <x v="1"/>
    <s v="Smartwatch"/>
    <n v="30"/>
    <n v="15000"/>
    <n v="0"/>
    <n v="450000"/>
    <n v="247500"/>
    <n v="202500"/>
    <s v="B2B"/>
    <s v="Net Banking"/>
    <s v="No"/>
    <s v="Jun"/>
    <n v="2024"/>
    <n v="0.45"/>
    <s v="Medium"/>
    <s v="Low Profit"/>
    <x v="25"/>
    <x v="25"/>
  </r>
  <r>
    <s v="ORD-0287"/>
    <d v="2023-08-24T00:00:00"/>
    <x v="2"/>
    <s v="Argentina"/>
    <s v="Anjali Singh"/>
    <x v="3"/>
    <s v="Dumbbell"/>
    <n v="47"/>
    <n v="3000"/>
    <n v="20"/>
    <n v="112800"/>
    <n v="50760"/>
    <n v="62040"/>
    <s v="B2B"/>
    <s v="Credit Card"/>
    <s v="No"/>
    <s v="Aug"/>
    <n v="2023"/>
    <n v="0.55000000000000004"/>
    <s v="Small"/>
    <s v="Medium Profit"/>
    <x v="19"/>
    <x v="19"/>
  </r>
  <r>
    <s v="ORD-0288"/>
    <d v="2024-03-01T00:00:00"/>
    <x v="2"/>
    <s v="Argentina"/>
    <s v="Aarav Shah"/>
    <x v="2"/>
    <s v="Blender"/>
    <n v="49"/>
    <n v="5000"/>
    <n v="15"/>
    <n v="208250"/>
    <n v="104125"/>
    <n v="104125"/>
    <s v="B2B"/>
    <s v="UPI"/>
    <s v="No"/>
    <s v="Mar"/>
    <n v="2024"/>
    <n v="0.5"/>
    <s v="Small"/>
    <s v="Medium Profit"/>
    <x v="27"/>
    <x v="27"/>
  </r>
  <r>
    <s v="ORD-0289"/>
    <d v="2024-10-08T00:00:00"/>
    <x v="3"/>
    <s v="Germany"/>
    <s v="Aarav Shah"/>
    <x v="0"/>
    <s v="T-Shirt"/>
    <n v="6"/>
    <n v="800"/>
    <n v="0"/>
    <n v="4800"/>
    <n v="1920"/>
    <n v="2880"/>
    <s v="Enterprise"/>
    <s v="Cash"/>
    <s v="No"/>
    <s v="Oct"/>
    <n v="2024"/>
    <n v="0.6"/>
    <s v="Small"/>
    <s v="High Profit"/>
    <x v="31"/>
    <x v="31"/>
  </r>
  <r>
    <s v="ORD-0290"/>
    <d v="2023-12-15T00:00:00"/>
    <x v="1"/>
    <s v="USA"/>
    <s v="Amit Kumar"/>
    <x v="0"/>
    <s v="Jeans"/>
    <n v="5"/>
    <n v="2500"/>
    <n v="20"/>
    <n v="10000"/>
    <n v="4000"/>
    <n v="6000"/>
    <s v="B2B"/>
    <s v="Cash"/>
    <s v="Yes"/>
    <s v="Dec"/>
    <n v="2023"/>
    <n v="0.6"/>
    <s v="Small"/>
    <s v="High Profit"/>
    <x v="30"/>
    <x v="30"/>
  </r>
  <r>
    <s v="ORD-0291"/>
    <d v="2022-09-08T00:00:00"/>
    <x v="0"/>
    <s v="Japan"/>
    <s v="Anjali Singh"/>
    <x v="3"/>
    <s v="Cycle"/>
    <n v="21"/>
    <n v="18000"/>
    <n v="15"/>
    <n v="321300"/>
    <n v="144585"/>
    <n v="176715"/>
    <s v="B2B"/>
    <s v="Credit Card"/>
    <s v="No"/>
    <s v="Sep"/>
    <n v="2022"/>
    <n v="0.55000000000000004"/>
    <s v="Medium"/>
    <s v="Medium Profit"/>
    <x v="17"/>
    <x v="17"/>
  </r>
  <r>
    <s v="ORD-0292"/>
    <d v="2023-01-05T00:00:00"/>
    <x v="1"/>
    <s v="USA"/>
    <s v="Priya Mehta"/>
    <x v="0"/>
    <s v="Jeans"/>
    <n v="30"/>
    <n v="2500"/>
    <n v="10"/>
    <n v="67500"/>
    <n v="27000"/>
    <n v="40500"/>
    <s v="B2B"/>
    <s v="Wallet"/>
    <s v="No"/>
    <s v="Jan"/>
    <n v="2023"/>
    <n v="0.6"/>
    <s v="Small"/>
    <s v="High Profit"/>
    <x v="35"/>
    <x v="35"/>
  </r>
  <r>
    <s v="ORD-0293"/>
    <d v="2023-11-25T00:00:00"/>
    <x v="2"/>
    <s v="Argentina"/>
    <s v="Vikram Nair"/>
    <x v="3"/>
    <s v="Cycle"/>
    <n v="8"/>
    <n v="18000"/>
    <n v="0"/>
    <n v="144000"/>
    <n v="64800"/>
    <n v="79200"/>
    <s v="Enterprise"/>
    <s v="Net Banking"/>
    <s v="No"/>
    <s v="Nov"/>
    <n v="2023"/>
    <n v="0.55000000000000004"/>
    <s v="Small"/>
    <s v="Medium Profit"/>
    <x v="32"/>
    <x v="32"/>
  </r>
  <r>
    <s v="ORD-0294"/>
    <d v="2022-03-07T00:00:00"/>
    <x v="0"/>
    <s v="India"/>
    <s v="Priya Mehta"/>
    <x v="0"/>
    <s v="T-Shirt"/>
    <n v="26"/>
    <n v="800"/>
    <n v="20"/>
    <n v="16640"/>
    <n v="6656"/>
    <n v="9984"/>
    <s v="Enterprise"/>
    <s v="Net Banking"/>
    <s v="No"/>
    <s v="Mar"/>
    <n v="2022"/>
    <n v="0.6"/>
    <s v="Small"/>
    <s v="High Profit"/>
    <x v="1"/>
    <x v="1"/>
  </r>
  <r>
    <s v="ORD-0295"/>
    <d v="2023-05-27T00:00:00"/>
    <x v="2"/>
    <s v="Brazil"/>
    <s v="Rohan Joshi"/>
    <x v="3"/>
    <s v="Football"/>
    <n v="48"/>
    <n v="900"/>
    <n v="20"/>
    <n v="34560"/>
    <n v="15552"/>
    <n v="19008"/>
    <s v="B2B"/>
    <s v="Cash"/>
    <s v="No"/>
    <s v="May"/>
    <n v="2023"/>
    <n v="0.55000000000000004"/>
    <s v="Small"/>
    <s v="Medium Profit"/>
    <x v="33"/>
    <x v="33"/>
  </r>
  <r>
    <s v="ORD-0296"/>
    <d v="2022-07-26T00:00:00"/>
    <x v="2"/>
    <s v="Brazil"/>
    <s v="Aarav Shah"/>
    <x v="1"/>
    <s v="Smartphone"/>
    <n v="9"/>
    <n v="45000"/>
    <n v="5"/>
    <n v="384750"/>
    <n v="211612.5"/>
    <n v="173137.5"/>
    <s v="B2C"/>
    <s v="Credit Card"/>
    <s v="No"/>
    <s v="Jul"/>
    <n v="2022"/>
    <n v="0.45"/>
    <s v="Medium"/>
    <s v="Low Profit"/>
    <x v="16"/>
    <x v="16"/>
  </r>
  <r>
    <s v="ORD-0297"/>
    <d v="2023-05-27T00:00:00"/>
    <x v="1"/>
    <s v="USA"/>
    <s v="Priya Mehta"/>
    <x v="0"/>
    <s v="Jeans"/>
    <n v="9"/>
    <n v="2500"/>
    <n v="0"/>
    <n v="22500"/>
    <n v="9000"/>
    <n v="13500"/>
    <s v="B2B"/>
    <s v="Credit Card"/>
    <s v="No"/>
    <s v="May"/>
    <n v="2023"/>
    <n v="0.6"/>
    <s v="Small"/>
    <s v="High Profit"/>
    <x v="33"/>
    <x v="33"/>
  </r>
  <r>
    <s v="ORD-0298"/>
    <d v="2024-06-02T00:00:00"/>
    <x v="2"/>
    <s v="Argentina"/>
    <s v="Rohan Joshi"/>
    <x v="3"/>
    <s v="Yoga Mat"/>
    <n v="25"/>
    <n v="1200"/>
    <n v="15"/>
    <n v="25500"/>
    <n v="11475"/>
    <n v="14025"/>
    <s v="B2C"/>
    <s v="UPI"/>
    <s v="No"/>
    <s v="Jun"/>
    <n v="2024"/>
    <n v="0.55000000000000004"/>
    <s v="Small"/>
    <s v="Medium Profit"/>
    <x v="25"/>
    <x v="25"/>
  </r>
  <r>
    <s v="ORD-0299"/>
    <d v="2022-12-09T00:00:00"/>
    <x v="0"/>
    <s v="Japan"/>
    <s v="Rahul Gupta"/>
    <x v="1"/>
    <s v="Smartwatch"/>
    <n v="40"/>
    <n v="15000"/>
    <n v="20"/>
    <n v="480000"/>
    <n v="264000"/>
    <n v="216000"/>
    <s v="Enterprise"/>
    <s v="Net Banking"/>
    <s v="No"/>
    <s v="Dec"/>
    <n v="2022"/>
    <n v="0.45"/>
    <s v="Medium"/>
    <s v="Low Profit"/>
    <x v="24"/>
    <x v="24"/>
  </r>
  <r>
    <s v="ORD-0300"/>
    <d v="2024-08-14T00:00:00"/>
    <x v="3"/>
    <s v="UK"/>
    <s v="Priya Mehta"/>
    <x v="2"/>
    <s v="Lamp"/>
    <n v="9"/>
    <n v="1500"/>
    <n v="15"/>
    <n v="11475"/>
    <n v="5737.5"/>
    <n v="5737.5"/>
    <s v="Enterprise"/>
    <s v="Wallet"/>
    <s v="No"/>
    <s v="Aug"/>
    <n v="2024"/>
    <n v="0.5"/>
    <s v="Small"/>
    <s v="Medium Profit"/>
    <x v="12"/>
    <x v="12"/>
  </r>
  <r>
    <s v="ORD-0301"/>
    <d v="2023-04-21T00:00:00"/>
    <x v="1"/>
    <s v="Canada"/>
    <s v="Anjali Singh"/>
    <x v="3"/>
    <s v="Football"/>
    <n v="32"/>
    <n v="900"/>
    <n v="10"/>
    <n v="25920"/>
    <n v="11664"/>
    <n v="14256"/>
    <s v="Enterprise"/>
    <s v="Net Banking"/>
    <s v="Yes"/>
    <s v="Apr"/>
    <n v="2023"/>
    <n v="0.55000000000000004"/>
    <s v="Small"/>
    <s v="Medium Profit"/>
    <x v="26"/>
    <x v="26"/>
  </r>
  <r>
    <s v="ORD-0302"/>
    <d v="2024-01-09T00:00:00"/>
    <x v="2"/>
    <s v="Brazil"/>
    <s v="Anjali Singh"/>
    <x v="0"/>
    <s v="Jacket"/>
    <n v="50"/>
    <n v="3500"/>
    <n v="10"/>
    <n v="157500"/>
    <n v="63000"/>
    <n v="94500"/>
    <s v="B2C"/>
    <s v="Wallet"/>
    <s v="No"/>
    <s v="Jan"/>
    <n v="2024"/>
    <n v="0.6"/>
    <s v="Small"/>
    <s v="High Profit"/>
    <x v="3"/>
    <x v="3"/>
  </r>
  <r>
    <s v="ORD-0303"/>
    <d v="2023-11-25T00:00:00"/>
    <x v="2"/>
    <s v="Brazil"/>
    <s v="Priya Mehta"/>
    <x v="0"/>
    <s v="Sneakers"/>
    <n v="18"/>
    <n v="4200"/>
    <n v="20"/>
    <n v="60480"/>
    <n v="24192"/>
    <n v="36288"/>
    <s v="B2B"/>
    <s v="Wallet"/>
    <s v="No"/>
    <s v="Nov"/>
    <n v="2023"/>
    <n v="0.6"/>
    <s v="Small"/>
    <s v="High Profit"/>
    <x v="32"/>
    <x v="32"/>
  </r>
  <r>
    <s v="ORD-0304"/>
    <d v="2024-01-12T00:00:00"/>
    <x v="2"/>
    <s v="Brazil"/>
    <s v="Sneha Iyer"/>
    <x v="2"/>
    <s v="Sofa"/>
    <n v="38"/>
    <n v="25000"/>
    <n v="0"/>
    <n v="950000"/>
    <n v="475000"/>
    <n v="475000"/>
    <s v="Enterprise"/>
    <s v="Wallet"/>
    <s v="No"/>
    <s v="Jan"/>
    <n v="2024"/>
    <n v="0.5"/>
    <s v="Large"/>
    <s v="Medium Profit"/>
    <x v="3"/>
    <x v="3"/>
  </r>
  <r>
    <s v="ORD-0305"/>
    <d v="2022-10-19T00:00:00"/>
    <x v="2"/>
    <s v="Argentina"/>
    <s v="Amit Kumar"/>
    <x v="2"/>
    <s v="Air Fryer"/>
    <n v="32"/>
    <n v="8500"/>
    <n v="0"/>
    <n v="272000"/>
    <n v="136000"/>
    <n v="136000"/>
    <s v="B2B"/>
    <s v="UPI"/>
    <s v="No"/>
    <s v="Oct"/>
    <n v="2022"/>
    <n v="0.5"/>
    <s v="Small"/>
    <s v="Medium Profit"/>
    <x v="21"/>
    <x v="21"/>
  </r>
  <r>
    <s v="ORD-0306"/>
    <d v="2023-03-01T00:00:00"/>
    <x v="3"/>
    <s v="UK"/>
    <s v="Anjali Singh"/>
    <x v="0"/>
    <s v="Sneakers"/>
    <n v="22"/>
    <n v="4200"/>
    <n v="5"/>
    <n v="87780"/>
    <n v="35112"/>
    <n v="52668"/>
    <s v="B2B"/>
    <s v="Credit Card"/>
    <s v="No"/>
    <s v="Mar"/>
    <n v="2023"/>
    <n v="0.6"/>
    <s v="Small"/>
    <s v="High Profit"/>
    <x v="22"/>
    <x v="22"/>
  </r>
  <r>
    <s v="ORD-0307"/>
    <d v="2022-10-19T00:00:00"/>
    <x v="2"/>
    <s v="Brazil"/>
    <s v="Amit Kumar"/>
    <x v="2"/>
    <s v="Blender"/>
    <n v="24"/>
    <n v="5000"/>
    <n v="15"/>
    <n v="102000"/>
    <n v="51000"/>
    <n v="51000"/>
    <s v="B2B"/>
    <s v="Net Banking"/>
    <s v="Yes"/>
    <s v="Oct"/>
    <n v="2022"/>
    <n v="0.5"/>
    <s v="Small"/>
    <s v="Medium Profit"/>
    <x v="21"/>
    <x v="21"/>
  </r>
  <r>
    <s v="ORD-0308"/>
    <d v="2023-08-11T00:00:00"/>
    <x v="2"/>
    <s v="Brazil"/>
    <s v="Rohan Joshi"/>
    <x v="3"/>
    <s v="Cycle"/>
    <n v="12"/>
    <n v="18000"/>
    <n v="20"/>
    <n v="172800"/>
    <n v="77760"/>
    <n v="95040"/>
    <s v="B2C"/>
    <s v="UPI"/>
    <s v="Yes"/>
    <s v="Aug"/>
    <n v="2023"/>
    <n v="0.55000000000000004"/>
    <s v="Small"/>
    <s v="Medium Profit"/>
    <x v="19"/>
    <x v="19"/>
  </r>
  <r>
    <s v="ORD-0309"/>
    <d v="2022-12-13T00:00:00"/>
    <x v="0"/>
    <s v="China"/>
    <s v="Vikram Nair"/>
    <x v="0"/>
    <s v="Sneakers"/>
    <n v="47"/>
    <n v="4200"/>
    <n v="0"/>
    <n v="197400"/>
    <n v="78960"/>
    <n v="118440"/>
    <s v="B2C"/>
    <s v="Wallet"/>
    <s v="Yes"/>
    <s v="Dec"/>
    <n v="2022"/>
    <n v="0.6"/>
    <s v="Small"/>
    <s v="High Profit"/>
    <x v="24"/>
    <x v="24"/>
  </r>
  <r>
    <s v="ORD-0310"/>
    <d v="2022-03-06T00:00:00"/>
    <x v="0"/>
    <s v="China"/>
    <s v="Sneha Iyer"/>
    <x v="1"/>
    <s v="Headphones"/>
    <n v="10"/>
    <n v="8000"/>
    <n v="10"/>
    <n v="72000"/>
    <n v="39600"/>
    <n v="32400"/>
    <s v="B2B"/>
    <s v="Net Banking"/>
    <s v="No"/>
    <s v="Mar"/>
    <n v="2022"/>
    <n v="0.45"/>
    <s v="Small"/>
    <s v="Low Profit"/>
    <x v="1"/>
    <x v="1"/>
  </r>
  <r>
    <s v="ORD-0311"/>
    <d v="2023-09-06T00:00:00"/>
    <x v="1"/>
    <s v="Canada"/>
    <s v="Pooja Patel"/>
    <x v="1"/>
    <s v="Tablet"/>
    <n v="14"/>
    <n v="35000"/>
    <n v="5"/>
    <n v="465500"/>
    <n v="256025"/>
    <n v="209475"/>
    <s v="B2C"/>
    <s v="Net Banking"/>
    <s v="No"/>
    <s v="Sep"/>
    <n v="2023"/>
    <n v="0.45"/>
    <s v="Medium"/>
    <s v="Low Profit"/>
    <x v="7"/>
    <x v="7"/>
  </r>
  <r>
    <s v="ORD-0312"/>
    <d v="2022-07-24T00:00:00"/>
    <x v="1"/>
    <s v="USA"/>
    <s v="Rohan Joshi"/>
    <x v="3"/>
    <s v="Tennis Racket"/>
    <n v="11"/>
    <n v="5500"/>
    <n v="15"/>
    <n v="51425"/>
    <n v="23141.25"/>
    <n v="28283.75"/>
    <s v="B2C"/>
    <s v="Net Banking"/>
    <s v="No"/>
    <s v="Jul"/>
    <n v="2022"/>
    <n v="0.55000000000000004"/>
    <s v="Small"/>
    <s v="Medium Profit"/>
    <x v="16"/>
    <x v="16"/>
  </r>
  <r>
    <s v="ORD-0313"/>
    <d v="2024-11-13T00:00:00"/>
    <x v="1"/>
    <s v="Canada"/>
    <s v="Neha Sharma"/>
    <x v="0"/>
    <s v="Sneakers"/>
    <n v="29"/>
    <n v="4200"/>
    <n v="0"/>
    <n v="121800"/>
    <n v="48720"/>
    <n v="73080"/>
    <s v="B2C"/>
    <s v="Credit Card"/>
    <s v="No"/>
    <s v="Nov"/>
    <n v="2024"/>
    <n v="0.6"/>
    <s v="Small"/>
    <s v="High Profit"/>
    <x v="18"/>
    <x v="18"/>
  </r>
  <r>
    <s v="ORD-0314"/>
    <d v="2023-09-09T00:00:00"/>
    <x v="1"/>
    <s v="USA"/>
    <s v="Anjali Singh"/>
    <x v="0"/>
    <s v="Jeans"/>
    <n v="11"/>
    <n v="2500"/>
    <n v="0"/>
    <n v="27500"/>
    <n v="11000"/>
    <n v="16500"/>
    <s v="B2B"/>
    <s v="Net Banking"/>
    <s v="Yes"/>
    <s v="Sep"/>
    <n v="2023"/>
    <n v="0.6"/>
    <s v="Small"/>
    <s v="High Profit"/>
    <x v="7"/>
    <x v="7"/>
  </r>
  <r>
    <s v="ORD-0315"/>
    <d v="2024-07-23T00:00:00"/>
    <x v="1"/>
    <s v="Canada"/>
    <s v="Rahul Gupta"/>
    <x v="3"/>
    <s v="Dumbbell"/>
    <n v="4"/>
    <n v="3000"/>
    <n v="0"/>
    <n v="12000"/>
    <n v="5400"/>
    <n v="6600"/>
    <s v="B2B"/>
    <s v="UPI"/>
    <s v="No"/>
    <s v="Jul"/>
    <n v="2024"/>
    <n v="0.55000000000000004"/>
    <s v="Small"/>
    <s v="Medium Profit"/>
    <x v="15"/>
    <x v="15"/>
  </r>
  <r>
    <s v="ORD-0316"/>
    <d v="2024-03-23T00:00:00"/>
    <x v="0"/>
    <s v="China"/>
    <s v="Vikram Nair"/>
    <x v="2"/>
    <s v="Air Fryer"/>
    <n v="7"/>
    <n v="8500"/>
    <n v="0"/>
    <n v="59500"/>
    <n v="29750"/>
    <n v="29750"/>
    <s v="Enterprise"/>
    <s v="Wallet"/>
    <s v="No"/>
    <s v="Mar"/>
    <n v="2024"/>
    <n v="0.5"/>
    <s v="Small"/>
    <s v="Medium Profit"/>
    <x v="27"/>
    <x v="27"/>
  </r>
  <r>
    <s v="ORD-0317"/>
    <d v="2024-08-05T00:00:00"/>
    <x v="1"/>
    <s v="Canada"/>
    <s v="Aarav Shah"/>
    <x v="3"/>
    <s v="Yoga Mat"/>
    <n v="19"/>
    <n v="1200"/>
    <n v="20"/>
    <n v="18240"/>
    <n v="8208"/>
    <n v="10032"/>
    <s v="B2B"/>
    <s v="Credit Card"/>
    <s v="No"/>
    <s v="Aug"/>
    <n v="2024"/>
    <n v="0.55000000000000004"/>
    <s v="Small"/>
    <s v="Medium Profit"/>
    <x v="12"/>
    <x v="12"/>
  </r>
  <r>
    <s v="ORD-0318"/>
    <d v="2022-02-07T00:00:00"/>
    <x v="2"/>
    <s v="Argentina"/>
    <s v="Priya Mehta"/>
    <x v="3"/>
    <s v="Yoga Mat"/>
    <n v="20"/>
    <n v="1200"/>
    <n v="15"/>
    <n v="20400"/>
    <n v="9180"/>
    <n v="11220"/>
    <s v="B2C"/>
    <s v="Net Banking"/>
    <s v="No"/>
    <s v="Feb"/>
    <n v="2022"/>
    <n v="0.55000000000000004"/>
    <s v="Small"/>
    <s v="Medium Profit"/>
    <x v="29"/>
    <x v="29"/>
  </r>
  <r>
    <s v="ORD-0319"/>
    <d v="2022-06-21T00:00:00"/>
    <x v="3"/>
    <s v="UK"/>
    <s v="Anjali Singh"/>
    <x v="3"/>
    <s v="Cycle"/>
    <n v="12"/>
    <n v="18000"/>
    <n v="15"/>
    <n v="183600"/>
    <n v="82620"/>
    <n v="100980"/>
    <s v="B2C"/>
    <s v="Cash"/>
    <s v="No"/>
    <s v="Jun"/>
    <n v="2022"/>
    <n v="0.55000000000000004"/>
    <s v="Small"/>
    <s v="Medium Profit"/>
    <x v="4"/>
    <x v="4"/>
  </r>
  <r>
    <s v="ORD-0320"/>
    <d v="2024-06-09T00:00:00"/>
    <x v="2"/>
    <s v="Argentina"/>
    <s v="Neha Sharma"/>
    <x v="1"/>
    <s v="Smartphone"/>
    <n v="49"/>
    <n v="45000"/>
    <n v="0"/>
    <n v="2205000"/>
    <n v="1212750"/>
    <n v="992250"/>
    <s v="Enterprise"/>
    <s v="Net Banking"/>
    <s v="No"/>
    <s v="Jun"/>
    <n v="2024"/>
    <n v="0.45"/>
    <s v="Large"/>
    <s v="Low Profit"/>
    <x v="25"/>
    <x v="25"/>
  </r>
  <r>
    <s v="ORD-0321"/>
    <d v="2024-11-14T00:00:00"/>
    <x v="2"/>
    <s v="Brazil"/>
    <s v="Rohan Joshi"/>
    <x v="3"/>
    <s v="Football"/>
    <n v="44"/>
    <n v="900"/>
    <n v="15"/>
    <n v="33660"/>
    <n v="15147"/>
    <n v="18513"/>
    <s v="B2B"/>
    <s v="Cash"/>
    <s v="Yes"/>
    <s v="Nov"/>
    <n v="2024"/>
    <n v="0.55000000000000004"/>
    <s v="Small"/>
    <s v="Medium Profit"/>
    <x v="18"/>
    <x v="18"/>
  </r>
  <r>
    <s v="ORD-0322"/>
    <d v="2023-08-03T00:00:00"/>
    <x v="3"/>
    <s v="France"/>
    <s v="Aarav Shah"/>
    <x v="0"/>
    <s v="Jacket"/>
    <n v="49"/>
    <n v="3500"/>
    <n v="15"/>
    <n v="145775"/>
    <n v="58310"/>
    <n v="87465"/>
    <s v="B2B"/>
    <s v="UPI"/>
    <s v="No"/>
    <s v="Aug"/>
    <n v="2023"/>
    <n v="0.6"/>
    <s v="Small"/>
    <s v="High Profit"/>
    <x v="19"/>
    <x v="19"/>
  </r>
  <r>
    <s v="ORD-0323"/>
    <d v="2023-01-05T00:00:00"/>
    <x v="1"/>
    <s v="Canada"/>
    <s v="Priya Mehta"/>
    <x v="3"/>
    <s v="Dumbbell"/>
    <n v="41"/>
    <n v="3000"/>
    <n v="5"/>
    <n v="116850"/>
    <n v="52582.5"/>
    <n v="64267.5"/>
    <s v="B2C"/>
    <s v="Net Banking"/>
    <s v="Yes"/>
    <s v="Jan"/>
    <n v="2023"/>
    <n v="0.55000000000000004"/>
    <s v="Small"/>
    <s v="Medium Profit"/>
    <x v="35"/>
    <x v="35"/>
  </r>
  <r>
    <s v="ORD-0324"/>
    <d v="2022-05-03T00:00:00"/>
    <x v="3"/>
    <s v="France"/>
    <s v="Rohan Joshi"/>
    <x v="2"/>
    <s v="Sofa"/>
    <n v="34"/>
    <n v="25000"/>
    <n v="15"/>
    <n v="722500"/>
    <n v="361250"/>
    <n v="361250"/>
    <s v="Enterprise"/>
    <s v="Wallet"/>
    <s v="No"/>
    <s v="May"/>
    <n v="2022"/>
    <n v="0.5"/>
    <s v="Large"/>
    <s v="Medium Profit"/>
    <x v="13"/>
    <x v="13"/>
  </r>
  <r>
    <s v="ORD-0325"/>
    <d v="2024-10-26T00:00:00"/>
    <x v="3"/>
    <s v="UK"/>
    <s v="Rohan Joshi"/>
    <x v="0"/>
    <s v="Sneakers"/>
    <n v="37"/>
    <n v="4200"/>
    <n v="20"/>
    <n v="124320"/>
    <n v="49728"/>
    <n v="74592"/>
    <s v="B2B"/>
    <s v="Credit Card"/>
    <s v="Yes"/>
    <s v="Oct"/>
    <n v="2024"/>
    <n v="0.6"/>
    <s v="Small"/>
    <s v="High Profit"/>
    <x v="31"/>
    <x v="31"/>
  </r>
  <r>
    <s v="ORD-0326"/>
    <d v="2022-07-26T00:00:00"/>
    <x v="0"/>
    <s v="China"/>
    <s v="Anjali Singh"/>
    <x v="3"/>
    <s v="Cycle"/>
    <n v="25"/>
    <n v="18000"/>
    <n v="15"/>
    <n v="382500"/>
    <n v="172125"/>
    <n v="210375"/>
    <s v="Enterprise"/>
    <s v="Cash"/>
    <s v="Yes"/>
    <s v="Jul"/>
    <n v="2022"/>
    <n v="0.55000000000000004"/>
    <s v="Medium"/>
    <s v="Medium Profit"/>
    <x v="16"/>
    <x v="16"/>
  </r>
  <r>
    <s v="ORD-0327"/>
    <d v="2022-03-06T00:00:00"/>
    <x v="0"/>
    <s v="Japan"/>
    <s v="Rahul Gupta"/>
    <x v="3"/>
    <s v="Yoga Mat"/>
    <n v="26"/>
    <n v="1200"/>
    <n v="10"/>
    <n v="28080"/>
    <n v="12636"/>
    <n v="15444"/>
    <s v="B2B"/>
    <s v="Cash"/>
    <s v="No"/>
    <s v="Mar"/>
    <n v="2022"/>
    <n v="0.55000000000000004"/>
    <s v="Small"/>
    <s v="Medium Profit"/>
    <x v="1"/>
    <x v="1"/>
  </r>
  <r>
    <s v="ORD-0328"/>
    <d v="2023-06-12T00:00:00"/>
    <x v="1"/>
    <s v="Canada"/>
    <s v="Vikram Nair"/>
    <x v="2"/>
    <s v="Sofa"/>
    <n v="32"/>
    <n v="25000"/>
    <n v="0"/>
    <n v="800000"/>
    <n v="400000"/>
    <n v="400000"/>
    <s v="B2B"/>
    <s v="Net Banking"/>
    <s v="No"/>
    <s v="Jun"/>
    <n v="2023"/>
    <n v="0.5"/>
    <s v="Large"/>
    <s v="Medium Profit"/>
    <x v="2"/>
    <x v="2"/>
  </r>
  <r>
    <s v="ORD-0329"/>
    <d v="2024-05-25T00:00:00"/>
    <x v="0"/>
    <s v="Japan"/>
    <s v="Rohan Joshi"/>
    <x v="1"/>
    <s v="Smartphone"/>
    <n v="29"/>
    <n v="45000"/>
    <n v="5"/>
    <n v="1239750"/>
    <n v="681862.5"/>
    <n v="557887.5"/>
    <s v="Enterprise"/>
    <s v="Cash"/>
    <s v="No"/>
    <s v="May"/>
    <n v="2024"/>
    <n v="0.45"/>
    <s v="Large"/>
    <s v="Low Profit"/>
    <x v="34"/>
    <x v="34"/>
  </r>
  <r>
    <s v="ORD-0330"/>
    <d v="2024-10-28T00:00:00"/>
    <x v="0"/>
    <s v="India"/>
    <s v="Amit Kumar"/>
    <x v="0"/>
    <s v="Jacket"/>
    <n v="20"/>
    <n v="3500"/>
    <n v="20"/>
    <n v="56000"/>
    <n v="22400"/>
    <n v="33600"/>
    <s v="B2B"/>
    <s v="Wallet"/>
    <s v="No"/>
    <s v="Oct"/>
    <n v="2024"/>
    <n v="0.6"/>
    <s v="Small"/>
    <s v="High Profit"/>
    <x v="31"/>
    <x v="31"/>
  </r>
  <r>
    <s v="ORD-0331"/>
    <d v="2022-02-06T00:00:00"/>
    <x v="2"/>
    <s v="Brazil"/>
    <s v="Aarav Shah"/>
    <x v="0"/>
    <s v="Jacket"/>
    <n v="30"/>
    <n v="3500"/>
    <n v="0"/>
    <n v="105000"/>
    <n v="42000"/>
    <n v="63000"/>
    <s v="Enterprise"/>
    <s v="UPI"/>
    <s v="No"/>
    <s v="Feb"/>
    <n v="2022"/>
    <n v="0.6"/>
    <s v="Small"/>
    <s v="High Profit"/>
    <x v="29"/>
    <x v="29"/>
  </r>
  <r>
    <s v="ORD-0332"/>
    <d v="2023-06-12T00:00:00"/>
    <x v="3"/>
    <s v="France"/>
    <s v="Rohan Joshi"/>
    <x v="1"/>
    <s v="Laptop"/>
    <n v="16"/>
    <n v="75000"/>
    <n v="10"/>
    <n v="1080000"/>
    <n v="594000"/>
    <n v="486000"/>
    <s v="Enterprise"/>
    <s v="Cash"/>
    <s v="No"/>
    <s v="Jun"/>
    <n v="2023"/>
    <n v="0.45"/>
    <s v="Large"/>
    <s v="Low Profit"/>
    <x v="2"/>
    <x v="2"/>
  </r>
  <r>
    <s v="ORD-0333"/>
    <d v="2022-12-28T00:00:00"/>
    <x v="3"/>
    <s v="France"/>
    <s v="Amit Kumar"/>
    <x v="2"/>
    <s v="Sofa"/>
    <n v="11"/>
    <n v="25000"/>
    <n v="10"/>
    <n v="247500"/>
    <n v="123750"/>
    <n v="123750"/>
    <s v="B2C"/>
    <s v="Credit Card"/>
    <s v="No"/>
    <s v="Dec"/>
    <n v="2022"/>
    <n v="0.5"/>
    <s v="Small"/>
    <s v="Medium Profit"/>
    <x v="24"/>
    <x v="24"/>
  </r>
  <r>
    <s v="ORD-0334"/>
    <d v="2024-01-02T00:00:00"/>
    <x v="2"/>
    <s v="Brazil"/>
    <s v="Sneha Iyer"/>
    <x v="0"/>
    <s v="Sneakers"/>
    <n v="18"/>
    <n v="4200"/>
    <n v="15"/>
    <n v="64260"/>
    <n v="25704"/>
    <n v="38556"/>
    <s v="B2B"/>
    <s v="Credit Card"/>
    <s v="Yes"/>
    <s v="Jan"/>
    <n v="2024"/>
    <n v="0.6"/>
    <s v="Small"/>
    <s v="High Profit"/>
    <x v="3"/>
    <x v="3"/>
  </r>
  <r>
    <s v="ORD-0335"/>
    <d v="2024-07-05T00:00:00"/>
    <x v="2"/>
    <s v="Brazil"/>
    <s v="Sneha Iyer"/>
    <x v="2"/>
    <s v="Rug"/>
    <n v="20"/>
    <n v="4000"/>
    <n v="10"/>
    <n v="72000"/>
    <n v="36000"/>
    <n v="36000"/>
    <s v="B2C"/>
    <s v="Net Banking"/>
    <s v="No"/>
    <s v="Jul"/>
    <n v="2024"/>
    <n v="0.5"/>
    <s v="Small"/>
    <s v="Medium Profit"/>
    <x v="15"/>
    <x v="15"/>
  </r>
  <r>
    <s v="ORD-0336"/>
    <d v="2024-06-09T00:00:00"/>
    <x v="2"/>
    <s v="Argentina"/>
    <s v="Vikram Nair"/>
    <x v="3"/>
    <s v="Football"/>
    <n v="7"/>
    <n v="900"/>
    <n v="0"/>
    <n v="6300"/>
    <n v="2835"/>
    <n v="3465"/>
    <s v="Enterprise"/>
    <s v="Net Banking"/>
    <s v="Yes"/>
    <s v="Jun"/>
    <n v="2024"/>
    <n v="0.55000000000000004"/>
    <s v="Small"/>
    <s v="Medium Profit"/>
    <x v="25"/>
    <x v="25"/>
  </r>
  <r>
    <s v="ORD-0337"/>
    <d v="2024-12-21T00:00:00"/>
    <x v="0"/>
    <s v="Japan"/>
    <s v="Priya Mehta"/>
    <x v="3"/>
    <s v="Yoga Mat"/>
    <n v="22"/>
    <n v="1200"/>
    <n v="10"/>
    <n v="23760"/>
    <n v="10692"/>
    <n v="13068"/>
    <s v="B2C"/>
    <s v="Net Banking"/>
    <s v="No"/>
    <s v="Dec"/>
    <n v="2024"/>
    <n v="0.55000000000000004"/>
    <s v="Small"/>
    <s v="Medium Profit"/>
    <x v="20"/>
    <x v="20"/>
  </r>
  <r>
    <s v="ORD-0338"/>
    <d v="2023-08-07T00:00:00"/>
    <x v="2"/>
    <s v="Brazil"/>
    <s v="Aarav Shah"/>
    <x v="3"/>
    <s v="Cycle"/>
    <n v="44"/>
    <n v="18000"/>
    <n v="5"/>
    <n v="752400"/>
    <n v="338580"/>
    <n v="413820"/>
    <s v="Enterprise"/>
    <s v="Cash"/>
    <s v="No"/>
    <s v="Aug"/>
    <n v="2023"/>
    <n v="0.55000000000000004"/>
    <s v="Large"/>
    <s v="Medium Profit"/>
    <x v="19"/>
    <x v="19"/>
  </r>
  <r>
    <s v="ORD-0339"/>
    <d v="2023-07-09T00:00:00"/>
    <x v="3"/>
    <s v="Germany"/>
    <s v="Rohan Joshi"/>
    <x v="1"/>
    <s v="Smartwatch"/>
    <n v="46"/>
    <n v="15000"/>
    <n v="20"/>
    <n v="552000"/>
    <n v="303600"/>
    <n v="248400"/>
    <s v="B2C"/>
    <s v="UPI"/>
    <s v="No"/>
    <s v="Jul"/>
    <n v="2023"/>
    <n v="0.45"/>
    <s v="Medium"/>
    <s v="Low Profit"/>
    <x v="5"/>
    <x v="5"/>
  </r>
  <r>
    <s v="ORD-0340"/>
    <d v="2024-11-21T00:00:00"/>
    <x v="3"/>
    <s v="France"/>
    <s v="Anjali Singh"/>
    <x v="2"/>
    <s v="Air Fryer"/>
    <n v="43"/>
    <n v="8500"/>
    <n v="20"/>
    <n v="292400"/>
    <n v="146200"/>
    <n v="146200"/>
    <s v="B2C"/>
    <s v="Credit Card"/>
    <s v="No"/>
    <s v="Nov"/>
    <n v="2024"/>
    <n v="0.5"/>
    <s v="Small"/>
    <s v="Medium Profit"/>
    <x v="18"/>
    <x v="18"/>
  </r>
  <r>
    <s v="ORD-0341"/>
    <d v="2024-07-05T00:00:00"/>
    <x v="0"/>
    <s v="China"/>
    <s v="Amit Kumar"/>
    <x v="0"/>
    <s v="T-Shirt"/>
    <n v="42"/>
    <n v="800"/>
    <n v="0"/>
    <n v="33600"/>
    <n v="13440"/>
    <n v="20160"/>
    <s v="B2C"/>
    <s v="UPI"/>
    <s v="No"/>
    <s v="Jul"/>
    <n v="2024"/>
    <n v="0.6"/>
    <s v="Small"/>
    <s v="High Profit"/>
    <x v="15"/>
    <x v="15"/>
  </r>
  <r>
    <s v="ORD-0342"/>
    <d v="2023-08-14T00:00:00"/>
    <x v="0"/>
    <s v="Japan"/>
    <s v="Vikram Nair"/>
    <x v="2"/>
    <s v="Lamp"/>
    <n v="8"/>
    <n v="1500"/>
    <n v="15"/>
    <n v="10200"/>
    <n v="5100"/>
    <n v="5100"/>
    <s v="Enterprise"/>
    <s v="Wallet"/>
    <s v="No"/>
    <s v="Aug"/>
    <n v="2023"/>
    <n v="0.5"/>
    <s v="Small"/>
    <s v="Medium Profit"/>
    <x v="19"/>
    <x v="19"/>
  </r>
  <r>
    <s v="ORD-0343"/>
    <d v="2022-05-16T00:00:00"/>
    <x v="2"/>
    <s v="Brazil"/>
    <s v="Rohan Joshi"/>
    <x v="2"/>
    <s v="Lamp"/>
    <n v="4"/>
    <n v="1500"/>
    <n v="5"/>
    <n v="5700"/>
    <n v="2850"/>
    <n v="2850"/>
    <s v="B2B"/>
    <s v="Net Banking"/>
    <s v="No"/>
    <s v="May"/>
    <n v="2022"/>
    <n v="0.5"/>
    <s v="Small"/>
    <s v="Medium Profit"/>
    <x v="13"/>
    <x v="13"/>
  </r>
  <r>
    <s v="ORD-0344"/>
    <d v="2024-03-19T00:00:00"/>
    <x v="3"/>
    <s v="UK"/>
    <s v="Anjali Singh"/>
    <x v="0"/>
    <s v="Jacket"/>
    <n v="32"/>
    <n v="3500"/>
    <n v="10"/>
    <n v="100800"/>
    <n v="40320"/>
    <n v="60480"/>
    <s v="B2C"/>
    <s v="Credit Card"/>
    <s v="No"/>
    <s v="Mar"/>
    <n v="2024"/>
    <n v="0.6"/>
    <s v="Small"/>
    <s v="High Profit"/>
    <x v="27"/>
    <x v="27"/>
  </r>
  <r>
    <s v="ORD-0345"/>
    <d v="2022-01-15T00:00:00"/>
    <x v="0"/>
    <s v="India"/>
    <s v="Rahul Gupta"/>
    <x v="0"/>
    <s v="Jeans"/>
    <n v="49"/>
    <n v="2500"/>
    <n v="0"/>
    <n v="122500"/>
    <n v="49000"/>
    <n v="73500"/>
    <s v="Enterprise"/>
    <s v="Cash"/>
    <s v="No"/>
    <s v="Jan"/>
    <n v="2022"/>
    <n v="0.6"/>
    <s v="Small"/>
    <s v="High Profit"/>
    <x v="10"/>
    <x v="10"/>
  </r>
  <r>
    <s v="ORD-0346"/>
    <d v="2024-04-13T00:00:00"/>
    <x v="3"/>
    <s v="Germany"/>
    <s v="Rohan Joshi"/>
    <x v="1"/>
    <s v="Laptop"/>
    <n v="35"/>
    <n v="75000"/>
    <n v="5"/>
    <n v="2493750"/>
    <n v="1371562.5"/>
    <n v="1122187.5"/>
    <s v="B2B"/>
    <s v="Net Banking"/>
    <s v="No"/>
    <s v="Apr"/>
    <n v="2024"/>
    <n v="0.45"/>
    <s v="Large"/>
    <s v="Low Profit"/>
    <x v="8"/>
    <x v="8"/>
  </r>
  <r>
    <s v="ORD-0347"/>
    <d v="2024-10-07T00:00:00"/>
    <x v="1"/>
    <s v="USA"/>
    <s v="Sneha Iyer"/>
    <x v="0"/>
    <s v="T-Shirt"/>
    <n v="20"/>
    <n v="800"/>
    <n v="5"/>
    <n v="15200"/>
    <n v="6080"/>
    <n v="9120"/>
    <s v="B2C"/>
    <s v="Wallet"/>
    <s v="No"/>
    <s v="Oct"/>
    <n v="2024"/>
    <n v="0.6"/>
    <s v="Small"/>
    <s v="High Profit"/>
    <x v="31"/>
    <x v="31"/>
  </r>
  <r>
    <s v="ORD-0348"/>
    <d v="2023-08-06T00:00:00"/>
    <x v="1"/>
    <s v="USA"/>
    <s v="Vikram Nair"/>
    <x v="2"/>
    <s v="Lamp"/>
    <n v="47"/>
    <n v="1500"/>
    <n v="20"/>
    <n v="56400"/>
    <n v="28200"/>
    <n v="28200"/>
    <s v="Enterprise"/>
    <s v="Net Banking"/>
    <s v="Yes"/>
    <s v="Aug"/>
    <n v="2023"/>
    <n v="0.5"/>
    <s v="Small"/>
    <s v="Medium Profit"/>
    <x v="19"/>
    <x v="19"/>
  </r>
  <r>
    <s v="ORD-0349"/>
    <d v="2024-04-22T00:00:00"/>
    <x v="2"/>
    <s v="Argentina"/>
    <s v="Pooja Patel"/>
    <x v="2"/>
    <s v="Air Fryer"/>
    <n v="11"/>
    <n v="8500"/>
    <n v="15"/>
    <n v="79475"/>
    <n v="39737.5"/>
    <n v="39737.5"/>
    <s v="B2B"/>
    <s v="UPI"/>
    <s v="No"/>
    <s v="Apr"/>
    <n v="2024"/>
    <n v="0.5"/>
    <s v="Small"/>
    <s v="Medium Profit"/>
    <x v="8"/>
    <x v="8"/>
  </r>
  <r>
    <s v="ORD-0350"/>
    <d v="2022-09-07T00:00:00"/>
    <x v="1"/>
    <s v="USA"/>
    <s v="Priya Mehta"/>
    <x v="2"/>
    <s v="Blender"/>
    <n v="25"/>
    <n v="5000"/>
    <n v="10"/>
    <n v="112500"/>
    <n v="56250"/>
    <n v="56250"/>
    <s v="Enterprise"/>
    <s v="Credit Card"/>
    <s v="Yes"/>
    <s v="Sep"/>
    <n v="2022"/>
    <n v="0.5"/>
    <s v="Small"/>
    <s v="Medium Profit"/>
    <x v="17"/>
    <x v="17"/>
  </r>
  <r>
    <s v="ORD-0351"/>
    <d v="2022-04-22T00:00:00"/>
    <x v="1"/>
    <s v="USA"/>
    <s v="Aarav Shah"/>
    <x v="1"/>
    <s v="Headphones"/>
    <n v="29"/>
    <n v="8000"/>
    <n v="15"/>
    <n v="197200"/>
    <n v="108460"/>
    <n v="88740"/>
    <s v="Enterprise"/>
    <s v="Net Banking"/>
    <s v="No"/>
    <s v="Apr"/>
    <n v="2022"/>
    <n v="0.45"/>
    <s v="Small"/>
    <s v="Low Profit"/>
    <x v="28"/>
    <x v="28"/>
  </r>
  <r>
    <s v="ORD-0352"/>
    <d v="2024-07-23T00:00:00"/>
    <x v="2"/>
    <s v="Brazil"/>
    <s v="Aarav Shah"/>
    <x v="2"/>
    <s v="Lamp"/>
    <n v="43"/>
    <n v="1500"/>
    <n v="0"/>
    <n v="64500"/>
    <n v="32250"/>
    <n v="32250"/>
    <s v="B2C"/>
    <s v="Wallet"/>
    <s v="Yes"/>
    <s v="Jul"/>
    <n v="2024"/>
    <n v="0.5"/>
    <s v="Small"/>
    <s v="Medium Profit"/>
    <x v="15"/>
    <x v="15"/>
  </r>
  <r>
    <s v="ORD-0353"/>
    <d v="2022-09-14T00:00:00"/>
    <x v="1"/>
    <s v="USA"/>
    <s v="Vikram Nair"/>
    <x v="1"/>
    <s v="Laptop"/>
    <n v="32"/>
    <n v="75000"/>
    <n v="5"/>
    <n v="2280000"/>
    <n v="1254000"/>
    <n v="1026000"/>
    <s v="B2B"/>
    <s v="Net Banking"/>
    <s v="Yes"/>
    <s v="Sep"/>
    <n v="2022"/>
    <n v="0.45"/>
    <s v="Large"/>
    <s v="Low Profit"/>
    <x v="17"/>
    <x v="17"/>
  </r>
  <r>
    <s v="ORD-0354"/>
    <d v="2024-10-07T00:00:00"/>
    <x v="0"/>
    <s v="China"/>
    <s v="Rohan Joshi"/>
    <x v="2"/>
    <s v="Air Fryer"/>
    <n v="3"/>
    <n v="8500"/>
    <n v="20"/>
    <n v="20400"/>
    <n v="10200"/>
    <n v="10200"/>
    <s v="B2B"/>
    <s v="Cash"/>
    <s v="No"/>
    <s v="Oct"/>
    <n v="2024"/>
    <n v="0.5"/>
    <s v="Small"/>
    <s v="Medium Profit"/>
    <x v="31"/>
    <x v="31"/>
  </r>
  <r>
    <s v="ORD-0355"/>
    <d v="2023-10-08T00:00:00"/>
    <x v="1"/>
    <s v="USA"/>
    <s v="Priya Mehta"/>
    <x v="1"/>
    <s v="Smartwatch"/>
    <n v="43"/>
    <n v="15000"/>
    <n v="15"/>
    <n v="548250"/>
    <n v="301537.5"/>
    <n v="246712.5"/>
    <s v="B2B"/>
    <s v="Wallet"/>
    <s v="No"/>
    <s v="Oct"/>
    <n v="2023"/>
    <n v="0.45"/>
    <s v="Medium"/>
    <s v="Low Profit"/>
    <x v="14"/>
    <x v="14"/>
  </r>
  <r>
    <s v="ORD-0356"/>
    <d v="2022-05-24T00:00:00"/>
    <x v="1"/>
    <s v="Canada"/>
    <s v="Sneha Iyer"/>
    <x v="3"/>
    <s v="Cycle"/>
    <n v="17"/>
    <n v="18000"/>
    <n v="15"/>
    <n v="260100"/>
    <n v="117045"/>
    <n v="143055"/>
    <s v="B2B"/>
    <s v="UPI"/>
    <s v="No"/>
    <s v="May"/>
    <n v="2022"/>
    <n v="0.55000000000000004"/>
    <s v="Small"/>
    <s v="Medium Profit"/>
    <x v="13"/>
    <x v="13"/>
  </r>
  <r>
    <s v="ORD-0357"/>
    <d v="2022-03-28T00:00:00"/>
    <x v="0"/>
    <s v="Japan"/>
    <s v="Anjali Singh"/>
    <x v="3"/>
    <s v="Yoga Mat"/>
    <n v="7"/>
    <n v="1200"/>
    <n v="0"/>
    <n v="8400"/>
    <n v="3780"/>
    <n v="4620"/>
    <s v="B2B"/>
    <s v="UPI"/>
    <s v="No"/>
    <s v="Mar"/>
    <n v="2022"/>
    <n v="0.55000000000000004"/>
    <s v="Small"/>
    <s v="Medium Profit"/>
    <x v="1"/>
    <x v="1"/>
  </r>
  <r>
    <s v="ORD-0358"/>
    <d v="2023-10-12T00:00:00"/>
    <x v="3"/>
    <s v="France"/>
    <s v="Vikram Nair"/>
    <x v="1"/>
    <s v="Tablet"/>
    <n v="22"/>
    <n v="35000"/>
    <n v="5"/>
    <n v="731500"/>
    <n v="402325"/>
    <n v="329175"/>
    <s v="B2C"/>
    <s v="Cash"/>
    <s v="No"/>
    <s v="Oct"/>
    <n v="2023"/>
    <n v="0.45"/>
    <s v="Large"/>
    <s v="Low Profit"/>
    <x v="14"/>
    <x v="14"/>
  </r>
  <r>
    <s v="ORD-0359"/>
    <d v="2024-06-09T00:00:00"/>
    <x v="3"/>
    <s v="France"/>
    <s v="Pooja Patel"/>
    <x v="3"/>
    <s v="Dumbbell"/>
    <n v="8"/>
    <n v="3000"/>
    <n v="5"/>
    <n v="22800"/>
    <n v="10260"/>
    <n v="12540"/>
    <s v="B2B"/>
    <s v="Credit Card"/>
    <s v="No"/>
    <s v="Jun"/>
    <n v="2024"/>
    <n v="0.55000000000000004"/>
    <s v="Small"/>
    <s v="Medium Profit"/>
    <x v="25"/>
    <x v="25"/>
  </r>
  <r>
    <s v="ORD-0360"/>
    <d v="2024-03-19T00:00:00"/>
    <x v="3"/>
    <s v="France"/>
    <s v="Pooja Patel"/>
    <x v="0"/>
    <s v="Cap"/>
    <n v="25"/>
    <n v="600"/>
    <n v="10"/>
    <n v="13500"/>
    <n v="5400"/>
    <n v="8100"/>
    <s v="B2B"/>
    <s v="UPI"/>
    <s v="Yes"/>
    <s v="Mar"/>
    <n v="2024"/>
    <n v="0.6"/>
    <s v="Small"/>
    <s v="High Profit"/>
    <x v="27"/>
    <x v="27"/>
  </r>
  <r>
    <s v="ORD-0361"/>
    <d v="2024-07-16T00:00:00"/>
    <x v="1"/>
    <s v="Canada"/>
    <s v="Pooja Patel"/>
    <x v="1"/>
    <s v="Laptop"/>
    <n v="17"/>
    <n v="75000"/>
    <n v="10"/>
    <n v="1147500"/>
    <n v="631125"/>
    <n v="516375"/>
    <s v="Enterprise"/>
    <s v="Wallet"/>
    <s v="No"/>
    <s v="Jul"/>
    <n v="2024"/>
    <n v="0.45"/>
    <s v="Large"/>
    <s v="Low Profit"/>
    <x v="15"/>
    <x v="15"/>
  </r>
  <r>
    <s v="ORD-0362"/>
    <d v="2023-03-22T00:00:00"/>
    <x v="0"/>
    <s v="China"/>
    <s v="Amit Kumar"/>
    <x v="1"/>
    <s v="Headphones"/>
    <n v="43"/>
    <n v="8000"/>
    <n v="5"/>
    <n v="326800"/>
    <n v="179740"/>
    <n v="147060"/>
    <s v="B2C"/>
    <s v="Cash"/>
    <s v="No"/>
    <s v="Mar"/>
    <n v="2023"/>
    <n v="0.45"/>
    <s v="Medium"/>
    <s v="Low Profit"/>
    <x v="22"/>
    <x v="22"/>
  </r>
  <r>
    <s v="ORD-0363"/>
    <d v="2022-10-27T00:00:00"/>
    <x v="1"/>
    <s v="USA"/>
    <s v="Rahul Gupta"/>
    <x v="3"/>
    <s v="Tennis Racket"/>
    <n v="11"/>
    <n v="5500"/>
    <n v="0"/>
    <n v="60500"/>
    <n v="27225"/>
    <n v="33275"/>
    <s v="B2C"/>
    <s v="UPI"/>
    <s v="No"/>
    <s v="Oct"/>
    <n v="2022"/>
    <n v="0.55000000000000004"/>
    <s v="Small"/>
    <s v="Medium Profit"/>
    <x v="21"/>
    <x v="21"/>
  </r>
  <r>
    <s v="ORD-0364"/>
    <d v="2023-10-09T00:00:00"/>
    <x v="1"/>
    <s v="USA"/>
    <s v="Amit Kumar"/>
    <x v="3"/>
    <s v="Tennis Racket"/>
    <n v="16"/>
    <n v="5500"/>
    <n v="0"/>
    <n v="88000"/>
    <n v="39600"/>
    <n v="48400"/>
    <s v="B2C"/>
    <s v="Wallet"/>
    <s v="No"/>
    <s v="Oct"/>
    <n v="2023"/>
    <n v="0.55000000000000004"/>
    <s v="Small"/>
    <s v="Medium Profit"/>
    <x v="14"/>
    <x v="14"/>
  </r>
  <r>
    <s v="ORD-0365"/>
    <d v="2024-05-03T00:00:00"/>
    <x v="3"/>
    <s v="Germany"/>
    <s v="Anjali Singh"/>
    <x v="1"/>
    <s v="Headphones"/>
    <n v="48"/>
    <n v="8000"/>
    <n v="0"/>
    <n v="384000"/>
    <n v="211200"/>
    <n v="172800"/>
    <s v="B2C"/>
    <s v="Cash"/>
    <s v="No"/>
    <s v="May"/>
    <n v="2024"/>
    <n v="0.45"/>
    <s v="Medium"/>
    <s v="Low Profit"/>
    <x v="34"/>
    <x v="34"/>
  </r>
  <r>
    <s v="ORD-0366"/>
    <d v="2022-03-18T00:00:00"/>
    <x v="1"/>
    <s v="USA"/>
    <s v="Neha Sharma"/>
    <x v="2"/>
    <s v="Rug"/>
    <n v="36"/>
    <n v="4000"/>
    <n v="5"/>
    <n v="136800"/>
    <n v="68400"/>
    <n v="68400"/>
    <s v="B2C"/>
    <s v="Net Banking"/>
    <s v="No"/>
    <s v="Mar"/>
    <n v="2022"/>
    <n v="0.5"/>
    <s v="Small"/>
    <s v="Medium Profit"/>
    <x v="1"/>
    <x v="1"/>
  </r>
  <r>
    <s v="ORD-0367"/>
    <d v="2022-04-27T00:00:00"/>
    <x v="2"/>
    <s v="Argentina"/>
    <s v="Anjali Singh"/>
    <x v="3"/>
    <s v="Cycle"/>
    <n v="46"/>
    <n v="18000"/>
    <n v="15"/>
    <n v="703800"/>
    <n v="316710"/>
    <n v="387090"/>
    <s v="B2B"/>
    <s v="UPI"/>
    <s v="No"/>
    <s v="Apr"/>
    <n v="2022"/>
    <n v="0.55000000000000004"/>
    <s v="Large"/>
    <s v="Medium Profit"/>
    <x v="28"/>
    <x v="28"/>
  </r>
  <r>
    <s v="ORD-0368"/>
    <d v="2022-01-11T00:00:00"/>
    <x v="0"/>
    <s v="China"/>
    <s v="Vikram Nair"/>
    <x v="2"/>
    <s v="Blender"/>
    <n v="3"/>
    <n v="5000"/>
    <n v="5"/>
    <n v="14250"/>
    <n v="7125"/>
    <n v="7125"/>
    <s v="B2B"/>
    <s v="Cash"/>
    <s v="No"/>
    <s v="Jan"/>
    <n v="2022"/>
    <n v="0.5"/>
    <s v="Small"/>
    <s v="Medium Profit"/>
    <x v="10"/>
    <x v="10"/>
  </r>
  <r>
    <s v="ORD-0369"/>
    <d v="2022-07-09T00:00:00"/>
    <x v="2"/>
    <s v="Brazil"/>
    <s v="Priya Mehta"/>
    <x v="3"/>
    <s v="Dumbbell"/>
    <n v="30"/>
    <n v="3000"/>
    <n v="5"/>
    <n v="85500"/>
    <n v="38475"/>
    <n v="47025"/>
    <s v="B2B"/>
    <s v="Cash"/>
    <s v="No"/>
    <s v="Jul"/>
    <n v="2022"/>
    <n v="0.55000000000000004"/>
    <s v="Small"/>
    <s v="Medium Profit"/>
    <x v="16"/>
    <x v="16"/>
  </r>
  <r>
    <s v="ORD-0370"/>
    <d v="2022-03-21T00:00:00"/>
    <x v="1"/>
    <s v="Canada"/>
    <s v="Pooja Patel"/>
    <x v="0"/>
    <s v="Jeans"/>
    <n v="1"/>
    <n v="2500"/>
    <n v="20"/>
    <n v="2000"/>
    <n v="800"/>
    <n v="1200"/>
    <s v="Enterprise"/>
    <s v="Cash"/>
    <s v="No"/>
    <s v="Mar"/>
    <n v="2022"/>
    <n v="0.6"/>
    <s v="Small"/>
    <s v="High Profit"/>
    <x v="1"/>
    <x v="1"/>
  </r>
  <r>
    <s v="ORD-0371"/>
    <d v="2024-07-17T00:00:00"/>
    <x v="2"/>
    <s v="Brazil"/>
    <s v="Rahul Gupta"/>
    <x v="1"/>
    <s v="Headphones"/>
    <n v="43"/>
    <n v="8000"/>
    <n v="20"/>
    <n v="275200"/>
    <n v="151360"/>
    <n v="123840"/>
    <s v="B2C"/>
    <s v="Wallet"/>
    <s v="Yes"/>
    <s v="Jul"/>
    <n v="2024"/>
    <n v="0.45"/>
    <s v="Small"/>
    <s v="Low Profit"/>
    <x v="15"/>
    <x v="15"/>
  </r>
  <r>
    <s v="ORD-0372"/>
    <d v="2024-01-14T00:00:00"/>
    <x v="2"/>
    <s v="Argentina"/>
    <s v="Rohan Joshi"/>
    <x v="2"/>
    <s v="Sofa"/>
    <n v="29"/>
    <n v="25000"/>
    <n v="5"/>
    <n v="688750"/>
    <n v="344375"/>
    <n v="344375"/>
    <s v="B2C"/>
    <s v="Wallet"/>
    <s v="No"/>
    <s v="Jan"/>
    <n v="2024"/>
    <n v="0.5"/>
    <s v="Medium"/>
    <s v="Medium Profit"/>
    <x v="3"/>
    <x v="3"/>
  </r>
  <r>
    <s v="ORD-0373"/>
    <d v="2024-09-10T00:00:00"/>
    <x v="0"/>
    <s v="China"/>
    <s v="Amit Kumar"/>
    <x v="0"/>
    <s v="Sneakers"/>
    <n v="14"/>
    <n v="4200"/>
    <n v="20"/>
    <n v="47040"/>
    <n v="18816"/>
    <n v="28224"/>
    <s v="Enterprise"/>
    <s v="Net Banking"/>
    <s v="No"/>
    <s v="Sep"/>
    <n v="2024"/>
    <n v="0.6"/>
    <s v="Small"/>
    <s v="High Profit"/>
    <x v="11"/>
    <x v="11"/>
  </r>
  <r>
    <s v="ORD-0374"/>
    <d v="2022-09-23T00:00:00"/>
    <x v="2"/>
    <s v="Argentina"/>
    <s v="Priya Mehta"/>
    <x v="2"/>
    <s v="Rug"/>
    <n v="31"/>
    <n v="4000"/>
    <n v="20"/>
    <n v="99200"/>
    <n v="49600"/>
    <n v="49600"/>
    <s v="Enterprise"/>
    <s v="Cash"/>
    <s v="Yes"/>
    <s v="Sep"/>
    <n v="2022"/>
    <n v="0.5"/>
    <s v="Small"/>
    <s v="Medium Profit"/>
    <x v="17"/>
    <x v="17"/>
  </r>
  <r>
    <s v="ORD-0375"/>
    <d v="2024-11-10T00:00:00"/>
    <x v="3"/>
    <s v="UK"/>
    <s v="Amit Kumar"/>
    <x v="1"/>
    <s v="Laptop"/>
    <n v="25"/>
    <n v="75000"/>
    <n v="5"/>
    <n v="1781250"/>
    <n v="979687.5"/>
    <n v="801562.5"/>
    <s v="Enterprise"/>
    <s v="Credit Card"/>
    <s v="No"/>
    <s v="Nov"/>
    <n v="2024"/>
    <n v="0.45"/>
    <s v="Large"/>
    <s v="Low Profit"/>
    <x v="18"/>
    <x v="18"/>
  </r>
  <r>
    <s v="ORD-0376"/>
    <d v="2023-01-09T00:00:00"/>
    <x v="2"/>
    <s v="Argentina"/>
    <s v="Vikram Nair"/>
    <x v="0"/>
    <s v="Jacket"/>
    <n v="45"/>
    <n v="3500"/>
    <n v="10"/>
    <n v="141750"/>
    <n v="56700"/>
    <n v="85050"/>
    <s v="Enterprise"/>
    <s v="Credit Card"/>
    <s v="No"/>
    <s v="Jan"/>
    <n v="2023"/>
    <n v="0.6"/>
    <s v="Small"/>
    <s v="High Profit"/>
    <x v="35"/>
    <x v="35"/>
  </r>
  <r>
    <s v="ORD-0377"/>
    <d v="2023-11-27T00:00:00"/>
    <x v="3"/>
    <s v="UK"/>
    <s v="Neha Sharma"/>
    <x v="0"/>
    <s v="Cap"/>
    <n v="25"/>
    <n v="600"/>
    <n v="5"/>
    <n v="14250"/>
    <n v="5700"/>
    <n v="8550"/>
    <s v="Enterprise"/>
    <s v="Net Banking"/>
    <s v="Yes"/>
    <s v="Nov"/>
    <n v="2023"/>
    <n v="0.6"/>
    <s v="Small"/>
    <s v="High Profit"/>
    <x v="32"/>
    <x v="32"/>
  </r>
  <r>
    <s v="ORD-0378"/>
    <d v="2022-04-13T00:00:00"/>
    <x v="3"/>
    <s v="Germany"/>
    <s v="Anjali Singh"/>
    <x v="1"/>
    <s v="Laptop"/>
    <n v="48"/>
    <n v="75000"/>
    <n v="10"/>
    <n v="3240000"/>
    <n v="1782000"/>
    <n v="1458000"/>
    <s v="Enterprise"/>
    <s v="Cash"/>
    <s v="No"/>
    <s v="Apr"/>
    <n v="2022"/>
    <n v="0.45"/>
    <s v="Large"/>
    <s v="Low Profit"/>
    <x v="28"/>
    <x v="28"/>
  </r>
  <r>
    <s v="ORD-0379"/>
    <d v="2023-03-21T00:00:00"/>
    <x v="0"/>
    <s v="China"/>
    <s v="Amit Kumar"/>
    <x v="0"/>
    <s v="Sneakers"/>
    <n v="19"/>
    <n v="4200"/>
    <n v="15"/>
    <n v="67830"/>
    <n v="27132"/>
    <n v="40698"/>
    <s v="Enterprise"/>
    <s v="Credit Card"/>
    <s v="No"/>
    <s v="Mar"/>
    <n v="2023"/>
    <n v="0.6"/>
    <s v="Small"/>
    <s v="High Profit"/>
    <x v="22"/>
    <x v="22"/>
  </r>
  <r>
    <s v="ORD-0380"/>
    <d v="2022-12-06T00:00:00"/>
    <x v="1"/>
    <s v="Canada"/>
    <s v="Aarav Shah"/>
    <x v="3"/>
    <s v="Cycle"/>
    <n v="36"/>
    <n v="18000"/>
    <n v="10"/>
    <n v="583200"/>
    <n v="262440"/>
    <n v="320760"/>
    <s v="B2B"/>
    <s v="Wallet"/>
    <s v="No"/>
    <s v="Dec"/>
    <n v="2022"/>
    <n v="0.55000000000000004"/>
    <s v="Medium"/>
    <s v="Medium Profit"/>
    <x v="24"/>
    <x v="24"/>
  </r>
  <r>
    <s v="ORD-0381"/>
    <d v="2023-05-01T00:00:00"/>
    <x v="0"/>
    <s v="Japan"/>
    <s v="Rahul Gupta"/>
    <x v="1"/>
    <s v="Smartphone"/>
    <n v="21"/>
    <n v="45000"/>
    <n v="20"/>
    <n v="756000"/>
    <n v="415800"/>
    <n v="340200"/>
    <s v="Enterprise"/>
    <s v="Wallet"/>
    <s v="No"/>
    <s v="May"/>
    <n v="2023"/>
    <n v="0.45"/>
    <s v="Large"/>
    <s v="Low Profit"/>
    <x v="33"/>
    <x v="33"/>
  </r>
  <r>
    <s v="ORD-0382"/>
    <d v="2023-08-16T00:00:00"/>
    <x v="0"/>
    <s v="India"/>
    <s v="Anjali Singh"/>
    <x v="0"/>
    <s v="Sneakers"/>
    <n v="34"/>
    <n v="4200"/>
    <n v="0"/>
    <n v="142800"/>
    <n v="57120"/>
    <n v="85680"/>
    <s v="B2B"/>
    <s v="Cash"/>
    <s v="Yes"/>
    <s v="Aug"/>
    <n v="2023"/>
    <n v="0.6"/>
    <s v="Small"/>
    <s v="High Profit"/>
    <x v="19"/>
    <x v="19"/>
  </r>
  <r>
    <s v="ORD-0383"/>
    <d v="2024-11-18T00:00:00"/>
    <x v="3"/>
    <s v="UK"/>
    <s v="Anjali Singh"/>
    <x v="0"/>
    <s v="Sneakers"/>
    <n v="43"/>
    <n v="4200"/>
    <n v="10"/>
    <n v="162540"/>
    <n v="65016"/>
    <n v="97524"/>
    <s v="B2C"/>
    <s v="Net Banking"/>
    <s v="No"/>
    <s v="Nov"/>
    <n v="2024"/>
    <n v="0.6"/>
    <s v="Small"/>
    <s v="High Profit"/>
    <x v="18"/>
    <x v="18"/>
  </r>
  <r>
    <s v="ORD-0384"/>
    <d v="2023-02-25T00:00:00"/>
    <x v="3"/>
    <s v="France"/>
    <s v="Aarav Shah"/>
    <x v="1"/>
    <s v="Tablet"/>
    <n v="29"/>
    <n v="35000"/>
    <n v="5"/>
    <n v="964250"/>
    <n v="530337.5"/>
    <n v="433912.5"/>
    <s v="Enterprise"/>
    <s v="UPI"/>
    <s v="Yes"/>
    <s v="Feb"/>
    <n v="2023"/>
    <n v="0.45"/>
    <s v="Large"/>
    <s v="Low Profit"/>
    <x v="6"/>
    <x v="6"/>
  </r>
  <r>
    <s v="ORD-0385"/>
    <d v="2022-03-22T00:00:00"/>
    <x v="0"/>
    <s v="Japan"/>
    <s v="Priya Mehta"/>
    <x v="3"/>
    <s v="Cycle"/>
    <n v="35"/>
    <n v="18000"/>
    <n v="10"/>
    <n v="567000"/>
    <n v="255150"/>
    <n v="311850"/>
    <s v="Enterprise"/>
    <s v="Net Banking"/>
    <s v="No"/>
    <s v="Mar"/>
    <n v="2022"/>
    <n v="0.55000000000000004"/>
    <s v="Medium"/>
    <s v="Medium Profit"/>
    <x v="1"/>
    <x v="1"/>
  </r>
  <r>
    <s v="ORD-0386"/>
    <d v="2024-09-26T00:00:00"/>
    <x v="3"/>
    <s v="Germany"/>
    <s v="Aarav Shah"/>
    <x v="2"/>
    <s v="Air Fryer"/>
    <n v="21"/>
    <n v="8500"/>
    <n v="20"/>
    <n v="142800"/>
    <n v="71400"/>
    <n v="71400"/>
    <s v="B2B"/>
    <s v="UPI"/>
    <s v="No"/>
    <s v="Sep"/>
    <n v="2024"/>
    <n v="0.5"/>
    <s v="Small"/>
    <s v="Medium Profit"/>
    <x v="11"/>
    <x v="11"/>
  </r>
  <r>
    <s v="ORD-0387"/>
    <d v="2024-11-18T00:00:00"/>
    <x v="1"/>
    <s v="USA"/>
    <s v="Sneha Iyer"/>
    <x v="0"/>
    <s v="Jeans"/>
    <n v="7"/>
    <n v="2500"/>
    <n v="5"/>
    <n v="16625"/>
    <n v="6650"/>
    <n v="9975"/>
    <s v="Enterprise"/>
    <s v="Cash"/>
    <s v="Yes"/>
    <s v="Nov"/>
    <n v="2024"/>
    <n v="0.6"/>
    <s v="Small"/>
    <s v="High Profit"/>
    <x v="18"/>
    <x v="18"/>
  </r>
  <r>
    <s v="ORD-0388"/>
    <d v="2022-05-24T00:00:00"/>
    <x v="2"/>
    <s v="Brazil"/>
    <s v="Pooja Patel"/>
    <x v="2"/>
    <s v="Blender"/>
    <n v="6"/>
    <n v="5000"/>
    <n v="0"/>
    <n v="30000"/>
    <n v="15000"/>
    <n v="15000"/>
    <s v="B2B"/>
    <s v="Net Banking"/>
    <s v="No"/>
    <s v="May"/>
    <n v="2022"/>
    <n v="0.5"/>
    <s v="Small"/>
    <s v="Medium Profit"/>
    <x v="13"/>
    <x v="13"/>
  </r>
  <r>
    <s v="ORD-0389"/>
    <d v="2024-12-03T00:00:00"/>
    <x v="2"/>
    <s v="Argentina"/>
    <s v="Rohan Joshi"/>
    <x v="3"/>
    <s v="Tennis Racket"/>
    <n v="41"/>
    <n v="5500"/>
    <n v="15"/>
    <n v="191675"/>
    <n v="86253.75"/>
    <n v="105421.25"/>
    <s v="B2C"/>
    <s v="Credit Card"/>
    <s v="No"/>
    <s v="Dec"/>
    <n v="2024"/>
    <n v="0.55000000000000004"/>
    <s v="Small"/>
    <s v="Medium Profit"/>
    <x v="20"/>
    <x v="20"/>
  </r>
  <r>
    <s v="ORD-0390"/>
    <d v="2024-01-22T00:00:00"/>
    <x v="1"/>
    <s v="USA"/>
    <s v="Neha Sharma"/>
    <x v="1"/>
    <s v="Smartwatch"/>
    <n v="3"/>
    <n v="15000"/>
    <n v="0"/>
    <n v="45000"/>
    <n v="24750"/>
    <n v="20250"/>
    <s v="Enterprise"/>
    <s v="Credit Card"/>
    <s v="No"/>
    <s v="Jan"/>
    <n v="2024"/>
    <n v="0.45"/>
    <s v="Small"/>
    <s v="Low Profit"/>
    <x v="3"/>
    <x v="3"/>
  </r>
  <r>
    <s v="ORD-0391"/>
    <d v="2023-07-26T00:00:00"/>
    <x v="0"/>
    <s v="China"/>
    <s v="Priya Mehta"/>
    <x v="2"/>
    <s v="Lamp"/>
    <n v="25"/>
    <n v="1500"/>
    <n v="15"/>
    <n v="31875"/>
    <n v="15937.5"/>
    <n v="15937.5"/>
    <s v="B2C"/>
    <s v="UPI"/>
    <s v="No"/>
    <s v="Jul"/>
    <n v="2023"/>
    <n v="0.5"/>
    <s v="Small"/>
    <s v="Medium Profit"/>
    <x v="5"/>
    <x v="5"/>
  </r>
  <r>
    <s v="ORD-0392"/>
    <d v="2024-11-08T00:00:00"/>
    <x v="2"/>
    <s v="Argentina"/>
    <s v="Amit Kumar"/>
    <x v="2"/>
    <s v="Air Fryer"/>
    <n v="20"/>
    <n v="8500"/>
    <n v="10"/>
    <n v="153000"/>
    <n v="76500"/>
    <n v="76500"/>
    <s v="Enterprise"/>
    <s v="Wallet"/>
    <s v="No"/>
    <s v="Nov"/>
    <n v="2024"/>
    <n v="0.5"/>
    <s v="Small"/>
    <s v="Medium Profit"/>
    <x v="18"/>
    <x v="18"/>
  </r>
  <r>
    <s v="ORD-0393"/>
    <d v="2022-10-04T00:00:00"/>
    <x v="1"/>
    <s v="USA"/>
    <s v="Neha Sharma"/>
    <x v="3"/>
    <s v="Football"/>
    <n v="36"/>
    <n v="900"/>
    <n v="0"/>
    <n v="32400"/>
    <n v="14580"/>
    <n v="17820"/>
    <s v="B2B"/>
    <s v="Net Banking"/>
    <s v="No"/>
    <s v="Oct"/>
    <n v="2022"/>
    <n v="0.55000000000000004"/>
    <s v="Small"/>
    <s v="Medium Profit"/>
    <x v="21"/>
    <x v="21"/>
  </r>
  <r>
    <s v="ORD-0394"/>
    <d v="2023-02-14T00:00:00"/>
    <x v="2"/>
    <s v="Brazil"/>
    <s v="Rahul Gupta"/>
    <x v="0"/>
    <s v="Cap"/>
    <n v="17"/>
    <n v="600"/>
    <n v="5"/>
    <n v="9690"/>
    <n v="3876"/>
    <n v="5814"/>
    <s v="B2B"/>
    <s v="Wallet"/>
    <s v="No"/>
    <s v="Feb"/>
    <n v="2023"/>
    <n v="0.6"/>
    <s v="Small"/>
    <s v="High Profit"/>
    <x v="6"/>
    <x v="6"/>
  </r>
  <r>
    <s v="ORD-0395"/>
    <d v="2022-04-28T00:00:00"/>
    <x v="3"/>
    <s v="France"/>
    <s v="Amit Kumar"/>
    <x v="1"/>
    <s v="Tablet"/>
    <n v="43"/>
    <n v="35000"/>
    <n v="0"/>
    <n v="1505000"/>
    <n v="827750"/>
    <n v="677250"/>
    <s v="B2B"/>
    <s v="UPI"/>
    <s v="No"/>
    <s v="Apr"/>
    <n v="2022"/>
    <n v="0.45"/>
    <s v="Large"/>
    <s v="Low Profit"/>
    <x v="28"/>
    <x v="28"/>
  </r>
  <r>
    <s v="ORD-0396"/>
    <d v="2024-08-11T00:00:00"/>
    <x v="0"/>
    <s v="India"/>
    <s v="Sneha Iyer"/>
    <x v="1"/>
    <s v="Tablet"/>
    <n v="40"/>
    <n v="35000"/>
    <n v="0"/>
    <n v="1400000"/>
    <n v="770000"/>
    <n v="630000"/>
    <s v="B2C"/>
    <s v="Cash"/>
    <s v="No"/>
    <s v="Aug"/>
    <n v="2024"/>
    <n v="0.45"/>
    <s v="Large"/>
    <s v="Low Profit"/>
    <x v="12"/>
    <x v="12"/>
  </r>
  <r>
    <s v="ORD-0397"/>
    <d v="2024-05-11T00:00:00"/>
    <x v="0"/>
    <s v="China"/>
    <s v="Neha Sharma"/>
    <x v="0"/>
    <s v="Cap"/>
    <n v="37"/>
    <n v="600"/>
    <n v="10"/>
    <n v="19980"/>
    <n v="7992"/>
    <n v="11988"/>
    <s v="B2C"/>
    <s v="UPI"/>
    <s v="No"/>
    <s v="May"/>
    <n v="2024"/>
    <n v="0.6"/>
    <s v="Small"/>
    <s v="High Profit"/>
    <x v="34"/>
    <x v="34"/>
  </r>
  <r>
    <s v="ORD-0398"/>
    <d v="2022-01-11T00:00:00"/>
    <x v="2"/>
    <s v="Brazil"/>
    <s v="Rohan Joshi"/>
    <x v="2"/>
    <s v="Sofa"/>
    <n v="9"/>
    <n v="25000"/>
    <n v="10"/>
    <n v="202500"/>
    <n v="101250"/>
    <n v="101250"/>
    <s v="B2C"/>
    <s v="Cash"/>
    <s v="No"/>
    <s v="Jan"/>
    <n v="2022"/>
    <n v="0.5"/>
    <s v="Small"/>
    <s v="Medium Profit"/>
    <x v="10"/>
    <x v="10"/>
  </r>
  <r>
    <s v="ORD-0399"/>
    <d v="2023-11-25T00:00:00"/>
    <x v="0"/>
    <s v="Japan"/>
    <s v="Amit Kumar"/>
    <x v="1"/>
    <s v="Smartphone"/>
    <n v="42"/>
    <n v="45000"/>
    <n v="20"/>
    <n v="1512000"/>
    <n v="831600"/>
    <n v="680400"/>
    <s v="B2C"/>
    <s v="UPI"/>
    <s v="No"/>
    <s v="Nov"/>
    <n v="2023"/>
    <n v="0.45"/>
    <s v="Large"/>
    <s v="Low Profit"/>
    <x v="32"/>
    <x v="32"/>
  </r>
  <r>
    <s v="ORD-0400"/>
    <d v="2024-11-07T00:00:00"/>
    <x v="0"/>
    <s v="China"/>
    <s v="Priya Mehta"/>
    <x v="1"/>
    <s v="Laptop"/>
    <n v="33"/>
    <n v="75000"/>
    <n v="0"/>
    <n v="2475000"/>
    <n v="1361250"/>
    <n v="1113750"/>
    <s v="Enterprise"/>
    <s v="Cash"/>
    <s v="Yes"/>
    <s v="Nov"/>
    <n v="2024"/>
    <n v="0.45"/>
    <s v="Large"/>
    <s v="Low Profit"/>
    <x v="18"/>
    <x v="18"/>
  </r>
  <r>
    <s v="ORD-0401"/>
    <d v="2023-02-02T00:00:00"/>
    <x v="0"/>
    <s v="China"/>
    <s v="Amit Kumar"/>
    <x v="3"/>
    <s v="Dumbbell"/>
    <n v="24"/>
    <n v="3000"/>
    <n v="15"/>
    <n v="61200"/>
    <n v="27540"/>
    <n v="33660"/>
    <s v="Enterprise"/>
    <s v="Net Banking"/>
    <s v="No"/>
    <s v="Feb"/>
    <n v="2023"/>
    <n v="0.55000000000000004"/>
    <s v="Small"/>
    <s v="Medium Profit"/>
    <x v="6"/>
    <x v="6"/>
  </r>
  <r>
    <s v="ORD-0402"/>
    <d v="2022-09-15T00:00:00"/>
    <x v="1"/>
    <s v="Canada"/>
    <s v="Anjali Singh"/>
    <x v="1"/>
    <s v="Smartphone"/>
    <n v="40"/>
    <n v="45000"/>
    <n v="5"/>
    <n v="1710000"/>
    <n v="940500"/>
    <n v="769500"/>
    <s v="B2B"/>
    <s v="Cash"/>
    <s v="Yes"/>
    <s v="Sep"/>
    <n v="2022"/>
    <n v="0.45"/>
    <s v="Large"/>
    <s v="Low Profit"/>
    <x v="17"/>
    <x v="17"/>
  </r>
  <r>
    <s v="ORD-0403"/>
    <d v="2022-11-06T00:00:00"/>
    <x v="2"/>
    <s v="Argentina"/>
    <s v="Anjali Singh"/>
    <x v="1"/>
    <s v="Smartphone"/>
    <n v="49"/>
    <n v="45000"/>
    <n v="15"/>
    <n v="1874250"/>
    <n v="1030837.5"/>
    <n v="843412.5"/>
    <s v="B2B"/>
    <s v="Net Banking"/>
    <s v="No"/>
    <s v="Nov"/>
    <n v="2022"/>
    <n v="0.45"/>
    <s v="Large"/>
    <s v="Low Profit"/>
    <x v="9"/>
    <x v="9"/>
  </r>
  <r>
    <s v="ORD-0404"/>
    <d v="2023-12-08T00:00:00"/>
    <x v="1"/>
    <s v="USA"/>
    <s v="Amit Kumar"/>
    <x v="2"/>
    <s v="Lamp"/>
    <n v="31"/>
    <n v="1500"/>
    <n v="15"/>
    <n v="39525"/>
    <n v="19762.5"/>
    <n v="19762.5"/>
    <s v="B2B"/>
    <s v="Net Banking"/>
    <s v="No"/>
    <s v="Dec"/>
    <n v="2023"/>
    <n v="0.5"/>
    <s v="Small"/>
    <s v="Medium Profit"/>
    <x v="30"/>
    <x v="30"/>
  </r>
  <r>
    <s v="ORD-0405"/>
    <d v="2022-07-23T00:00:00"/>
    <x v="0"/>
    <s v="China"/>
    <s v="Vikram Nair"/>
    <x v="0"/>
    <s v="Jeans"/>
    <n v="42"/>
    <n v="2500"/>
    <n v="15"/>
    <n v="89250"/>
    <n v="35700"/>
    <n v="53550"/>
    <s v="Enterprise"/>
    <s v="Credit Card"/>
    <s v="No"/>
    <s v="Jul"/>
    <n v="2022"/>
    <n v="0.6"/>
    <s v="Small"/>
    <s v="High Profit"/>
    <x v="16"/>
    <x v="16"/>
  </r>
  <r>
    <s v="ORD-0406"/>
    <d v="2024-10-09T00:00:00"/>
    <x v="3"/>
    <s v="UK"/>
    <s v="Amit Kumar"/>
    <x v="3"/>
    <s v="Cycle"/>
    <n v="23"/>
    <n v="18000"/>
    <n v="15"/>
    <n v="351900"/>
    <n v="158355"/>
    <n v="193545"/>
    <s v="Enterprise"/>
    <s v="Credit Card"/>
    <s v="No"/>
    <s v="Oct"/>
    <n v="2024"/>
    <n v="0.55000000000000004"/>
    <s v="Medium"/>
    <s v="Medium Profit"/>
    <x v="31"/>
    <x v="31"/>
  </r>
  <r>
    <s v="ORD-0407"/>
    <d v="2024-09-05T00:00:00"/>
    <x v="3"/>
    <s v="UK"/>
    <s v="Sneha Iyer"/>
    <x v="1"/>
    <s v="Smartwatch"/>
    <n v="42"/>
    <n v="15000"/>
    <n v="10"/>
    <n v="567000"/>
    <n v="311850"/>
    <n v="255150"/>
    <s v="B2B"/>
    <s v="UPI"/>
    <s v="No"/>
    <s v="Sep"/>
    <n v="2024"/>
    <n v="0.45"/>
    <s v="Medium"/>
    <s v="Low Profit"/>
    <x v="11"/>
    <x v="11"/>
  </r>
  <r>
    <s v="ORD-0408"/>
    <d v="2022-11-12T00:00:00"/>
    <x v="1"/>
    <s v="USA"/>
    <s v="Rohan Joshi"/>
    <x v="2"/>
    <s v="Blender"/>
    <n v="31"/>
    <n v="5000"/>
    <n v="15"/>
    <n v="131750"/>
    <n v="65875"/>
    <n v="65875"/>
    <s v="B2B"/>
    <s v="Wallet"/>
    <s v="No"/>
    <s v="Nov"/>
    <n v="2022"/>
    <n v="0.5"/>
    <s v="Small"/>
    <s v="Medium Profit"/>
    <x v="9"/>
    <x v="9"/>
  </r>
  <r>
    <s v="ORD-0409"/>
    <d v="2022-11-21T00:00:00"/>
    <x v="3"/>
    <s v="UK"/>
    <s v="Sneha Iyer"/>
    <x v="1"/>
    <s v="Smartphone"/>
    <n v="37"/>
    <n v="45000"/>
    <n v="20"/>
    <n v="1332000"/>
    <n v="732600"/>
    <n v="599400"/>
    <s v="B2B"/>
    <s v="Wallet"/>
    <s v="No"/>
    <s v="Nov"/>
    <n v="2022"/>
    <n v="0.45"/>
    <s v="Large"/>
    <s v="Low Profit"/>
    <x v="9"/>
    <x v="9"/>
  </r>
  <r>
    <s v="ORD-0410"/>
    <d v="2022-03-19T00:00:00"/>
    <x v="2"/>
    <s v="Brazil"/>
    <s v="Rahul Gupta"/>
    <x v="2"/>
    <s v="Air Fryer"/>
    <n v="34"/>
    <n v="8500"/>
    <n v="15"/>
    <n v="245650"/>
    <n v="122825"/>
    <n v="122825"/>
    <s v="Enterprise"/>
    <s v="Credit Card"/>
    <s v="Yes"/>
    <s v="Mar"/>
    <n v="2022"/>
    <n v="0.5"/>
    <s v="Small"/>
    <s v="Medium Profit"/>
    <x v="1"/>
    <x v="1"/>
  </r>
  <r>
    <s v="ORD-0411"/>
    <d v="2023-07-03T00:00:00"/>
    <x v="2"/>
    <s v="Argentina"/>
    <s v="Neha Sharma"/>
    <x v="3"/>
    <s v="Tennis Racket"/>
    <n v="11"/>
    <n v="5500"/>
    <n v="5"/>
    <n v="57475"/>
    <n v="25863.75"/>
    <n v="31611.25"/>
    <s v="Enterprise"/>
    <s v="UPI"/>
    <s v="No"/>
    <s v="Jul"/>
    <n v="2023"/>
    <n v="0.55000000000000004"/>
    <s v="Small"/>
    <s v="Medium Profit"/>
    <x v="5"/>
    <x v="5"/>
  </r>
  <r>
    <s v="ORD-0412"/>
    <d v="2022-12-20T00:00:00"/>
    <x v="0"/>
    <s v="India"/>
    <s v="Anjali Singh"/>
    <x v="3"/>
    <s v="Football"/>
    <n v="38"/>
    <n v="900"/>
    <n v="0"/>
    <n v="34200"/>
    <n v="15390"/>
    <n v="18810"/>
    <s v="B2C"/>
    <s v="Cash"/>
    <s v="No"/>
    <s v="Dec"/>
    <n v="2022"/>
    <n v="0.55000000000000004"/>
    <s v="Small"/>
    <s v="Medium Profit"/>
    <x v="24"/>
    <x v="24"/>
  </r>
  <r>
    <s v="ORD-0413"/>
    <d v="2022-09-04T00:00:00"/>
    <x v="1"/>
    <s v="USA"/>
    <s v="Amit Kumar"/>
    <x v="3"/>
    <s v="Dumbbell"/>
    <n v="39"/>
    <n v="3000"/>
    <n v="0"/>
    <n v="117000"/>
    <n v="52650"/>
    <n v="64350"/>
    <s v="B2C"/>
    <s v="Wallet"/>
    <s v="No"/>
    <s v="Sep"/>
    <n v="2022"/>
    <n v="0.55000000000000004"/>
    <s v="Small"/>
    <s v="Medium Profit"/>
    <x v="17"/>
    <x v="17"/>
  </r>
  <r>
    <s v="ORD-0414"/>
    <d v="2022-03-26T00:00:00"/>
    <x v="1"/>
    <s v="USA"/>
    <s v="Pooja Patel"/>
    <x v="0"/>
    <s v="Cap"/>
    <n v="35"/>
    <n v="600"/>
    <n v="0"/>
    <n v="21000"/>
    <n v="8400"/>
    <n v="12600"/>
    <s v="Enterprise"/>
    <s v="Cash"/>
    <s v="No"/>
    <s v="Mar"/>
    <n v="2022"/>
    <n v="0.6"/>
    <s v="Small"/>
    <s v="High Profit"/>
    <x v="1"/>
    <x v="1"/>
  </r>
  <r>
    <s v="ORD-0415"/>
    <d v="2023-12-28T00:00:00"/>
    <x v="1"/>
    <s v="Canada"/>
    <s v="Sneha Iyer"/>
    <x v="3"/>
    <s v="Tennis Racket"/>
    <n v="23"/>
    <n v="5500"/>
    <n v="20"/>
    <n v="101200"/>
    <n v="45540"/>
    <n v="55660"/>
    <s v="B2B"/>
    <s v="Cash"/>
    <s v="Yes"/>
    <s v="Dec"/>
    <n v="2023"/>
    <n v="0.55000000000000004"/>
    <s v="Small"/>
    <s v="Medium Profit"/>
    <x v="30"/>
    <x v="30"/>
  </r>
  <r>
    <s v="ORD-0416"/>
    <d v="2022-09-09T00:00:00"/>
    <x v="3"/>
    <s v="UK"/>
    <s v="Priya Mehta"/>
    <x v="2"/>
    <s v="Rug"/>
    <n v="35"/>
    <n v="4000"/>
    <n v="15"/>
    <n v="119000"/>
    <n v="59500"/>
    <n v="59500"/>
    <s v="B2B"/>
    <s v="Credit Card"/>
    <s v="No"/>
    <s v="Sep"/>
    <n v="2022"/>
    <n v="0.5"/>
    <s v="Small"/>
    <s v="Medium Profit"/>
    <x v="17"/>
    <x v="17"/>
  </r>
  <r>
    <s v="ORD-0417"/>
    <d v="2022-01-19T00:00:00"/>
    <x v="1"/>
    <s v="USA"/>
    <s v="Rohan Joshi"/>
    <x v="0"/>
    <s v="T-Shirt"/>
    <n v="27"/>
    <n v="800"/>
    <n v="10"/>
    <n v="19440"/>
    <n v="7776"/>
    <n v="11664"/>
    <s v="B2B"/>
    <s v="Cash"/>
    <s v="No"/>
    <s v="Jan"/>
    <n v="2022"/>
    <n v="0.6"/>
    <s v="Small"/>
    <s v="High Profit"/>
    <x v="10"/>
    <x v="10"/>
  </r>
  <r>
    <s v="ORD-0418"/>
    <d v="2023-05-09T00:00:00"/>
    <x v="3"/>
    <s v="France"/>
    <s v="Anjali Singh"/>
    <x v="2"/>
    <s v="Lamp"/>
    <n v="49"/>
    <n v="1500"/>
    <n v="5"/>
    <n v="69825"/>
    <n v="34912.5"/>
    <n v="34912.5"/>
    <s v="Enterprise"/>
    <s v="Wallet"/>
    <s v="No"/>
    <s v="May"/>
    <n v="2023"/>
    <n v="0.5"/>
    <s v="Small"/>
    <s v="Medium Profit"/>
    <x v="33"/>
    <x v="33"/>
  </r>
  <r>
    <s v="ORD-0419"/>
    <d v="2024-07-06T00:00:00"/>
    <x v="0"/>
    <s v="China"/>
    <s v="Amit Kumar"/>
    <x v="3"/>
    <s v="Cycle"/>
    <n v="20"/>
    <n v="18000"/>
    <n v="20"/>
    <n v="288000"/>
    <n v="129600"/>
    <n v="158400"/>
    <s v="Enterprise"/>
    <s v="Cash"/>
    <s v="No"/>
    <s v="Jul"/>
    <n v="2024"/>
    <n v="0.55000000000000004"/>
    <s v="Small"/>
    <s v="Medium Profit"/>
    <x v="15"/>
    <x v="15"/>
  </r>
  <r>
    <s v="ORD-0420"/>
    <d v="2022-09-28T00:00:00"/>
    <x v="1"/>
    <s v="USA"/>
    <s v="Pooja Patel"/>
    <x v="0"/>
    <s v="Jacket"/>
    <n v="14"/>
    <n v="3500"/>
    <n v="20"/>
    <n v="39200"/>
    <n v="15680"/>
    <n v="23520"/>
    <s v="B2C"/>
    <s v="Wallet"/>
    <s v="No"/>
    <s v="Sep"/>
    <n v="2022"/>
    <n v="0.6"/>
    <s v="Small"/>
    <s v="High Profit"/>
    <x v="17"/>
    <x v="17"/>
  </r>
  <r>
    <s v="ORD-0421"/>
    <d v="2022-04-06T00:00:00"/>
    <x v="3"/>
    <s v="France"/>
    <s v="Aarav Shah"/>
    <x v="1"/>
    <s v="Smartphone"/>
    <n v="31"/>
    <n v="45000"/>
    <n v="20"/>
    <n v="1116000"/>
    <n v="613800"/>
    <n v="502200"/>
    <s v="B2B"/>
    <s v="Credit Card"/>
    <s v="No"/>
    <s v="Apr"/>
    <n v="2022"/>
    <n v="0.45"/>
    <s v="Large"/>
    <s v="Low Profit"/>
    <x v="28"/>
    <x v="28"/>
  </r>
  <r>
    <s v="ORD-0422"/>
    <d v="2023-05-08T00:00:00"/>
    <x v="0"/>
    <s v="India"/>
    <s v="Neha Sharma"/>
    <x v="1"/>
    <s v="Headphones"/>
    <n v="26"/>
    <n v="8000"/>
    <n v="20"/>
    <n v="166400"/>
    <n v="91520"/>
    <n v="74880"/>
    <s v="B2C"/>
    <s v="Wallet"/>
    <s v="Yes"/>
    <s v="May"/>
    <n v="2023"/>
    <n v="0.45"/>
    <s v="Small"/>
    <s v="Low Profit"/>
    <x v="33"/>
    <x v="33"/>
  </r>
  <r>
    <s v="ORD-0423"/>
    <d v="2022-04-25T00:00:00"/>
    <x v="2"/>
    <s v="Argentina"/>
    <s v="Pooja Patel"/>
    <x v="1"/>
    <s v="Smartphone"/>
    <n v="43"/>
    <n v="45000"/>
    <n v="20"/>
    <n v="1548000"/>
    <n v="851400"/>
    <n v="696600"/>
    <s v="B2B"/>
    <s v="Credit Card"/>
    <s v="No"/>
    <s v="Apr"/>
    <n v="2022"/>
    <n v="0.45"/>
    <s v="Large"/>
    <s v="Low Profit"/>
    <x v="28"/>
    <x v="28"/>
  </r>
  <r>
    <s v="ORD-0424"/>
    <d v="2024-09-17T00:00:00"/>
    <x v="2"/>
    <s v="Brazil"/>
    <s v="Aarav Shah"/>
    <x v="2"/>
    <s v="Air Fryer"/>
    <n v="42"/>
    <n v="8500"/>
    <n v="0"/>
    <n v="357000"/>
    <n v="178500"/>
    <n v="178500"/>
    <s v="B2B"/>
    <s v="Net Banking"/>
    <s v="No"/>
    <s v="Sep"/>
    <n v="2024"/>
    <n v="0.5"/>
    <s v="Medium"/>
    <s v="Medium Profit"/>
    <x v="11"/>
    <x v="11"/>
  </r>
  <r>
    <s v="ORD-0425"/>
    <d v="2024-02-12T00:00:00"/>
    <x v="3"/>
    <s v="Germany"/>
    <s v="Neha Sharma"/>
    <x v="0"/>
    <s v="Cap"/>
    <n v="1"/>
    <n v="600"/>
    <n v="0"/>
    <n v="600"/>
    <n v="240"/>
    <n v="360"/>
    <s v="Enterprise"/>
    <s v="Net Banking"/>
    <s v="No"/>
    <s v="Feb"/>
    <n v="2024"/>
    <n v="0.6"/>
    <s v="Small"/>
    <s v="High Profit"/>
    <x v="23"/>
    <x v="23"/>
  </r>
  <r>
    <s v="ORD-0426"/>
    <d v="2024-12-19T00:00:00"/>
    <x v="0"/>
    <s v="Japan"/>
    <s v="Vikram Nair"/>
    <x v="0"/>
    <s v="Cap"/>
    <n v="13"/>
    <n v="600"/>
    <n v="15"/>
    <n v="6630"/>
    <n v="2652"/>
    <n v="3978"/>
    <s v="Enterprise"/>
    <s v="Credit Card"/>
    <s v="No"/>
    <s v="Dec"/>
    <n v="2024"/>
    <n v="0.6"/>
    <s v="Small"/>
    <s v="High Profit"/>
    <x v="20"/>
    <x v="20"/>
  </r>
  <r>
    <s v="ORD-0427"/>
    <d v="2023-05-06T00:00:00"/>
    <x v="3"/>
    <s v="France"/>
    <s v="Priya Mehta"/>
    <x v="1"/>
    <s v="Smartwatch"/>
    <n v="19"/>
    <n v="15000"/>
    <n v="10"/>
    <n v="256500"/>
    <n v="141075"/>
    <n v="115425"/>
    <s v="Enterprise"/>
    <s v="Net Banking"/>
    <s v="No"/>
    <s v="May"/>
    <n v="2023"/>
    <n v="0.45"/>
    <s v="Small"/>
    <s v="Low Profit"/>
    <x v="33"/>
    <x v="33"/>
  </r>
  <r>
    <s v="ORD-0428"/>
    <d v="2024-11-27T00:00:00"/>
    <x v="0"/>
    <s v="China"/>
    <s v="Pooja Patel"/>
    <x v="3"/>
    <s v="Football"/>
    <n v="31"/>
    <n v="900"/>
    <n v="5"/>
    <n v="26505"/>
    <n v="11927.25"/>
    <n v="14577.75"/>
    <s v="B2C"/>
    <s v="Cash"/>
    <s v="No"/>
    <s v="Nov"/>
    <n v="2024"/>
    <n v="0.55000000000000004"/>
    <s v="Small"/>
    <s v="Medium Profit"/>
    <x v="18"/>
    <x v="18"/>
  </r>
  <r>
    <s v="ORD-0429"/>
    <d v="2022-02-16T00:00:00"/>
    <x v="1"/>
    <s v="Canada"/>
    <s v="Priya Mehta"/>
    <x v="3"/>
    <s v="Dumbbell"/>
    <n v="44"/>
    <n v="3000"/>
    <n v="5"/>
    <n v="125400"/>
    <n v="56430"/>
    <n v="68970"/>
    <s v="B2C"/>
    <s v="Net Banking"/>
    <s v="No"/>
    <s v="Feb"/>
    <n v="2022"/>
    <n v="0.55000000000000004"/>
    <s v="Small"/>
    <s v="Medium Profit"/>
    <x v="29"/>
    <x v="29"/>
  </r>
  <r>
    <s v="ORD-0430"/>
    <d v="2024-10-18T00:00:00"/>
    <x v="1"/>
    <s v="Canada"/>
    <s v="Sneha Iyer"/>
    <x v="2"/>
    <s v="Blender"/>
    <n v="26"/>
    <n v="5000"/>
    <n v="10"/>
    <n v="117000"/>
    <n v="58500"/>
    <n v="58500"/>
    <s v="Enterprise"/>
    <s v="UPI"/>
    <s v="No"/>
    <s v="Oct"/>
    <n v="2024"/>
    <n v="0.5"/>
    <s v="Small"/>
    <s v="Medium Profit"/>
    <x v="31"/>
    <x v="31"/>
  </r>
  <r>
    <s v="ORD-0431"/>
    <d v="2024-07-11T00:00:00"/>
    <x v="0"/>
    <s v="India"/>
    <s v="Neha Sharma"/>
    <x v="2"/>
    <s v="Air Fryer"/>
    <n v="48"/>
    <n v="8500"/>
    <n v="5"/>
    <n v="387600"/>
    <n v="193800"/>
    <n v="193800"/>
    <s v="Enterprise"/>
    <s v="UPI"/>
    <s v="No"/>
    <s v="Jul"/>
    <n v="2024"/>
    <n v="0.5"/>
    <s v="Medium"/>
    <s v="Medium Profit"/>
    <x v="15"/>
    <x v="15"/>
  </r>
  <r>
    <s v="ORD-0432"/>
    <d v="2023-04-24T00:00:00"/>
    <x v="2"/>
    <s v="Argentina"/>
    <s v="Sneha Iyer"/>
    <x v="0"/>
    <s v="Sneakers"/>
    <n v="16"/>
    <n v="4200"/>
    <n v="20"/>
    <n v="53760"/>
    <n v="21504"/>
    <n v="32256"/>
    <s v="B2B"/>
    <s v="Credit Card"/>
    <s v="No"/>
    <s v="Apr"/>
    <n v="2023"/>
    <n v="0.6"/>
    <s v="Small"/>
    <s v="High Profit"/>
    <x v="26"/>
    <x v="26"/>
  </r>
  <r>
    <s v="ORD-0433"/>
    <d v="2022-08-03T00:00:00"/>
    <x v="3"/>
    <s v="France"/>
    <s v="Aarav Shah"/>
    <x v="1"/>
    <s v="Headphones"/>
    <n v="24"/>
    <n v="8000"/>
    <n v="20"/>
    <n v="153600"/>
    <n v="84480"/>
    <n v="69120"/>
    <s v="B2C"/>
    <s v="Wallet"/>
    <s v="No"/>
    <s v="Aug"/>
    <n v="2022"/>
    <n v="0.45"/>
    <s v="Small"/>
    <s v="Low Profit"/>
    <x v="0"/>
    <x v="0"/>
  </r>
  <r>
    <s v="ORD-0434"/>
    <d v="2023-06-16T00:00:00"/>
    <x v="2"/>
    <s v="Argentina"/>
    <s v="Rohan Joshi"/>
    <x v="0"/>
    <s v="Cap"/>
    <n v="9"/>
    <n v="600"/>
    <n v="0"/>
    <n v="5400"/>
    <n v="2160"/>
    <n v="3240"/>
    <s v="B2C"/>
    <s v="Cash"/>
    <s v="Yes"/>
    <s v="Jun"/>
    <n v="2023"/>
    <n v="0.6"/>
    <s v="Small"/>
    <s v="High Profit"/>
    <x v="2"/>
    <x v="2"/>
  </r>
  <r>
    <s v="ORD-0435"/>
    <d v="2024-11-02T00:00:00"/>
    <x v="0"/>
    <s v="Japan"/>
    <s v="Rahul Gupta"/>
    <x v="3"/>
    <s v="Yoga Mat"/>
    <n v="45"/>
    <n v="1200"/>
    <n v="20"/>
    <n v="43200"/>
    <n v="19440"/>
    <n v="23760"/>
    <s v="B2C"/>
    <s v="Credit Card"/>
    <s v="No"/>
    <s v="Nov"/>
    <n v="2024"/>
    <n v="0.55000000000000004"/>
    <s v="Small"/>
    <s v="Medium Profit"/>
    <x v="18"/>
    <x v="18"/>
  </r>
  <r>
    <s v="ORD-0436"/>
    <d v="2022-01-22T00:00:00"/>
    <x v="2"/>
    <s v="Argentina"/>
    <s v="Neha Sharma"/>
    <x v="1"/>
    <s v="Tablet"/>
    <n v="24"/>
    <n v="35000"/>
    <n v="20"/>
    <n v="672000"/>
    <n v="369600"/>
    <n v="302400"/>
    <s v="B2B"/>
    <s v="Wallet"/>
    <s v="No"/>
    <s v="Jan"/>
    <n v="2022"/>
    <n v="0.45"/>
    <s v="Medium"/>
    <s v="Low Profit"/>
    <x v="10"/>
    <x v="10"/>
  </r>
  <r>
    <s v="ORD-0437"/>
    <d v="2023-05-08T00:00:00"/>
    <x v="0"/>
    <s v="Japan"/>
    <s v="Neha Sharma"/>
    <x v="2"/>
    <s v="Sofa"/>
    <n v="12"/>
    <n v="25000"/>
    <n v="15"/>
    <n v="255000"/>
    <n v="127500"/>
    <n v="127500"/>
    <s v="B2B"/>
    <s v="Cash"/>
    <s v="No"/>
    <s v="May"/>
    <n v="2023"/>
    <n v="0.5"/>
    <s v="Small"/>
    <s v="Medium Profit"/>
    <x v="33"/>
    <x v="33"/>
  </r>
  <r>
    <s v="ORD-0438"/>
    <d v="2023-12-12T00:00:00"/>
    <x v="3"/>
    <s v="Germany"/>
    <s v="Pooja Patel"/>
    <x v="0"/>
    <s v="Cap"/>
    <n v="9"/>
    <n v="600"/>
    <n v="20"/>
    <n v="4320"/>
    <n v="1728"/>
    <n v="2592"/>
    <s v="B2B"/>
    <s v="Net Banking"/>
    <s v="No"/>
    <s v="Dec"/>
    <n v="2023"/>
    <n v="0.6"/>
    <s v="Small"/>
    <s v="High Profit"/>
    <x v="30"/>
    <x v="30"/>
  </r>
  <r>
    <s v="ORD-0439"/>
    <d v="2023-04-18T00:00:00"/>
    <x v="3"/>
    <s v="Germany"/>
    <s v="Sneha Iyer"/>
    <x v="0"/>
    <s v="Sneakers"/>
    <n v="31"/>
    <n v="4200"/>
    <n v="0"/>
    <n v="130200"/>
    <n v="52080"/>
    <n v="78120"/>
    <s v="B2C"/>
    <s v="Cash"/>
    <s v="No"/>
    <s v="Apr"/>
    <n v="2023"/>
    <n v="0.6"/>
    <s v="Small"/>
    <s v="High Profit"/>
    <x v="26"/>
    <x v="26"/>
  </r>
  <r>
    <s v="ORD-0440"/>
    <d v="2022-09-28T00:00:00"/>
    <x v="0"/>
    <s v="Japan"/>
    <s v="Vikram Nair"/>
    <x v="2"/>
    <s v="Rug"/>
    <n v="37"/>
    <n v="4000"/>
    <n v="0"/>
    <n v="148000"/>
    <n v="74000"/>
    <n v="74000"/>
    <s v="B2B"/>
    <s v="UPI"/>
    <s v="No"/>
    <s v="Sep"/>
    <n v="2022"/>
    <n v="0.5"/>
    <s v="Small"/>
    <s v="Medium Profit"/>
    <x v="17"/>
    <x v="17"/>
  </r>
  <r>
    <s v="ORD-0441"/>
    <d v="2022-04-07T00:00:00"/>
    <x v="0"/>
    <s v="Japan"/>
    <s v="Priya Mehta"/>
    <x v="3"/>
    <s v="Cycle"/>
    <n v="17"/>
    <n v="18000"/>
    <n v="10"/>
    <n v="275400"/>
    <n v="123930"/>
    <n v="151470"/>
    <s v="Enterprise"/>
    <s v="Wallet"/>
    <s v="No"/>
    <s v="Apr"/>
    <n v="2022"/>
    <n v="0.55000000000000004"/>
    <s v="Small"/>
    <s v="Medium Profit"/>
    <x v="28"/>
    <x v="28"/>
  </r>
  <r>
    <s v="ORD-0442"/>
    <d v="2023-05-12T00:00:00"/>
    <x v="1"/>
    <s v="Canada"/>
    <s v="Priya Mehta"/>
    <x v="2"/>
    <s v="Rug"/>
    <n v="13"/>
    <n v="4000"/>
    <n v="20"/>
    <n v="41600"/>
    <n v="20800"/>
    <n v="20800"/>
    <s v="Enterprise"/>
    <s v="Wallet"/>
    <s v="Yes"/>
    <s v="May"/>
    <n v="2023"/>
    <n v="0.5"/>
    <s v="Small"/>
    <s v="Medium Profit"/>
    <x v="33"/>
    <x v="33"/>
  </r>
  <r>
    <s v="ORD-0443"/>
    <d v="2022-12-25T00:00:00"/>
    <x v="0"/>
    <s v="Japan"/>
    <s v="Anjali Singh"/>
    <x v="3"/>
    <s v="Tennis Racket"/>
    <n v="6"/>
    <n v="5500"/>
    <n v="15"/>
    <n v="28050"/>
    <n v="12622.5"/>
    <n v="15427.5"/>
    <s v="B2C"/>
    <s v="Cash"/>
    <s v="Yes"/>
    <s v="Dec"/>
    <n v="2022"/>
    <n v="0.55000000000000004"/>
    <s v="Small"/>
    <s v="Medium Profit"/>
    <x v="24"/>
    <x v="24"/>
  </r>
  <r>
    <s v="ORD-0444"/>
    <d v="2022-10-28T00:00:00"/>
    <x v="2"/>
    <s v="Argentina"/>
    <s v="Rohan Joshi"/>
    <x v="3"/>
    <s v="Yoga Mat"/>
    <n v="6"/>
    <n v="1200"/>
    <n v="5"/>
    <n v="6840"/>
    <n v="3078"/>
    <n v="3762"/>
    <s v="B2B"/>
    <s v="Net Banking"/>
    <s v="No"/>
    <s v="Oct"/>
    <n v="2022"/>
    <n v="0.55000000000000004"/>
    <s v="Small"/>
    <s v="Medium Profit"/>
    <x v="21"/>
    <x v="21"/>
  </r>
  <r>
    <s v="ORD-0445"/>
    <d v="2023-09-21T00:00:00"/>
    <x v="0"/>
    <s v="China"/>
    <s v="Vikram Nair"/>
    <x v="3"/>
    <s v="Cycle"/>
    <n v="29"/>
    <n v="18000"/>
    <n v="10"/>
    <n v="469800"/>
    <n v="211410"/>
    <n v="258390"/>
    <s v="Enterprise"/>
    <s v="Cash"/>
    <s v="Yes"/>
    <s v="Sep"/>
    <n v="2023"/>
    <n v="0.55000000000000004"/>
    <s v="Medium"/>
    <s v="Medium Profit"/>
    <x v="7"/>
    <x v="7"/>
  </r>
  <r>
    <s v="ORD-0446"/>
    <d v="2024-03-06T00:00:00"/>
    <x v="2"/>
    <s v="Brazil"/>
    <s v="Rahul Gupta"/>
    <x v="0"/>
    <s v="T-Shirt"/>
    <n v="48"/>
    <n v="800"/>
    <n v="0"/>
    <n v="38400"/>
    <n v="15360"/>
    <n v="23040"/>
    <s v="B2B"/>
    <s v="Cash"/>
    <s v="No"/>
    <s v="Mar"/>
    <n v="2024"/>
    <n v="0.6"/>
    <s v="Small"/>
    <s v="High Profit"/>
    <x v="27"/>
    <x v="27"/>
  </r>
  <r>
    <s v="ORD-0447"/>
    <d v="2022-07-04T00:00:00"/>
    <x v="1"/>
    <s v="Canada"/>
    <s v="Amit Kumar"/>
    <x v="1"/>
    <s v="Laptop"/>
    <n v="50"/>
    <n v="75000"/>
    <n v="15"/>
    <n v="3187500"/>
    <n v="1753125"/>
    <n v="1434375"/>
    <s v="B2B"/>
    <s v="Credit Card"/>
    <s v="Yes"/>
    <s v="Jul"/>
    <n v="2022"/>
    <n v="0.45"/>
    <s v="Large"/>
    <s v="Low Profit"/>
    <x v="16"/>
    <x v="16"/>
  </r>
  <r>
    <s v="ORD-0448"/>
    <d v="2023-05-20T00:00:00"/>
    <x v="2"/>
    <s v="Brazil"/>
    <s v="Rohan Joshi"/>
    <x v="2"/>
    <s v="Air Fryer"/>
    <n v="16"/>
    <n v="8500"/>
    <n v="10"/>
    <n v="122400"/>
    <n v="61200"/>
    <n v="61200"/>
    <s v="Enterprise"/>
    <s v="UPI"/>
    <s v="No"/>
    <s v="May"/>
    <n v="2023"/>
    <n v="0.5"/>
    <s v="Small"/>
    <s v="Medium Profit"/>
    <x v="33"/>
    <x v="33"/>
  </r>
  <r>
    <s v="ORD-0449"/>
    <d v="2022-09-17T00:00:00"/>
    <x v="2"/>
    <s v="Brazil"/>
    <s v="Aarav Shah"/>
    <x v="2"/>
    <s v="Sofa"/>
    <n v="31"/>
    <n v="25000"/>
    <n v="15"/>
    <n v="658750"/>
    <n v="329375"/>
    <n v="329375"/>
    <s v="B2C"/>
    <s v="Wallet"/>
    <s v="Yes"/>
    <s v="Sep"/>
    <n v="2022"/>
    <n v="0.5"/>
    <s v="Medium"/>
    <s v="Medium Profit"/>
    <x v="17"/>
    <x v="17"/>
  </r>
  <r>
    <s v="ORD-0450"/>
    <d v="2024-05-05T00:00:00"/>
    <x v="2"/>
    <s v="Argentina"/>
    <s v="Neha Sharma"/>
    <x v="3"/>
    <s v="Football"/>
    <n v="41"/>
    <n v="900"/>
    <n v="20"/>
    <n v="29520"/>
    <n v="13284"/>
    <n v="16236"/>
    <s v="B2C"/>
    <s v="Cash"/>
    <s v="No"/>
    <s v="May"/>
    <n v="2024"/>
    <n v="0.55000000000000004"/>
    <s v="Small"/>
    <s v="Medium Profit"/>
    <x v="34"/>
    <x v="34"/>
  </r>
  <r>
    <s v="ORD-0451"/>
    <d v="2024-11-08T00:00:00"/>
    <x v="1"/>
    <s v="Canada"/>
    <s v="Vikram Nair"/>
    <x v="2"/>
    <s v="Lamp"/>
    <n v="17"/>
    <n v="1500"/>
    <n v="5"/>
    <n v="24225"/>
    <n v="12112.5"/>
    <n v="12112.5"/>
    <s v="B2B"/>
    <s v="Credit Card"/>
    <s v="No"/>
    <s v="Nov"/>
    <n v="2024"/>
    <n v="0.5"/>
    <s v="Small"/>
    <s v="Medium Profit"/>
    <x v="18"/>
    <x v="18"/>
  </r>
  <r>
    <s v="ORD-0452"/>
    <d v="2024-10-27T00:00:00"/>
    <x v="2"/>
    <s v="Argentina"/>
    <s v="Vikram Nair"/>
    <x v="3"/>
    <s v="Football"/>
    <n v="1"/>
    <n v="900"/>
    <n v="15"/>
    <n v="765"/>
    <n v="344.25"/>
    <n v="420.75"/>
    <s v="B2C"/>
    <s v="Credit Card"/>
    <s v="No"/>
    <s v="Oct"/>
    <n v="2024"/>
    <n v="0.55000000000000004"/>
    <s v="Small"/>
    <s v="Medium Profit"/>
    <x v="31"/>
    <x v="31"/>
  </r>
  <r>
    <s v="ORD-0453"/>
    <d v="2024-04-26T00:00:00"/>
    <x v="0"/>
    <s v="China"/>
    <s v="Sneha Iyer"/>
    <x v="1"/>
    <s v="Smartwatch"/>
    <n v="24"/>
    <n v="15000"/>
    <n v="5"/>
    <n v="342000"/>
    <n v="188100"/>
    <n v="153900"/>
    <s v="Enterprise"/>
    <s v="Cash"/>
    <s v="No"/>
    <s v="Apr"/>
    <n v="2024"/>
    <n v="0.45"/>
    <s v="Medium"/>
    <s v="Low Profit"/>
    <x v="8"/>
    <x v="8"/>
  </r>
  <r>
    <s v="ORD-0454"/>
    <d v="2024-02-08T00:00:00"/>
    <x v="2"/>
    <s v="Argentina"/>
    <s v="Rohan Joshi"/>
    <x v="0"/>
    <s v="T-Shirt"/>
    <n v="6"/>
    <n v="800"/>
    <n v="15"/>
    <n v="4080"/>
    <n v="1632"/>
    <n v="2448"/>
    <s v="Enterprise"/>
    <s v="Wallet"/>
    <s v="No"/>
    <s v="Feb"/>
    <n v="2024"/>
    <n v="0.6"/>
    <s v="Small"/>
    <s v="High Profit"/>
    <x v="23"/>
    <x v="23"/>
  </r>
  <r>
    <s v="ORD-0455"/>
    <d v="2023-06-10T00:00:00"/>
    <x v="0"/>
    <s v="Japan"/>
    <s v="Sneha Iyer"/>
    <x v="1"/>
    <s v="Smartphone"/>
    <n v="9"/>
    <n v="45000"/>
    <n v="10"/>
    <n v="364500"/>
    <n v="200475"/>
    <n v="164025"/>
    <s v="Enterprise"/>
    <s v="Cash"/>
    <s v="No"/>
    <s v="Jun"/>
    <n v="2023"/>
    <n v="0.45"/>
    <s v="Medium"/>
    <s v="Low Profit"/>
    <x v="2"/>
    <x v="2"/>
  </r>
  <r>
    <s v="ORD-0456"/>
    <d v="2024-05-09T00:00:00"/>
    <x v="3"/>
    <s v="UK"/>
    <s v="Anjali Singh"/>
    <x v="1"/>
    <s v="Smartphone"/>
    <n v="4"/>
    <n v="45000"/>
    <n v="20"/>
    <n v="144000"/>
    <n v="79200"/>
    <n v="64800"/>
    <s v="B2B"/>
    <s v="Credit Card"/>
    <s v="No"/>
    <s v="May"/>
    <n v="2024"/>
    <n v="0.45"/>
    <s v="Small"/>
    <s v="Low Profit"/>
    <x v="34"/>
    <x v="34"/>
  </r>
  <r>
    <s v="ORD-0457"/>
    <d v="2023-07-09T00:00:00"/>
    <x v="2"/>
    <s v="Argentina"/>
    <s v="Aarav Shah"/>
    <x v="0"/>
    <s v="Jacket"/>
    <n v="10"/>
    <n v="3500"/>
    <n v="0"/>
    <n v="35000"/>
    <n v="14000"/>
    <n v="21000"/>
    <s v="B2B"/>
    <s v="Net Banking"/>
    <s v="No"/>
    <s v="Jul"/>
    <n v="2023"/>
    <n v="0.6"/>
    <s v="Small"/>
    <s v="High Profit"/>
    <x v="5"/>
    <x v="5"/>
  </r>
  <r>
    <s v="ORD-0458"/>
    <d v="2024-03-10T00:00:00"/>
    <x v="3"/>
    <s v="Germany"/>
    <s v="Pooja Patel"/>
    <x v="1"/>
    <s v="Tablet"/>
    <n v="6"/>
    <n v="35000"/>
    <n v="5"/>
    <n v="199500"/>
    <n v="109725"/>
    <n v="89775"/>
    <s v="B2C"/>
    <s v="Cash"/>
    <s v="No"/>
    <s v="Mar"/>
    <n v="2024"/>
    <n v="0.45"/>
    <s v="Small"/>
    <s v="Low Profit"/>
    <x v="27"/>
    <x v="27"/>
  </r>
  <r>
    <s v="ORD-0459"/>
    <d v="2022-05-18T00:00:00"/>
    <x v="3"/>
    <s v="UK"/>
    <s v="Sneha Iyer"/>
    <x v="2"/>
    <s v="Lamp"/>
    <n v="1"/>
    <n v="1500"/>
    <n v="0"/>
    <n v="1500"/>
    <n v="750"/>
    <n v="750"/>
    <s v="B2C"/>
    <s v="Cash"/>
    <s v="No"/>
    <s v="May"/>
    <n v="2022"/>
    <n v="0.5"/>
    <s v="Small"/>
    <s v="Medium Profit"/>
    <x v="13"/>
    <x v="13"/>
  </r>
  <r>
    <s v="ORD-0460"/>
    <d v="2023-04-24T00:00:00"/>
    <x v="1"/>
    <s v="USA"/>
    <s v="Pooja Patel"/>
    <x v="1"/>
    <s v="Smartwatch"/>
    <n v="43"/>
    <n v="15000"/>
    <n v="5"/>
    <n v="612750"/>
    <n v="337012.5"/>
    <n v="275737.5"/>
    <s v="B2C"/>
    <s v="Net Banking"/>
    <s v="No"/>
    <s v="Apr"/>
    <n v="2023"/>
    <n v="0.45"/>
    <s v="Medium"/>
    <s v="Low Profit"/>
    <x v="26"/>
    <x v="26"/>
  </r>
  <r>
    <s v="ORD-0461"/>
    <d v="2023-09-06T00:00:00"/>
    <x v="1"/>
    <s v="USA"/>
    <s v="Vikram Nair"/>
    <x v="3"/>
    <s v="Cycle"/>
    <n v="13"/>
    <n v="18000"/>
    <n v="10"/>
    <n v="210600"/>
    <n v="94770"/>
    <n v="115830"/>
    <s v="Enterprise"/>
    <s v="UPI"/>
    <s v="No"/>
    <s v="Sep"/>
    <n v="2023"/>
    <n v="0.55000000000000004"/>
    <s v="Small"/>
    <s v="Medium Profit"/>
    <x v="7"/>
    <x v="7"/>
  </r>
  <r>
    <s v="ORD-0462"/>
    <d v="2022-08-08T00:00:00"/>
    <x v="3"/>
    <s v="Germany"/>
    <s v="Aarav Shah"/>
    <x v="0"/>
    <s v="T-Shirt"/>
    <n v="38"/>
    <n v="800"/>
    <n v="0"/>
    <n v="30400"/>
    <n v="12160"/>
    <n v="18240"/>
    <s v="B2B"/>
    <s v="Credit Card"/>
    <s v="No"/>
    <s v="Aug"/>
    <n v="2022"/>
    <n v="0.6"/>
    <s v="Small"/>
    <s v="High Profit"/>
    <x v="0"/>
    <x v="0"/>
  </r>
  <r>
    <s v="ORD-0463"/>
    <d v="2022-03-19T00:00:00"/>
    <x v="3"/>
    <s v="France"/>
    <s v="Neha Sharma"/>
    <x v="0"/>
    <s v="T-Shirt"/>
    <n v="50"/>
    <n v="800"/>
    <n v="0"/>
    <n v="40000"/>
    <n v="16000"/>
    <n v="24000"/>
    <s v="B2B"/>
    <s v="Cash"/>
    <s v="No"/>
    <s v="Mar"/>
    <n v="2022"/>
    <n v="0.6"/>
    <s v="Small"/>
    <s v="High Profit"/>
    <x v="1"/>
    <x v="1"/>
  </r>
  <r>
    <s v="ORD-0464"/>
    <d v="2022-06-22T00:00:00"/>
    <x v="0"/>
    <s v="China"/>
    <s v="Aarav Shah"/>
    <x v="1"/>
    <s v="Tablet"/>
    <n v="42"/>
    <n v="35000"/>
    <n v="5"/>
    <n v="1396500"/>
    <n v="768075"/>
    <n v="628425"/>
    <s v="B2B"/>
    <s v="UPI"/>
    <s v="Yes"/>
    <s v="Jun"/>
    <n v="2022"/>
    <n v="0.45"/>
    <s v="Large"/>
    <s v="Low Profit"/>
    <x v="4"/>
    <x v="4"/>
  </r>
  <r>
    <s v="ORD-0465"/>
    <d v="2024-08-08T00:00:00"/>
    <x v="0"/>
    <s v="China"/>
    <s v="Anjali Singh"/>
    <x v="3"/>
    <s v="Dumbbell"/>
    <n v="2"/>
    <n v="3000"/>
    <n v="15"/>
    <n v="5100"/>
    <n v="2295"/>
    <n v="2805"/>
    <s v="Enterprise"/>
    <s v="UPI"/>
    <s v="No"/>
    <s v="Aug"/>
    <n v="2024"/>
    <n v="0.55000000000000004"/>
    <s v="Small"/>
    <s v="Medium Profit"/>
    <x v="12"/>
    <x v="12"/>
  </r>
  <r>
    <s v="ORD-0466"/>
    <d v="2023-05-02T00:00:00"/>
    <x v="3"/>
    <s v="France"/>
    <s v="Pooja Patel"/>
    <x v="2"/>
    <s v="Rug"/>
    <n v="45"/>
    <n v="4000"/>
    <n v="15"/>
    <n v="153000"/>
    <n v="76500"/>
    <n v="76500"/>
    <s v="Enterprise"/>
    <s v="UPI"/>
    <s v="No"/>
    <s v="May"/>
    <n v="2023"/>
    <n v="0.5"/>
    <s v="Small"/>
    <s v="Medium Profit"/>
    <x v="33"/>
    <x v="33"/>
  </r>
  <r>
    <s v="ORD-0467"/>
    <d v="2024-11-12T00:00:00"/>
    <x v="0"/>
    <s v="China"/>
    <s v="Pooja Patel"/>
    <x v="2"/>
    <s v="Rug"/>
    <n v="36"/>
    <n v="4000"/>
    <n v="5"/>
    <n v="136800"/>
    <n v="68400"/>
    <n v="68400"/>
    <s v="Enterprise"/>
    <s v="UPI"/>
    <s v="No"/>
    <s v="Nov"/>
    <n v="2024"/>
    <n v="0.5"/>
    <s v="Small"/>
    <s v="Medium Profit"/>
    <x v="18"/>
    <x v="18"/>
  </r>
  <r>
    <s v="ORD-0468"/>
    <d v="2024-05-10T00:00:00"/>
    <x v="0"/>
    <s v="China"/>
    <s v="Anjali Singh"/>
    <x v="3"/>
    <s v="Yoga Mat"/>
    <n v="50"/>
    <n v="1200"/>
    <n v="20"/>
    <n v="48000"/>
    <n v="21600"/>
    <n v="26400"/>
    <s v="Enterprise"/>
    <s v="UPI"/>
    <s v="No"/>
    <s v="May"/>
    <n v="2024"/>
    <n v="0.55000000000000004"/>
    <s v="Small"/>
    <s v="Medium Profit"/>
    <x v="34"/>
    <x v="34"/>
  </r>
  <r>
    <s v="ORD-0469"/>
    <d v="2022-02-20T00:00:00"/>
    <x v="0"/>
    <s v="China"/>
    <s v="Sneha Iyer"/>
    <x v="2"/>
    <s v="Blender"/>
    <n v="43"/>
    <n v="5000"/>
    <n v="20"/>
    <n v="172000"/>
    <n v="86000"/>
    <n v="86000"/>
    <s v="B2B"/>
    <s v="Wallet"/>
    <s v="No"/>
    <s v="Feb"/>
    <n v="2022"/>
    <n v="0.5"/>
    <s v="Small"/>
    <s v="Medium Profit"/>
    <x v="29"/>
    <x v="29"/>
  </r>
  <r>
    <s v="ORD-0470"/>
    <d v="2024-08-25T00:00:00"/>
    <x v="2"/>
    <s v="Argentina"/>
    <s v="Anjali Singh"/>
    <x v="3"/>
    <s v="Cycle"/>
    <n v="8"/>
    <n v="18000"/>
    <n v="0"/>
    <n v="144000"/>
    <n v="64800"/>
    <n v="79200"/>
    <s v="Enterprise"/>
    <s v="Credit Card"/>
    <s v="Yes"/>
    <s v="Aug"/>
    <n v="2024"/>
    <n v="0.55000000000000004"/>
    <s v="Small"/>
    <s v="Medium Profit"/>
    <x v="12"/>
    <x v="12"/>
  </r>
  <r>
    <s v="ORD-0471"/>
    <d v="2022-03-27T00:00:00"/>
    <x v="2"/>
    <s v="Brazil"/>
    <s v="Aarav Shah"/>
    <x v="0"/>
    <s v="Jacket"/>
    <n v="32"/>
    <n v="3500"/>
    <n v="5"/>
    <n v="106400"/>
    <n v="42560"/>
    <n v="63840"/>
    <s v="B2B"/>
    <s v="Wallet"/>
    <s v="No"/>
    <s v="Mar"/>
    <n v="2022"/>
    <n v="0.6"/>
    <s v="Small"/>
    <s v="High Profit"/>
    <x v="1"/>
    <x v="1"/>
  </r>
  <r>
    <s v="ORD-0472"/>
    <d v="2024-01-22T00:00:00"/>
    <x v="3"/>
    <s v="France"/>
    <s v="Neha Sharma"/>
    <x v="2"/>
    <s v="Blender"/>
    <n v="24"/>
    <n v="5000"/>
    <n v="5"/>
    <n v="114000"/>
    <n v="57000"/>
    <n v="57000"/>
    <s v="Enterprise"/>
    <s v="Credit Card"/>
    <s v="Yes"/>
    <s v="Jan"/>
    <n v="2024"/>
    <n v="0.5"/>
    <s v="Small"/>
    <s v="Medium Profit"/>
    <x v="3"/>
    <x v="3"/>
  </r>
  <r>
    <s v="ORD-0473"/>
    <d v="2022-01-07T00:00:00"/>
    <x v="3"/>
    <s v="UK"/>
    <s v="Pooja Patel"/>
    <x v="1"/>
    <s v="Tablet"/>
    <n v="36"/>
    <n v="35000"/>
    <n v="15"/>
    <n v="1071000"/>
    <n v="589050"/>
    <n v="481950"/>
    <s v="Enterprise"/>
    <s v="Credit Card"/>
    <s v="No"/>
    <s v="Jan"/>
    <n v="2022"/>
    <n v="0.45"/>
    <s v="Large"/>
    <s v="Low Profit"/>
    <x v="10"/>
    <x v="10"/>
  </r>
  <r>
    <s v="ORD-0474"/>
    <d v="2023-06-17T00:00:00"/>
    <x v="1"/>
    <s v="USA"/>
    <s v="Vikram Nair"/>
    <x v="1"/>
    <s v="Smartphone"/>
    <n v="34"/>
    <n v="45000"/>
    <n v="0"/>
    <n v="1530000"/>
    <n v="841500"/>
    <n v="688500"/>
    <s v="Enterprise"/>
    <s v="UPI"/>
    <s v="No"/>
    <s v="Jun"/>
    <n v="2023"/>
    <n v="0.45"/>
    <s v="Large"/>
    <s v="Low Profit"/>
    <x v="2"/>
    <x v="2"/>
  </r>
  <r>
    <s v="ORD-0475"/>
    <d v="2024-11-13T00:00:00"/>
    <x v="2"/>
    <s v="Brazil"/>
    <s v="Amit Kumar"/>
    <x v="0"/>
    <s v="Cap"/>
    <n v="41"/>
    <n v="600"/>
    <n v="5"/>
    <n v="23370"/>
    <n v="9348"/>
    <n v="14022"/>
    <s v="Enterprise"/>
    <s v="Wallet"/>
    <s v="Yes"/>
    <s v="Nov"/>
    <n v="2024"/>
    <n v="0.6"/>
    <s v="Small"/>
    <s v="High Profit"/>
    <x v="18"/>
    <x v="18"/>
  </r>
  <r>
    <s v="ORD-0476"/>
    <d v="2024-03-24T00:00:00"/>
    <x v="1"/>
    <s v="Canada"/>
    <s v="Pooja Patel"/>
    <x v="3"/>
    <s v="Yoga Mat"/>
    <n v="11"/>
    <n v="1200"/>
    <n v="5"/>
    <n v="12540"/>
    <n v="5643"/>
    <n v="6897"/>
    <s v="B2C"/>
    <s v="Wallet"/>
    <s v="Yes"/>
    <s v="Mar"/>
    <n v="2024"/>
    <n v="0.55000000000000004"/>
    <s v="Small"/>
    <s v="Medium Profit"/>
    <x v="27"/>
    <x v="27"/>
  </r>
  <r>
    <s v="ORD-0477"/>
    <d v="2023-10-22T00:00:00"/>
    <x v="2"/>
    <s v="Argentina"/>
    <s v="Anjali Singh"/>
    <x v="2"/>
    <s v="Rug"/>
    <n v="21"/>
    <n v="4000"/>
    <n v="10"/>
    <n v="75600"/>
    <n v="37800"/>
    <n v="37800"/>
    <s v="Enterprise"/>
    <s v="Cash"/>
    <s v="No"/>
    <s v="Oct"/>
    <n v="2023"/>
    <n v="0.5"/>
    <s v="Small"/>
    <s v="Medium Profit"/>
    <x v="14"/>
    <x v="14"/>
  </r>
  <r>
    <s v="ORD-0478"/>
    <d v="2023-09-20T00:00:00"/>
    <x v="2"/>
    <s v="Brazil"/>
    <s v="Rohan Joshi"/>
    <x v="2"/>
    <s v="Sofa"/>
    <n v="29"/>
    <n v="25000"/>
    <n v="15"/>
    <n v="616250"/>
    <n v="308125"/>
    <n v="308125"/>
    <s v="B2B"/>
    <s v="Credit Card"/>
    <s v="No"/>
    <s v="Sep"/>
    <n v="2023"/>
    <n v="0.5"/>
    <s v="Medium"/>
    <s v="Medium Profit"/>
    <x v="7"/>
    <x v="7"/>
  </r>
  <r>
    <s v="ORD-0479"/>
    <d v="2023-07-20T00:00:00"/>
    <x v="1"/>
    <s v="USA"/>
    <s v="Vikram Nair"/>
    <x v="1"/>
    <s v="Tablet"/>
    <n v="15"/>
    <n v="35000"/>
    <n v="5"/>
    <n v="498750"/>
    <n v="274312.5"/>
    <n v="224437.5"/>
    <s v="B2B"/>
    <s v="Net Banking"/>
    <s v="No"/>
    <s v="Jul"/>
    <n v="2023"/>
    <n v="0.45"/>
    <s v="Medium"/>
    <s v="Low Profit"/>
    <x v="5"/>
    <x v="5"/>
  </r>
  <r>
    <s v="ORD-0480"/>
    <d v="2024-12-17T00:00:00"/>
    <x v="2"/>
    <s v="Brazil"/>
    <s v="Aarav Shah"/>
    <x v="3"/>
    <s v="Cycle"/>
    <n v="10"/>
    <n v="18000"/>
    <n v="5"/>
    <n v="171000"/>
    <n v="76950"/>
    <n v="94050"/>
    <s v="B2C"/>
    <s v="Wallet"/>
    <s v="No"/>
    <s v="Dec"/>
    <n v="2024"/>
    <n v="0.55000000000000004"/>
    <s v="Small"/>
    <s v="Medium Profit"/>
    <x v="20"/>
    <x v="20"/>
  </r>
  <r>
    <s v="ORD-0481"/>
    <d v="2023-04-08T00:00:00"/>
    <x v="0"/>
    <s v="Japan"/>
    <s v="Priya Mehta"/>
    <x v="3"/>
    <s v="Football"/>
    <n v="14"/>
    <n v="900"/>
    <n v="0"/>
    <n v="12600"/>
    <n v="5670"/>
    <n v="6930"/>
    <s v="B2C"/>
    <s v="UPI"/>
    <s v="No"/>
    <s v="Apr"/>
    <n v="2023"/>
    <n v="0.55000000000000004"/>
    <s v="Small"/>
    <s v="Medium Profit"/>
    <x v="26"/>
    <x v="26"/>
  </r>
  <r>
    <s v="ORD-0482"/>
    <d v="2024-08-27T00:00:00"/>
    <x v="1"/>
    <s v="Canada"/>
    <s v="Aarav Shah"/>
    <x v="3"/>
    <s v="Yoga Mat"/>
    <n v="50"/>
    <n v="1200"/>
    <n v="0"/>
    <n v="60000"/>
    <n v="27000"/>
    <n v="33000"/>
    <s v="B2C"/>
    <s v="Cash"/>
    <s v="No"/>
    <s v="Aug"/>
    <n v="2024"/>
    <n v="0.55000000000000004"/>
    <s v="Small"/>
    <s v="Medium Profit"/>
    <x v="12"/>
    <x v="12"/>
  </r>
  <r>
    <s v="ORD-0483"/>
    <d v="2024-03-28T00:00:00"/>
    <x v="1"/>
    <s v="USA"/>
    <s v="Neha Sharma"/>
    <x v="1"/>
    <s v="Headphones"/>
    <n v="4"/>
    <n v="8000"/>
    <n v="10"/>
    <n v="28800"/>
    <n v="15840"/>
    <n v="12960"/>
    <s v="B2B"/>
    <s v="Net Banking"/>
    <s v="Yes"/>
    <s v="Mar"/>
    <n v="2024"/>
    <n v="0.45"/>
    <s v="Small"/>
    <s v="Low Profit"/>
    <x v="27"/>
    <x v="27"/>
  </r>
  <r>
    <s v="ORD-0484"/>
    <d v="2024-11-19T00:00:00"/>
    <x v="2"/>
    <s v="Argentina"/>
    <s v="Amit Kumar"/>
    <x v="0"/>
    <s v="Sneakers"/>
    <n v="4"/>
    <n v="4200"/>
    <n v="15"/>
    <n v="14280"/>
    <n v="5712"/>
    <n v="8568"/>
    <s v="Enterprise"/>
    <s v="Wallet"/>
    <s v="No"/>
    <s v="Nov"/>
    <n v="2024"/>
    <n v="0.6"/>
    <s v="Small"/>
    <s v="High Profit"/>
    <x v="18"/>
    <x v="18"/>
  </r>
  <r>
    <s v="ORD-0485"/>
    <d v="2024-09-03T00:00:00"/>
    <x v="2"/>
    <s v="Argentina"/>
    <s v="Vikram Nair"/>
    <x v="3"/>
    <s v="Dumbbell"/>
    <n v="9"/>
    <n v="3000"/>
    <n v="10"/>
    <n v="24300"/>
    <n v="10935"/>
    <n v="13365"/>
    <s v="B2C"/>
    <s v="Wallet"/>
    <s v="No"/>
    <s v="Sep"/>
    <n v="2024"/>
    <n v="0.55000000000000004"/>
    <s v="Small"/>
    <s v="Medium Profit"/>
    <x v="11"/>
    <x v="11"/>
  </r>
  <r>
    <s v="ORD-0486"/>
    <d v="2022-04-18T00:00:00"/>
    <x v="3"/>
    <s v="Germany"/>
    <s v="Priya Mehta"/>
    <x v="3"/>
    <s v="Football"/>
    <n v="28"/>
    <n v="900"/>
    <n v="5"/>
    <n v="23940"/>
    <n v="10773"/>
    <n v="13167"/>
    <s v="B2C"/>
    <s v="Wallet"/>
    <s v="No"/>
    <s v="Apr"/>
    <n v="2022"/>
    <n v="0.55000000000000004"/>
    <s v="Small"/>
    <s v="Medium Profit"/>
    <x v="28"/>
    <x v="28"/>
  </r>
  <r>
    <s v="ORD-0487"/>
    <d v="2023-01-16T00:00:00"/>
    <x v="3"/>
    <s v="France"/>
    <s v="Neha Sharma"/>
    <x v="0"/>
    <s v="Cap"/>
    <n v="40"/>
    <n v="600"/>
    <n v="20"/>
    <n v="19200"/>
    <n v="7680"/>
    <n v="11520"/>
    <s v="B2B"/>
    <s v="Credit Card"/>
    <s v="No"/>
    <s v="Jan"/>
    <n v="2023"/>
    <n v="0.6"/>
    <s v="Small"/>
    <s v="High Profit"/>
    <x v="35"/>
    <x v="35"/>
  </r>
  <r>
    <s v="ORD-0488"/>
    <d v="2023-06-25T00:00:00"/>
    <x v="3"/>
    <s v="Germany"/>
    <s v="Neha Sharma"/>
    <x v="1"/>
    <s v="Laptop"/>
    <n v="43"/>
    <n v="75000"/>
    <n v="15"/>
    <n v="2741250"/>
    <n v="1507687.5"/>
    <n v="1233562.5"/>
    <s v="B2C"/>
    <s v="Net Banking"/>
    <s v="No"/>
    <s v="Jun"/>
    <n v="2023"/>
    <n v="0.45"/>
    <s v="Large"/>
    <s v="Low Profit"/>
    <x v="2"/>
    <x v="2"/>
  </r>
  <r>
    <s v="ORD-0489"/>
    <d v="2023-01-11T00:00:00"/>
    <x v="0"/>
    <s v="China"/>
    <s v="Aarav Shah"/>
    <x v="2"/>
    <s v="Air Fryer"/>
    <n v="23"/>
    <n v="8500"/>
    <n v="20"/>
    <n v="156400"/>
    <n v="78200"/>
    <n v="78200"/>
    <s v="Enterprise"/>
    <s v="UPI"/>
    <s v="No"/>
    <s v="Jan"/>
    <n v="2023"/>
    <n v="0.5"/>
    <s v="Small"/>
    <s v="Medium Profit"/>
    <x v="35"/>
    <x v="35"/>
  </r>
  <r>
    <s v="ORD-0490"/>
    <d v="2024-05-02T00:00:00"/>
    <x v="2"/>
    <s v="Brazil"/>
    <s v="Anjali Singh"/>
    <x v="0"/>
    <s v="Jacket"/>
    <n v="8"/>
    <n v="3500"/>
    <n v="0"/>
    <n v="28000"/>
    <n v="11200"/>
    <n v="16800"/>
    <s v="Enterprise"/>
    <s v="UPI"/>
    <s v="No"/>
    <s v="May"/>
    <n v="2024"/>
    <n v="0.6"/>
    <s v="Small"/>
    <s v="High Profit"/>
    <x v="34"/>
    <x v="34"/>
  </r>
  <r>
    <s v="ORD-0491"/>
    <d v="2023-07-01T00:00:00"/>
    <x v="0"/>
    <s v="China"/>
    <s v="Priya Mehta"/>
    <x v="2"/>
    <s v="Lamp"/>
    <n v="31"/>
    <n v="1500"/>
    <n v="0"/>
    <n v="46500"/>
    <n v="23250"/>
    <n v="23250"/>
    <s v="B2B"/>
    <s v="Wallet"/>
    <s v="No"/>
    <s v="Jul"/>
    <n v="2023"/>
    <n v="0.5"/>
    <s v="Small"/>
    <s v="Medium Profit"/>
    <x v="5"/>
    <x v="5"/>
  </r>
  <r>
    <s v="ORD-0492"/>
    <d v="2023-02-07T00:00:00"/>
    <x v="0"/>
    <s v="China"/>
    <s v="Pooja Patel"/>
    <x v="0"/>
    <s v="Jacket"/>
    <n v="25"/>
    <n v="3500"/>
    <n v="20"/>
    <n v="70000"/>
    <n v="28000"/>
    <n v="42000"/>
    <s v="B2B"/>
    <s v="Net Banking"/>
    <s v="Yes"/>
    <s v="Feb"/>
    <n v="2023"/>
    <n v="0.6"/>
    <s v="Small"/>
    <s v="High Profit"/>
    <x v="6"/>
    <x v="6"/>
  </r>
  <r>
    <s v="ORD-0493"/>
    <d v="2022-11-02T00:00:00"/>
    <x v="0"/>
    <s v="India"/>
    <s v="Neha Sharma"/>
    <x v="2"/>
    <s v="Blender"/>
    <n v="30"/>
    <n v="5000"/>
    <n v="0"/>
    <n v="150000"/>
    <n v="75000"/>
    <n v="75000"/>
    <s v="B2C"/>
    <s v="Net Banking"/>
    <s v="No"/>
    <s v="Nov"/>
    <n v="2022"/>
    <n v="0.5"/>
    <s v="Small"/>
    <s v="Medium Profit"/>
    <x v="9"/>
    <x v="9"/>
  </r>
  <r>
    <s v="ORD-0494"/>
    <d v="2023-12-28T00:00:00"/>
    <x v="1"/>
    <s v="USA"/>
    <s v="Vikram Nair"/>
    <x v="3"/>
    <s v="Dumbbell"/>
    <n v="25"/>
    <n v="3000"/>
    <n v="20"/>
    <n v="60000"/>
    <n v="27000"/>
    <n v="33000"/>
    <s v="B2C"/>
    <s v="Cash"/>
    <s v="No"/>
    <s v="Dec"/>
    <n v="2023"/>
    <n v="0.55000000000000004"/>
    <s v="Small"/>
    <s v="Medium Profit"/>
    <x v="30"/>
    <x v="30"/>
  </r>
  <r>
    <s v="ORD-0495"/>
    <d v="2024-11-03T00:00:00"/>
    <x v="2"/>
    <s v="Brazil"/>
    <s v="Amit Kumar"/>
    <x v="3"/>
    <s v="Football"/>
    <n v="46"/>
    <n v="900"/>
    <n v="0"/>
    <n v="41400"/>
    <n v="18630"/>
    <n v="22770"/>
    <s v="B2B"/>
    <s v="Wallet"/>
    <s v="No"/>
    <s v="Nov"/>
    <n v="2024"/>
    <n v="0.55000000000000004"/>
    <s v="Small"/>
    <s v="Medium Profit"/>
    <x v="18"/>
    <x v="18"/>
  </r>
  <r>
    <s v="ORD-0496"/>
    <d v="2023-08-11T00:00:00"/>
    <x v="3"/>
    <s v="Germany"/>
    <s v="Rahul Gupta"/>
    <x v="1"/>
    <s v="Tablet"/>
    <n v="44"/>
    <n v="35000"/>
    <n v="10"/>
    <n v="1386000"/>
    <n v="762300"/>
    <n v="623700"/>
    <s v="Enterprise"/>
    <s v="Net Banking"/>
    <s v="No"/>
    <s v="Aug"/>
    <n v="2023"/>
    <n v="0.45"/>
    <s v="Large"/>
    <s v="Low Profit"/>
    <x v="19"/>
    <x v="19"/>
  </r>
  <r>
    <s v="ORD-0497"/>
    <d v="2023-04-17T00:00:00"/>
    <x v="0"/>
    <s v="India"/>
    <s v="Vikram Nair"/>
    <x v="3"/>
    <s v="Yoga Mat"/>
    <n v="36"/>
    <n v="1200"/>
    <n v="10"/>
    <n v="38880"/>
    <n v="17496"/>
    <n v="21384"/>
    <s v="B2B"/>
    <s v="Net Banking"/>
    <s v="No"/>
    <s v="Apr"/>
    <n v="2023"/>
    <n v="0.55000000000000004"/>
    <s v="Small"/>
    <s v="Medium Profit"/>
    <x v="26"/>
    <x v="26"/>
  </r>
  <r>
    <s v="ORD-0498"/>
    <d v="2024-02-22T00:00:00"/>
    <x v="2"/>
    <s v="Brazil"/>
    <s v="Rohan Joshi"/>
    <x v="0"/>
    <s v="Jeans"/>
    <n v="16"/>
    <n v="2500"/>
    <n v="20"/>
    <n v="32000"/>
    <n v="12800"/>
    <n v="19200"/>
    <s v="B2C"/>
    <s v="Net Banking"/>
    <s v="No"/>
    <s v="Feb"/>
    <n v="2024"/>
    <n v="0.6"/>
    <s v="Small"/>
    <s v="High Profit"/>
    <x v="23"/>
    <x v="23"/>
  </r>
  <r>
    <s v="ORD-0499"/>
    <d v="2023-10-15T00:00:00"/>
    <x v="2"/>
    <s v="Brazil"/>
    <s v="Rahul Gupta"/>
    <x v="0"/>
    <s v="Sneakers"/>
    <n v="20"/>
    <n v="4200"/>
    <n v="20"/>
    <n v="67200"/>
    <n v="26880"/>
    <n v="40320"/>
    <s v="B2C"/>
    <s v="UPI"/>
    <s v="No"/>
    <s v="Oct"/>
    <n v="2023"/>
    <n v="0.6"/>
    <s v="Small"/>
    <s v="High Profit"/>
    <x v="14"/>
    <x v="14"/>
  </r>
  <r>
    <s v="ORD-0500"/>
    <d v="2022-11-11T00:00:00"/>
    <x v="1"/>
    <s v="USA"/>
    <s v="Rahul Gupta"/>
    <x v="2"/>
    <s v="Air Fryer"/>
    <n v="47"/>
    <n v="8500"/>
    <n v="0"/>
    <n v="399500"/>
    <n v="199750"/>
    <n v="199750"/>
    <s v="B2C"/>
    <s v="Cash"/>
    <s v="No"/>
    <s v="Nov"/>
    <n v="2022"/>
    <n v="0.5"/>
    <s v="Medium"/>
    <s v="Medium Profit"/>
    <x v="9"/>
    <x v="9"/>
  </r>
  <r>
    <s v="ORD-0501"/>
    <d v="2023-08-15T00:00:00"/>
    <x v="0"/>
    <s v="India"/>
    <s v="Sneha Iyer"/>
    <x v="1"/>
    <s v="Smartphone"/>
    <n v="12"/>
    <n v="45000"/>
    <n v="0"/>
    <n v="540000"/>
    <n v="297000"/>
    <n v="243000"/>
    <s v="Enterprise"/>
    <s v="Net Banking"/>
    <s v="Yes"/>
    <s v="Aug"/>
    <n v="2023"/>
    <n v="0.45"/>
    <s v="Medium"/>
    <s v="Low Profit"/>
    <x v="19"/>
    <x v="19"/>
  </r>
  <r>
    <s v="ORD-0502"/>
    <d v="2023-03-20T00:00:00"/>
    <x v="2"/>
    <s v="Brazil"/>
    <s v="Aarav Shah"/>
    <x v="2"/>
    <s v="Blender"/>
    <n v="45"/>
    <n v="5000"/>
    <n v="15"/>
    <n v="191250"/>
    <n v="95625"/>
    <n v="95625"/>
    <s v="Enterprise"/>
    <s v="Wallet"/>
    <s v="No"/>
    <s v="Mar"/>
    <n v="2023"/>
    <n v="0.5"/>
    <s v="Small"/>
    <s v="Medium Profit"/>
    <x v="22"/>
    <x v="22"/>
  </r>
  <r>
    <s v="ORD-0503"/>
    <d v="2024-07-23T00:00:00"/>
    <x v="0"/>
    <s v="India"/>
    <s v="Rohan Joshi"/>
    <x v="3"/>
    <s v="Tennis Racket"/>
    <n v="9"/>
    <n v="5500"/>
    <n v="5"/>
    <n v="47025"/>
    <n v="21161.25"/>
    <n v="25863.75"/>
    <s v="B2B"/>
    <s v="Credit Card"/>
    <s v="No"/>
    <s v="Jul"/>
    <n v="2024"/>
    <n v="0.55000000000000004"/>
    <s v="Small"/>
    <s v="Medium Profit"/>
    <x v="15"/>
    <x v="15"/>
  </r>
  <r>
    <s v="ORD-0504"/>
    <d v="2024-03-25T00:00:00"/>
    <x v="1"/>
    <s v="Canada"/>
    <s v="Rohan Joshi"/>
    <x v="0"/>
    <s v="Sneakers"/>
    <n v="49"/>
    <n v="4200"/>
    <n v="5"/>
    <n v="195510"/>
    <n v="78204"/>
    <n v="117306"/>
    <s v="B2B"/>
    <s v="Cash"/>
    <s v="No"/>
    <s v="Mar"/>
    <n v="2024"/>
    <n v="0.6"/>
    <s v="Small"/>
    <s v="High Profit"/>
    <x v="27"/>
    <x v="27"/>
  </r>
  <r>
    <s v="ORD-0505"/>
    <d v="2024-08-23T00:00:00"/>
    <x v="0"/>
    <s v="Japan"/>
    <s v="Sneha Iyer"/>
    <x v="3"/>
    <s v="Tennis Racket"/>
    <n v="50"/>
    <n v="5500"/>
    <n v="0"/>
    <n v="275000"/>
    <n v="123750"/>
    <n v="151250"/>
    <s v="Enterprise"/>
    <s v="Cash"/>
    <s v="Yes"/>
    <s v="Aug"/>
    <n v="2024"/>
    <n v="0.55000000000000004"/>
    <s v="Small"/>
    <s v="Medium Profit"/>
    <x v="12"/>
    <x v="12"/>
  </r>
  <r>
    <s v="ORD-0506"/>
    <d v="2023-09-13T00:00:00"/>
    <x v="1"/>
    <s v="USA"/>
    <s v="Pooja Patel"/>
    <x v="3"/>
    <s v="Yoga Mat"/>
    <n v="16"/>
    <n v="1200"/>
    <n v="20"/>
    <n v="15360"/>
    <n v="6912"/>
    <n v="8448"/>
    <s v="B2C"/>
    <s v="Credit Card"/>
    <s v="Yes"/>
    <s v="Sep"/>
    <n v="2023"/>
    <n v="0.55000000000000004"/>
    <s v="Small"/>
    <s v="Medium Profit"/>
    <x v="7"/>
    <x v="7"/>
  </r>
  <r>
    <s v="ORD-0507"/>
    <d v="2024-12-13T00:00:00"/>
    <x v="1"/>
    <s v="USA"/>
    <s v="Vikram Nair"/>
    <x v="3"/>
    <s v="Tennis Racket"/>
    <n v="20"/>
    <n v="5500"/>
    <n v="10"/>
    <n v="99000"/>
    <n v="44550"/>
    <n v="54450"/>
    <s v="B2B"/>
    <s v="Cash"/>
    <s v="No"/>
    <s v="Dec"/>
    <n v="2024"/>
    <n v="0.55000000000000004"/>
    <s v="Small"/>
    <s v="Medium Profit"/>
    <x v="20"/>
    <x v="20"/>
  </r>
  <r>
    <s v="ORD-0508"/>
    <d v="2023-07-20T00:00:00"/>
    <x v="1"/>
    <s v="USA"/>
    <s v="Pooja Patel"/>
    <x v="3"/>
    <s v="Yoga Mat"/>
    <n v="47"/>
    <n v="1200"/>
    <n v="20"/>
    <n v="45120"/>
    <n v="20304"/>
    <n v="24816"/>
    <s v="B2B"/>
    <s v="Wallet"/>
    <s v="No"/>
    <s v="Jul"/>
    <n v="2023"/>
    <n v="0.55000000000000004"/>
    <s v="Small"/>
    <s v="Medium Profit"/>
    <x v="5"/>
    <x v="5"/>
  </r>
  <r>
    <s v="ORD-0509"/>
    <d v="2024-11-05T00:00:00"/>
    <x v="3"/>
    <s v="Germany"/>
    <s v="Anjali Singh"/>
    <x v="3"/>
    <s v="Yoga Mat"/>
    <n v="12"/>
    <n v="1200"/>
    <n v="15"/>
    <n v="12240"/>
    <n v="5508"/>
    <n v="6732"/>
    <s v="Enterprise"/>
    <s v="UPI"/>
    <s v="Yes"/>
    <s v="Nov"/>
    <n v="2024"/>
    <n v="0.55000000000000004"/>
    <s v="Small"/>
    <s v="Medium Profit"/>
    <x v="18"/>
    <x v="18"/>
  </r>
  <r>
    <s v="ORD-0510"/>
    <d v="2024-06-03T00:00:00"/>
    <x v="0"/>
    <s v="Japan"/>
    <s v="Rahul Gupta"/>
    <x v="1"/>
    <s v="Laptop"/>
    <n v="8"/>
    <n v="75000"/>
    <n v="15"/>
    <n v="510000"/>
    <n v="280500"/>
    <n v="229500"/>
    <s v="B2B"/>
    <s v="Wallet"/>
    <s v="No"/>
    <s v="Jun"/>
    <n v="2024"/>
    <n v="0.45"/>
    <s v="Medium"/>
    <s v="Low Profit"/>
    <x v="25"/>
    <x v="25"/>
  </r>
  <r>
    <s v="ORD-0511"/>
    <d v="2024-01-24T00:00:00"/>
    <x v="2"/>
    <s v="Argentina"/>
    <s v="Amit Kumar"/>
    <x v="3"/>
    <s v="Yoga Mat"/>
    <n v="50"/>
    <n v="1200"/>
    <n v="5"/>
    <n v="57000"/>
    <n v="25650"/>
    <n v="31350"/>
    <s v="Enterprise"/>
    <s v="UPI"/>
    <s v="No"/>
    <s v="Jan"/>
    <n v="2024"/>
    <n v="0.55000000000000004"/>
    <s v="Small"/>
    <s v="Medium Profit"/>
    <x v="3"/>
    <x v="3"/>
  </r>
  <r>
    <s v="ORD-0512"/>
    <d v="2022-11-28T00:00:00"/>
    <x v="2"/>
    <s v="Brazil"/>
    <s v="Aarav Shah"/>
    <x v="3"/>
    <s v="Cycle"/>
    <n v="20"/>
    <n v="18000"/>
    <n v="15"/>
    <n v="306000"/>
    <n v="137700"/>
    <n v="168300"/>
    <s v="Enterprise"/>
    <s v="UPI"/>
    <s v="No"/>
    <s v="Nov"/>
    <n v="2022"/>
    <n v="0.55000000000000004"/>
    <s v="Medium"/>
    <s v="Medium Profit"/>
    <x v="9"/>
    <x v="9"/>
  </r>
  <r>
    <s v="ORD-0513"/>
    <d v="2022-08-05T00:00:00"/>
    <x v="2"/>
    <s v="Brazil"/>
    <s v="Neha Sharma"/>
    <x v="2"/>
    <s v="Blender"/>
    <n v="30"/>
    <n v="5000"/>
    <n v="15"/>
    <n v="127500"/>
    <n v="63750"/>
    <n v="63750"/>
    <s v="Enterprise"/>
    <s v="Credit Card"/>
    <s v="No"/>
    <s v="Aug"/>
    <n v="2022"/>
    <n v="0.5"/>
    <s v="Small"/>
    <s v="Medium Profit"/>
    <x v="0"/>
    <x v="0"/>
  </r>
  <r>
    <s v="ORD-0514"/>
    <d v="2024-08-08T00:00:00"/>
    <x v="2"/>
    <s v="Argentina"/>
    <s v="Pooja Patel"/>
    <x v="3"/>
    <s v="Tennis Racket"/>
    <n v="6"/>
    <n v="5500"/>
    <n v="20"/>
    <n v="26400"/>
    <n v="11880"/>
    <n v="14520"/>
    <s v="B2B"/>
    <s v="UPI"/>
    <s v="Yes"/>
    <s v="Aug"/>
    <n v="2024"/>
    <n v="0.55000000000000004"/>
    <s v="Small"/>
    <s v="Medium Profit"/>
    <x v="12"/>
    <x v="12"/>
  </r>
  <r>
    <s v="ORD-0515"/>
    <d v="2024-12-09T00:00:00"/>
    <x v="2"/>
    <s v="Brazil"/>
    <s v="Rahul Gupta"/>
    <x v="0"/>
    <s v="Jacket"/>
    <n v="42"/>
    <n v="3500"/>
    <n v="10"/>
    <n v="132300"/>
    <n v="52920"/>
    <n v="79380"/>
    <s v="B2B"/>
    <s v="Credit Card"/>
    <s v="No"/>
    <s v="Dec"/>
    <n v="2024"/>
    <n v="0.6"/>
    <s v="Small"/>
    <s v="High Profit"/>
    <x v="20"/>
    <x v="20"/>
  </r>
  <r>
    <s v="ORD-0516"/>
    <d v="2023-08-11T00:00:00"/>
    <x v="1"/>
    <s v="USA"/>
    <s v="Priya Mehta"/>
    <x v="3"/>
    <s v="Dumbbell"/>
    <n v="11"/>
    <n v="3000"/>
    <n v="10"/>
    <n v="29700"/>
    <n v="13365"/>
    <n v="16335"/>
    <s v="Enterprise"/>
    <s v="Wallet"/>
    <s v="Yes"/>
    <s v="Aug"/>
    <n v="2023"/>
    <n v="0.55000000000000004"/>
    <s v="Small"/>
    <s v="Medium Profit"/>
    <x v="19"/>
    <x v="19"/>
  </r>
  <r>
    <s v="ORD-0517"/>
    <d v="2024-12-06T00:00:00"/>
    <x v="3"/>
    <s v="France"/>
    <s v="Neha Sharma"/>
    <x v="2"/>
    <s v="Blender"/>
    <n v="6"/>
    <n v="5000"/>
    <n v="10"/>
    <n v="27000"/>
    <n v="13500"/>
    <n v="13500"/>
    <s v="B2C"/>
    <s v="Cash"/>
    <s v="No"/>
    <s v="Dec"/>
    <n v="2024"/>
    <n v="0.5"/>
    <s v="Small"/>
    <s v="Medium Profit"/>
    <x v="20"/>
    <x v="20"/>
  </r>
  <r>
    <s v="ORD-0518"/>
    <d v="2022-05-25T00:00:00"/>
    <x v="3"/>
    <s v="France"/>
    <s v="Priya Mehta"/>
    <x v="2"/>
    <s v="Lamp"/>
    <n v="9"/>
    <n v="1500"/>
    <n v="0"/>
    <n v="13500"/>
    <n v="6750"/>
    <n v="6750"/>
    <s v="B2C"/>
    <s v="Wallet"/>
    <s v="No"/>
    <s v="May"/>
    <n v="2022"/>
    <n v="0.5"/>
    <s v="Small"/>
    <s v="Medium Profit"/>
    <x v="13"/>
    <x v="13"/>
  </r>
  <r>
    <s v="ORD-0519"/>
    <d v="2024-03-17T00:00:00"/>
    <x v="2"/>
    <s v="Brazil"/>
    <s v="Neha Sharma"/>
    <x v="1"/>
    <s v="Laptop"/>
    <n v="37"/>
    <n v="75000"/>
    <n v="20"/>
    <n v="2220000"/>
    <n v="1221000"/>
    <n v="999000"/>
    <s v="B2C"/>
    <s v="Wallet"/>
    <s v="No"/>
    <s v="Mar"/>
    <n v="2024"/>
    <n v="0.45"/>
    <s v="Large"/>
    <s v="Low Profit"/>
    <x v="27"/>
    <x v="27"/>
  </r>
  <r>
    <s v="ORD-0520"/>
    <d v="2023-07-14T00:00:00"/>
    <x v="0"/>
    <s v="Japan"/>
    <s v="Amit Kumar"/>
    <x v="2"/>
    <s v="Air Fryer"/>
    <n v="40"/>
    <n v="8500"/>
    <n v="20"/>
    <n v="272000"/>
    <n v="136000"/>
    <n v="136000"/>
    <s v="Enterprise"/>
    <s v="Cash"/>
    <s v="No"/>
    <s v="Jul"/>
    <n v="2023"/>
    <n v="0.5"/>
    <s v="Small"/>
    <s v="Medium Profit"/>
    <x v="5"/>
    <x v="5"/>
  </r>
  <r>
    <s v="ORD-0521"/>
    <d v="2024-08-26T00:00:00"/>
    <x v="2"/>
    <s v="Brazil"/>
    <s v="Vikram Nair"/>
    <x v="0"/>
    <s v="Jacket"/>
    <n v="8"/>
    <n v="3500"/>
    <n v="0"/>
    <n v="28000"/>
    <n v="11200"/>
    <n v="16800"/>
    <s v="Enterprise"/>
    <s v="Credit Card"/>
    <s v="No"/>
    <s v="Aug"/>
    <n v="2024"/>
    <n v="0.6"/>
    <s v="Small"/>
    <s v="High Profit"/>
    <x v="12"/>
    <x v="12"/>
  </r>
  <r>
    <s v="ORD-0522"/>
    <d v="2023-02-26T00:00:00"/>
    <x v="3"/>
    <s v="Germany"/>
    <s v="Aarav Shah"/>
    <x v="2"/>
    <s v="Sofa"/>
    <n v="36"/>
    <n v="25000"/>
    <n v="5"/>
    <n v="855000"/>
    <n v="427500"/>
    <n v="427500"/>
    <s v="Enterprise"/>
    <s v="UPI"/>
    <s v="No"/>
    <s v="Feb"/>
    <n v="2023"/>
    <n v="0.5"/>
    <s v="Large"/>
    <s v="Medium Profit"/>
    <x v="6"/>
    <x v="6"/>
  </r>
  <r>
    <s v="ORD-0523"/>
    <d v="2023-07-09T00:00:00"/>
    <x v="1"/>
    <s v="Canada"/>
    <s v="Vikram Nair"/>
    <x v="2"/>
    <s v="Blender"/>
    <n v="8"/>
    <n v="5000"/>
    <n v="10"/>
    <n v="36000"/>
    <n v="18000"/>
    <n v="18000"/>
    <s v="B2C"/>
    <s v="Wallet"/>
    <s v="No"/>
    <s v="Jul"/>
    <n v="2023"/>
    <n v="0.5"/>
    <s v="Small"/>
    <s v="Medium Profit"/>
    <x v="5"/>
    <x v="5"/>
  </r>
  <r>
    <s v="ORD-0524"/>
    <d v="2022-02-27T00:00:00"/>
    <x v="2"/>
    <s v="Brazil"/>
    <s v="Anjali Singh"/>
    <x v="2"/>
    <s v="Lamp"/>
    <n v="31"/>
    <n v="1500"/>
    <n v="0"/>
    <n v="46500"/>
    <n v="23250"/>
    <n v="23250"/>
    <s v="B2C"/>
    <s v="UPI"/>
    <s v="No"/>
    <s v="Feb"/>
    <n v="2022"/>
    <n v="0.5"/>
    <s v="Small"/>
    <s v="Medium Profit"/>
    <x v="29"/>
    <x v="29"/>
  </r>
  <r>
    <s v="ORD-0525"/>
    <d v="2024-06-28T00:00:00"/>
    <x v="0"/>
    <s v="Japan"/>
    <s v="Rohan Joshi"/>
    <x v="1"/>
    <s v="Smartwatch"/>
    <n v="20"/>
    <n v="15000"/>
    <n v="20"/>
    <n v="240000"/>
    <n v="132000"/>
    <n v="108000"/>
    <s v="Enterprise"/>
    <s v="Wallet"/>
    <s v="No"/>
    <s v="Jun"/>
    <n v="2024"/>
    <n v="0.45"/>
    <s v="Small"/>
    <s v="Low Profit"/>
    <x v="25"/>
    <x v="25"/>
  </r>
  <r>
    <s v="ORD-0526"/>
    <d v="2022-02-07T00:00:00"/>
    <x v="0"/>
    <s v="Japan"/>
    <s v="Priya Mehta"/>
    <x v="0"/>
    <s v="T-Shirt"/>
    <n v="2"/>
    <n v="800"/>
    <n v="10"/>
    <n v="1440"/>
    <n v="576"/>
    <n v="864"/>
    <s v="Enterprise"/>
    <s v="Wallet"/>
    <s v="No"/>
    <s v="Feb"/>
    <n v="2022"/>
    <n v="0.6"/>
    <s v="Small"/>
    <s v="High Profit"/>
    <x v="29"/>
    <x v="29"/>
  </r>
  <r>
    <s v="ORD-0527"/>
    <d v="2022-11-19T00:00:00"/>
    <x v="3"/>
    <s v="UK"/>
    <s v="Neha Sharma"/>
    <x v="1"/>
    <s v="Tablet"/>
    <n v="46"/>
    <n v="35000"/>
    <n v="10"/>
    <n v="1449000"/>
    <n v="796950"/>
    <n v="652050"/>
    <s v="B2C"/>
    <s v="Cash"/>
    <s v="No"/>
    <s v="Nov"/>
    <n v="2022"/>
    <n v="0.45"/>
    <s v="Large"/>
    <s v="Low Profit"/>
    <x v="9"/>
    <x v="9"/>
  </r>
  <r>
    <s v="ORD-0528"/>
    <d v="2022-06-16T00:00:00"/>
    <x v="2"/>
    <s v="Argentina"/>
    <s v="Pooja Patel"/>
    <x v="2"/>
    <s v="Air Fryer"/>
    <n v="34"/>
    <n v="8500"/>
    <n v="10"/>
    <n v="260100"/>
    <n v="130050"/>
    <n v="130050"/>
    <s v="B2B"/>
    <s v="Net Banking"/>
    <s v="No"/>
    <s v="Jun"/>
    <n v="2022"/>
    <n v="0.5"/>
    <s v="Small"/>
    <s v="Medium Profit"/>
    <x v="4"/>
    <x v="4"/>
  </r>
  <r>
    <s v="ORD-0529"/>
    <d v="2022-03-25T00:00:00"/>
    <x v="2"/>
    <s v="Brazil"/>
    <s v="Pooja Patel"/>
    <x v="1"/>
    <s v="Headphones"/>
    <n v="33"/>
    <n v="8000"/>
    <n v="5"/>
    <n v="250800"/>
    <n v="137940"/>
    <n v="112860"/>
    <s v="B2C"/>
    <s v="Cash"/>
    <s v="No"/>
    <s v="Mar"/>
    <n v="2022"/>
    <n v="0.45"/>
    <s v="Small"/>
    <s v="Low Profit"/>
    <x v="1"/>
    <x v="1"/>
  </r>
  <r>
    <s v="ORD-0530"/>
    <d v="2024-10-10T00:00:00"/>
    <x v="0"/>
    <s v="India"/>
    <s v="Priya Mehta"/>
    <x v="0"/>
    <s v="Sneakers"/>
    <n v="47"/>
    <n v="4200"/>
    <n v="0"/>
    <n v="197400"/>
    <n v="78960"/>
    <n v="118440"/>
    <s v="B2C"/>
    <s v="Wallet"/>
    <s v="No"/>
    <s v="Oct"/>
    <n v="2024"/>
    <n v="0.6"/>
    <s v="Small"/>
    <s v="High Profit"/>
    <x v="31"/>
    <x v="31"/>
  </r>
  <r>
    <s v="ORD-0531"/>
    <d v="2022-08-01T00:00:00"/>
    <x v="0"/>
    <s v="India"/>
    <s v="Neha Sharma"/>
    <x v="1"/>
    <s v="Tablet"/>
    <n v="30"/>
    <n v="35000"/>
    <n v="0"/>
    <n v="1050000"/>
    <n v="577500"/>
    <n v="472500"/>
    <s v="Enterprise"/>
    <s v="Net Banking"/>
    <s v="No"/>
    <s v="Aug"/>
    <n v="2022"/>
    <n v="0.45"/>
    <s v="Large"/>
    <s v="Low Profit"/>
    <x v="0"/>
    <x v="0"/>
  </r>
  <r>
    <s v="ORD-0532"/>
    <d v="2022-02-19T00:00:00"/>
    <x v="0"/>
    <s v="China"/>
    <s v="Sneha Iyer"/>
    <x v="2"/>
    <s v="Air Fryer"/>
    <n v="13"/>
    <n v="8500"/>
    <n v="10"/>
    <n v="99450"/>
    <n v="49725"/>
    <n v="49725"/>
    <s v="Enterprise"/>
    <s v="Net Banking"/>
    <s v="No"/>
    <s v="Feb"/>
    <n v="2022"/>
    <n v="0.5"/>
    <s v="Small"/>
    <s v="Medium Profit"/>
    <x v="29"/>
    <x v="29"/>
  </r>
  <r>
    <s v="ORD-0533"/>
    <d v="2024-05-22T00:00:00"/>
    <x v="1"/>
    <s v="Canada"/>
    <s v="Rahul Gupta"/>
    <x v="0"/>
    <s v="T-Shirt"/>
    <n v="8"/>
    <n v="800"/>
    <n v="0"/>
    <n v="6400"/>
    <n v="2560"/>
    <n v="3840"/>
    <s v="Enterprise"/>
    <s v="Wallet"/>
    <s v="Yes"/>
    <s v="May"/>
    <n v="2024"/>
    <n v="0.6"/>
    <s v="Small"/>
    <s v="High Profit"/>
    <x v="34"/>
    <x v="34"/>
  </r>
  <r>
    <s v="ORD-0534"/>
    <d v="2022-07-07T00:00:00"/>
    <x v="0"/>
    <s v="China"/>
    <s v="Anjali Singh"/>
    <x v="2"/>
    <s v="Air Fryer"/>
    <n v="46"/>
    <n v="8500"/>
    <n v="10"/>
    <n v="351900"/>
    <n v="175950"/>
    <n v="175950"/>
    <s v="B2B"/>
    <s v="UPI"/>
    <s v="Yes"/>
    <s v="Jul"/>
    <n v="2022"/>
    <n v="0.5"/>
    <s v="Medium"/>
    <s v="Medium Profit"/>
    <x v="16"/>
    <x v="16"/>
  </r>
  <r>
    <s v="ORD-0535"/>
    <d v="2022-05-10T00:00:00"/>
    <x v="0"/>
    <s v="China"/>
    <s v="Pooja Patel"/>
    <x v="1"/>
    <s v="Smartphone"/>
    <n v="2"/>
    <n v="45000"/>
    <n v="15"/>
    <n v="76500"/>
    <n v="42075"/>
    <n v="34425"/>
    <s v="B2B"/>
    <s v="Cash"/>
    <s v="No"/>
    <s v="May"/>
    <n v="2022"/>
    <n v="0.45"/>
    <s v="Small"/>
    <s v="Low Profit"/>
    <x v="13"/>
    <x v="13"/>
  </r>
  <r>
    <s v="ORD-0536"/>
    <d v="2022-04-03T00:00:00"/>
    <x v="3"/>
    <s v="Germany"/>
    <s v="Rahul Gupta"/>
    <x v="3"/>
    <s v="Football"/>
    <n v="23"/>
    <n v="900"/>
    <n v="10"/>
    <n v="18630"/>
    <n v="8383.5"/>
    <n v="10246.5"/>
    <s v="B2B"/>
    <s v="Wallet"/>
    <s v="No"/>
    <s v="Apr"/>
    <n v="2022"/>
    <n v="0.55000000000000004"/>
    <s v="Small"/>
    <s v="Medium Profit"/>
    <x v="28"/>
    <x v="28"/>
  </r>
  <r>
    <s v="ORD-0537"/>
    <d v="2022-06-25T00:00:00"/>
    <x v="3"/>
    <s v="France"/>
    <s v="Rahul Gupta"/>
    <x v="1"/>
    <s v="Headphones"/>
    <n v="7"/>
    <n v="8000"/>
    <n v="15"/>
    <n v="47600"/>
    <n v="26180"/>
    <n v="21420"/>
    <s v="Enterprise"/>
    <s v="Cash"/>
    <s v="No"/>
    <s v="Jun"/>
    <n v="2022"/>
    <n v="0.45"/>
    <s v="Small"/>
    <s v="Low Profit"/>
    <x v="4"/>
    <x v="4"/>
  </r>
  <r>
    <s v="ORD-0538"/>
    <d v="2024-07-08T00:00:00"/>
    <x v="2"/>
    <s v="Brazil"/>
    <s v="Neha Sharma"/>
    <x v="2"/>
    <s v="Sofa"/>
    <n v="26"/>
    <n v="25000"/>
    <n v="5"/>
    <n v="617500"/>
    <n v="308750"/>
    <n v="308750"/>
    <s v="B2C"/>
    <s v="Cash"/>
    <s v="No"/>
    <s v="Jul"/>
    <n v="2024"/>
    <n v="0.5"/>
    <s v="Medium"/>
    <s v="Medium Profit"/>
    <x v="15"/>
    <x v="15"/>
  </r>
  <r>
    <s v="ORD-0539"/>
    <d v="2024-08-01T00:00:00"/>
    <x v="1"/>
    <s v="Canada"/>
    <s v="Priya Mehta"/>
    <x v="2"/>
    <s v="Lamp"/>
    <n v="30"/>
    <n v="1500"/>
    <n v="5"/>
    <n v="42750"/>
    <n v="21375"/>
    <n v="21375"/>
    <s v="B2C"/>
    <s v="Wallet"/>
    <s v="No"/>
    <s v="Aug"/>
    <n v="2024"/>
    <n v="0.5"/>
    <s v="Small"/>
    <s v="Medium Profit"/>
    <x v="12"/>
    <x v="12"/>
  </r>
  <r>
    <s v="ORD-0540"/>
    <d v="2022-09-17T00:00:00"/>
    <x v="1"/>
    <s v="Canada"/>
    <s v="Priya Mehta"/>
    <x v="2"/>
    <s v="Rug"/>
    <n v="42"/>
    <n v="4000"/>
    <n v="0"/>
    <n v="168000"/>
    <n v="84000"/>
    <n v="84000"/>
    <s v="Enterprise"/>
    <s v="Cash"/>
    <s v="No"/>
    <s v="Sep"/>
    <n v="2022"/>
    <n v="0.5"/>
    <s v="Small"/>
    <s v="Medium Profit"/>
    <x v="17"/>
    <x v="17"/>
  </r>
  <r>
    <s v="ORD-0541"/>
    <d v="2024-02-19T00:00:00"/>
    <x v="3"/>
    <s v="UK"/>
    <s v="Neha Sharma"/>
    <x v="0"/>
    <s v="Cap"/>
    <n v="11"/>
    <n v="600"/>
    <n v="15"/>
    <n v="5610"/>
    <n v="2244"/>
    <n v="3366"/>
    <s v="B2B"/>
    <s v="Net Banking"/>
    <s v="No"/>
    <s v="Feb"/>
    <n v="2024"/>
    <n v="0.6"/>
    <s v="Small"/>
    <s v="High Profit"/>
    <x v="23"/>
    <x v="23"/>
  </r>
  <r>
    <s v="ORD-0542"/>
    <d v="2023-02-27T00:00:00"/>
    <x v="3"/>
    <s v="Germany"/>
    <s v="Neha Sharma"/>
    <x v="2"/>
    <s v="Rug"/>
    <n v="45"/>
    <n v="4000"/>
    <n v="5"/>
    <n v="171000"/>
    <n v="85500"/>
    <n v="85500"/>
    <s v="Enterprise"/>
    <s v="Credit Card"/>
    <s v="No"/>
    <s v="Feb"/>
    <n v="2023"/>
    <n v="0.5"/>
    <s v="Small"/>
    <s v="Medium Profit"/>
    <x v="6"/>
    <x v="6"/>
  </r>
  <r>
    <s v="ORD-0543"/>
    <d v="2024-08-04T00:00:00"/>
    <x v="3"/>
    <s v="Germany"/>
    <s v="Amit Kumar"/>
    <x v="1"/>
    <s v="Headphones"/>
    <n v="12"/>
    <n v="8000"/>
    <n v="10"/>
    <n v="86400"/>
    <n v="47520"/>
    <n v="38880"/>
    <s v="B2B"/>
    <s v="Wallet"/>
    <s v="No"/>
    <s v="Aug"/>
    <n v="2024"/>
    <n v="0.45"/>
    <s v="Small"/>
    <s v="Low Profit"/>
    <x v="12"/>
    <x v="12"/>
  </r>
  <r>
    <s v="ORD-0544"/>
    <d v="2022-07-22T00:00:00"/>
    <x v="3"/>
    <s v="Germany"/>
    <s v="Pooja Patel"/>
    <x v="1"/>
    <s v="Laptop"/>
    <n v="14"/>
    <n v="75000"/>
    <n v="5"/>
    <n v="997500"/>
    <n v="548625"/>
    <n v="448875"/>
    <s v="Enterprise"/>
    <s v="Credit Card"/>
    <s v="Yes"/>
    <s v="Jul"/>
    <n v="2022"/>
    <n v="0.45"/>
    <s v="Large"/>
    <s v="Low Profit"/>
    <x v="16"/>
    <x v="16"/>
  </r>
  <r>
    <s v="ORD-0545"/>
    <d v="2022-10-22T00:00:00"/>
    <x v="2"/>
    <s v="Argentina"/>
    <s v="Amit Kumar"/>
    <x v="2"/>
    <s v="Lamp"/>
    <n v="40"/>
    <n v="1500"/>
    <n v="20"/>
    <n v="48000"/>
    <n v="24000"/>
    <n v="24000"/>
    <s v="B2B"/>
    <s v="UPI"/>
    <s v="No"/>
    <s v="Oct"/>
    <n v="2022"/>
    <n v="0.5"/>
    <s v="Small"/>
    <s v="Medium Profit"/>
    <x v="21"/>
    <x v="21"/>
  </r>
  <r>
    <s v="ORD-0546"/>
    <d v="2023-09-10T00:00:00"/>
    <x v="0"/>
    <s v="Japan"/>
    <s v="Anjali Singh"/>
    <x v="1"/>
    <s v="Smartwatch"/>
    <n v="1"/>
    <n v="15000"/>
    <n v="20"/>
    <n v="12000"/>
    <n v="6600"/>
    <n v="5400"/>
    <s v="B2C"/>
    <s v="UPI"/>
    <s v="Yes"/>
    <s v="Sep"/>
    <n v="2023"/>
    <n v="0.45"/>
    <s v="Small"/>
    <s v="Low Profit"/>
    <x v="7"/>
    <x v="7"/>
  </r>
  <r>
    <s v="ORD-0547"/>
    <d v="2023-07-02T00:00:00"/>
    <x v="0"/>
    <s v="China"/>
    <s v="Aarav Shah"/>
    <x v="1"/>
    <s v="Smartwatch"/>
    <n v="23"/>
    <n v="15000"/>
    <n v="0"/>
    <n v="345000"/>
    <n v="189750"/>
    <n v="155250"/>
    <s v="B2B"/>
    <s v="UPI"/>
    <s v="No"/>
    <s v="Jul"/>
    <n v="2023"/>
    <n v="0.45"/>
    <s v="Medium"/>
    <s v="Low Profit"/>
    <x v="5"/>
    <x v="5"/>
  </r>
  <r>
    <s v="ORD-0548"/>
    <d v="2024-04-23T00:00:00"/>
    <x v="3"/>
    <s v="France"/>
    <s v="Anjali Singh"/>
    <x v="3"/>
    <s v="Tennis Racket"/>
    <n v="25"/>
    <n v="5500"/>
    <n v="15"/>
    <n v="116875"/>
    <n v="52593.75"/>
    <n v="64281.25"/>
    <s v="B2B"/>
    <s v="UPI"/>
    <s v="Yes"/>
    <s v="Apr"/>
    <n v="2024"/>
    <n v="0.55000000000000004"/>
    <s v="Small"/>
    <s v="Medium Profit"/>
    <x v="8"/>
    <x v="8"/>
  </r>
  <r>
    <s v="ORD-0549"/>
    <d v="2024-07-05T00:00:00"/>
    <x v="2"/>
    <s v="Argentina"/>
    <s v="Anjali Singh"/>
    <x v="3"/>
    <s v="Dumbbell"/>
    <n v="19"/>
    <n v="3000"/>
    <n v="5"/>
    <n v="54150"/>
    <n v="24367.5"/>
    <n v="29782.5"/>
    <s v="B2B"/>
    <s v="Credit Card"/>
    <s v="No"/>
    <s v="Jul"/>
    <n v="2024"/>
    <n v="0.55000000000000004"/>
    <s v="Small"/>
    <s v="Medium Profit"/>
    <x v="15"/>
    <x v="15"/>
  </r>
  <r>
    <s v="ORD-0550"/>
    <d v="2022-02-05T00:00:00"/>
    <x v="3"/>
    <s v="France"/>
    <s v="Rohan Joshi"/>
    <x v="0"/>
    <s v="Jacket"/>
    <n v="9"/>
    <n v="3500"/>
    <n v="15"/>
    <n v="26775"/>
    <n v="10710"/>
    <n v="16065"/>
    <s v="Enterprise"/>
    <s v="Wallet"/>
    <s v="No"/>
    <s v="Feb"/>
    <n v="2022"/>
    <n v="0.6"/>
    <s v="Small"/>
    <s v="High Profit"/>
    <x v="29"/>
    <x v="29"/>
  </r>
  <r>
    <s v="ORD-0551"/>
    <d v="2024-04-20T00:00:00"/>
    <x v="2"/>
    <s v="Argentina"/>
    <s v="Amit Kumar"/>
    <x v="3"/>
    <s v="Football"/>
    <n v="29"/>
    <n v="900"/>
    <n v="15"/>
    <n v="22185"/>
    <n v="9983.25"/>
    <n v="12201.75"/>
    <s v="B2B"/>
    <s v="UPI"/>
    <s v="No"/>
    <s v="Apr"/>
    <n v="2024"/>
    <n v="0.55000000000000004"/>
    <s v="Small"/>
    <s v="Medium Profit"/>
    <x v="8"/>
    <x v="8"/>
  </r>
  <r>
    <s v="ORD-0552"/>
    <d v="2024-04-20T00:00:00"/>
    <x v="1"/>
    <s v="Canada"/>
    <s v="Sneha Iyer"/>
    <x v="2"/>
    <s v="Lamp"/>
    <n v="35"/>
    <n v="1500"/>
    <n v="20"/>
    <n v="42000"/>
    <n v="21000"/>
    <n v="21000"/>
    <s v="B2B"/>
    <s v="Credit Card"/>
    <s v="No"/>
    <s v="Apr"/>
    <n v="2024"/>
    <n v="0.5"/>
    <s v="Small"/>
    <s v="Medium Profit"/>
    <x v="8"/>
    <x v="8"/>
  </r>
  <r>
    <s v="ORD-0553"/>
    <d v="2024-07-23T00:00:00"/>
    <x v="0"/>
    <s v="India"/>
    <s v="Neha Sharma"/>
    <x v="3"/>
    <s v="Yoga Mat"/>
    <n v="10"/>
    <n v="1200"/>
    <n v="20"/>
    <n v="9600"/>
    <n v="4320"/>
    <n v="5280"/>
    <s v="B2C"/>
    <s v="Wallet"/>
    <s v="No"/>
    <s v="Jul"/>
    <n v="2024"/>
    <n v="0.55000000000000004"/>
    <s v="Small"/>
    <s v="Medium Profit"/>
    <x v="15"/>
    <x v="15"/>
  </r>
  <r>
    <s v="ORD-0554"/>
    <d v="2022-06-17T00:00:00"/>
    <x v="1"/>
    <s v="USA"/>
    <s v="Pooja Patel"/>
    <x v="1"/>
    <s v="Smartwatch"/>
    <n v="38"/>
    <n v="15000"/>
    <n v="10"/>
    <n v="513000"/>
    <n v="282150"/>
    <n v="230850"/>
    <s v="B2B"/>
    <s v="Net Banking"/>
    <s v="Yes"/>
    <s v="Jun"/>
    <n v="2022"/>
    <n v="0.45"/>
    <s v="Medium"/>
    <s v="Low Profit"/>
    <x v="4"/>
    <x v="4"/>
  </r>
  <r>
    <s v="ORD-0555"/>
    <d v="2024-11-25T00:00:00"/>
    <x v="1"/>
    <s v="Canada"/>
    <s v="Pooja Patel"/>
    <x v="3"/>
    <s v="Football"/>
    <n v="47"/>
    <n v="900"/>
    <n v="10"/>
    <n v="38070"/>
    <n v="17131.5"/>
    <n v="20938.5"/>
    <s v="B2C"/>
    <s v="Net Banking"/>
    <s v="No"/>
    <s v="Nov"/>
    <n v="2024"/>
    <n v="0.55000000000000004"/>
    <s v="Small"/>
    <s v="Medium Profit"/>
    <x v="18"/>
    <x v="18"/>
  </r>
  <r>
    <s v="ORD-0556"/>
    <d v="2023-07-06T00:00:00"/>
    <x v="1"/>
    <s v="Canada"/>
    <s v="Neha Sharma"/>
    <x v="2"/>
    <s v="Blender"/>
    <n v="41"/>
    <n v="5000"/>
    <n v="15"/>
    <n v="174250"/>
    <n v="87125"/>
    <n v="87125"/>
    <s v="B2B"/>
    <s v="Wallet"/>
    <s v="Yes"/>
    <s v="Jul"/>
    <n v="2023"/>
    <n v="0.5"/>
    <s v="Small"/>
    <s v="Medium Profit"/>
    <x v="5"/>
    <x v="5"/>
  </r>
  <r>
    <s v="ORD-0557"/>
    <d v="2022-04-22T00:00:00"/>
    <x v="0"/>
    <s v="China"/>
    <s v="Neha Sharma"/>
    <x v="1"/>
    <s v="Tablet"/>
    <n v="32"/>
    <n v="35000"/>
    <n v="0"/>
    <n v="1120000"/>
    <n v="616000"/>
    <n v="504000"/>
    <s v="Enterprise"/>
    <s v="Credit Card"/>
    <s v="No"/>
    <s v="Apr"/>
    <n v="2022"/>
    <n v="0.45"/>
    <s v="Large"/>
    <s v="Low Profit"/>
    <x v="28"/>
    <x v="28"/>
  </r>
  <r>
    <s v="ORD-0558"/>
    <d v="2023-06-09T00:00:00"/>
    <x v="2"/>
    <s v="Argentina"/>
    <s v="Vikram Nair"/>
    <x v="2"/>
    <s v="Blender"/>
    <n v="48"/>
    <n v="5000"/>
    <n v="0"/>
    <n v="240000"/>
    <n v="120000"/>
    <n v="120000"/>
    <s v="B2B"/>
    <s v="Wallet"/>
    <s v="Yes"/>
    <s v="Jun"/>
    <n v="2023"/>
    <n v="0.5"/>
    <s v="Small"/>
    <s v="Medium Profit"/>
    <x v="2"/>
    <x v="2"/>
  </r>
  <r>
    <s v="ORD-0559"/>
    <d v="2022-10-22T00:00:00"/>
    <x v="3"/>
    <s v="Germany"/>
    <s v="Rahul Gupta"/>
    <x v="2"/>
    <s v="Air Fryer"/>
    <n v="32"/>
    <n v="8500"/>
    <n v="5"/>
    <n v="258400"/>
    <n v="129200"/>
    <n v="129200"/>
    <s v="B2B"/>
    <s v="Net Banking"/>
    <s v="Yes"/>
    <s v="Oct"/>
    <n v="2022"/>
    <n v="0.5"/>
    <s v="Small"/>
    <s v="Medium Profit"/>
    <x v="21"/>
    <x v="21"/>
  </r>
  <r>
    <s v="ORD-0560"/>
    <d v="2022-06-05T00:00:00"/>
    <x v="2"/>
    <s v="Argentina"/>
    <s v="Rohan Joshi"/>
    <x v="3"/>
    <s v="Dumbbell"/>
    <n v="43"/>
    <n v="3000"/>
    <n v="15"/>
    <n v="109650"/>
    <n v="49342.5"/>
    <n v="60307.5"/>
    <s v="B2B"/>
    <s v="Wallet"/>
    <s v="No"/>
    <s v="Jun"/>
    <n v="2022"/>
    <n v="0.55000000000000004"/>
    <s v="Small"/>
    <s v="Medium Profit"/>
    <x v="4"/>
    <x v="4"/>
  </r>
  <r>
    <s v="ORD-0561"/>
    <d v="2023-11-02T00:00:00"/>
    <x v="0"/>
    <s v="India"/>
    <s v="Aarav Shah"/>
    <x v="0"/>
    <s v="Jeans"/>
    <n v="26"/>
    <n v="2500"/>
    <n v="15"/>
    <n v="55250"/>
    <n v="22100"/>
    <n v="33150"/>
    <s v="B2C"/>
    <s v="Wallet"/>
    <s v="No"/>
    <s v="Nov"/>
    <n v="2023"/>
    <n v="0.6"/>
    <s v="Small"/>
    <s v="High Profit"/>
    <x v="32"/>
    <x v="32"/>
  </r>
  <r>
    <s v="ORD-0562"/>
    <d v="2023-03-13T00:00:00"/>
    <x v="3"/>
    <s v="Germany"/>
    <s v="Vikram Nair"/>
    <x v="0"/>
    <s v="Cap"/>
    <n v="28"/>
    <n v="600"/>
    <n v="0"/>
    <n v="16800"/>
    <n v="6720"/>
    <n v="10080"/>
    <s v="B2C"/>
    <s v="Cash"/>
    <s v="No"/>
    <s v="Mar"/>
    <n v="2023"/>
    <n v="0.6"/>
    <s v="Small"/>
    <s v="High Profit"/>
    <x v="22"/>
    <x v="22"/>
  </r>
  <r>
    <s v="ORD-0563"/>
    <d v="2023-09-17T00:00:00"/>
    <x v="1"/>
    <s v="USA"/>
    <s v="Amit Kumar"/>
    <x v="2"/>
    <s v="Lamp"/>
    <n v="40"/>
    <n v="1500"/>
    <n v="10"/>
    <n v="54000"/>
    <n v="27000"/>
    <n v="27000"/>
    <s v="B2C"/>
    <s v="Net Banking"/>
    <s v="No"/>
    <s v="Sep"/>
    <n v="2023"/>
    <n v="0.5"/>
    <s v="Small"/>
    <s v="Medium Profit"/>
    <x v="7"/>
    <x v="7"/>
  </r>
  <r>
    <s v="ORD-0564"/>
    <d v="2022-07-09T00:00:00"/>
    <x v="3"/>
    <s v="Germany"/>
    <s v="Sneha Iyer"/>
    <x v="0"/>
    <s v="Cap"/>
    <n v="22"/>
    <n v="600"/>
    <n v="5"/>
    <n v="12540"/>
    <n v="5016"/>
    <n v="7524"/>
    <s v="Enterprise"/>
    <s v="Credit Card"/>
    <s v="No"/>
    <s v="Jul"/>
    <n v="2022"/>
    <n v="0.6"/>
    <s v="Small"/>
    <s v="High Profit"/>
    <x v="16"/>
    <x v="16"/>
  </r>
  <r>
    <s v="ORD-0565"/>
    <d v="2022-01-27T00:00:00"/>
    <x v="1"/>
    <s v="USA"/>
    <s v="Rohan Joshi"/>
    <x v="1"/>
    <s v="Smartwatch"/>
    <n v="7"/>
    <n v="15000"/>
    <n v="15"/>
    <n v="89250"/>
    <n v="49087.5"/>
    <n v="40162.5"/>
    <s v="B2B"/>
    <s v="Net Banking"/>
    <s v="No"/>
    <s v="Jan"/>
    <n v="2022"/>
    <n v="0.45"/>
    <s v="Small"/>
    <s v="Low Profit"/>
    <x v="10"/>
    <x v="10"/>
  </r>
  <r>
    <s v="ORD-0566"/>
    <d v="2023-05-07T00:00:00"/>
    <x v="1"/>
    <s v="USA"/>
    <s v="Neha Sharma"/>
    <x v="1"/>
    <s v="Laptop"/>
    <n v="39"/>
    <n v="75000"/>
    <n v="5"/>
    <n v="2778750"/>
    <n v="1528312.5"/>
    <n v="1250437.5"/>
    <s v="Enterprise"/>
    <s v="Credit Card"/>
    <s v="Yes"/>
    <s v="May"/>
    <n v="2023"/>
    <n v="0.45"/>
    <s v="Large"/>
    <s v="Low Profit"/>
    <x v="33"/>
    <x v="33"/>
  </r>
  <r>
    <s v="ORD-0567"/>
    <d v="2022-08-03T00:00:00"/>
    <x v="2"/>
    <s v="Argentina"/>
    <s v="Neha Sharma"/>
    <x v="0"/>
    <s v="Jacket"/>
    <n v="45"/>
    <n v="3500"/>
    <n v="5"/>
    <n v="149625"/>
    <n v="59850"/>
    <n v="89775"/>
    <s v="B2C"/>
    <s v="Cash"/>
    <s v="No"/>
    <s v="Aug"/>
    <n v="2022"/>
    <n v="0.6"/>
    <s v="Small"/>
    <s v="High Profit"/>
    <x v="0"/>
    <x v="0"/>
  </r>
  <r>
    <s v="ORD-0568"/>
    <d v="2022-05-21T00:00:00"/>
    <x v="3"/>
    <s v="Germany"/>
    <s v="Rohan Joshi"/>
    <x v="2"/>
    <s v="Sofa"/>
    <n v="11"/>
    <n v="25000"/>
    <n v="0"/>
    <n v="275000"/>
    <n v="137500"/>
    <n v="137500"/>
    <s v="B2B"/>
    <s v="Cash"/>
    <s v="No"/>
    <s v="May"/>
    <n v="2022"/>
    <n v="0.5"/>
    <s v="Small"/>
    <s v="Medium Profit"/>
    <x v="13"/>
    <x v="13"/>
  </r>
  <r>
    <s v="ORD-0569"/>
    <d v="2024-01-11T00:00:00"/>
    <x v="1"/>
    <s v="Canada"/>
    <s v="Vikram Nair"/>
    <x v="0"/>
    <s v="Jeans"/>
    <n v="5"/>
    <n v="2500"/>
    <n v="15"/>
    <n v="10625"/>
    <n v="4250"/>
    <n v="6375"/>
    <s v="Enterprise"/>
    <s v="Cash"/>
    <s v="No"/>
    <s v="Jan"/>
    <n v="2024"/>
    <n v="0.6"/>
    <s v="Small"/>
    <s v="High Profit"/>
    <x v="3"/>
    <x v="3"/>
  </r>
  <r>
    <s v="ORD-0570"/>
    <d v="2022-12-21T00:00:00"/>
    <x v="3"/>
    <s v="UK"/>
    <s v="Rahul Gupta"/>
    <x v="3"/>
    <s v="Dumbbell"/>
    <n v="40"/>
    <n v="3000"/>
    <n v="0"/>
    <n v="120000"/>
    <n v="54000"/>
    <n v="66000"/>
    <s v="Enterprise"/>
    <s v="Net Banking"/>
    <s v="No"/>
    <s v="Dec"/>
    <n v="2022"/>
    <n v="0.55000000000000004"/>
    <s v="Small"/>
    <s v="Medium Profit"/>
    <x v="24"/>
    <x v="24"/>
  </r>
  <r>
    <s v="ORD-0571"/>
    <d v="2022-07-02T00:00:00"/>
    <x v="1"/>
    <s v="USA"/>
    <s v="Neha Sharma"/>
    <x v="2"/>
    <s v="Lamp"/>
    <n v="2"/>
    <n v="1500"/>
    <n v="15"/>
    <n v="2550"/>
    <n v="1275"/>
    <n v="1275"/>
    <s v="Enterprise"/>
    <s v="Credit Card"/>
    <s v="No"/>
    <s v="Jul"/>
    <n v="2022"/>
    <n v="0.5"/>
    <s v="Small"/>
    <s v="Medium Profit"/>
    <x v="16"/>
    <x v="16"/>
  </r>
  <r>
    <s v="ORD-0572"/>
    <d v="2022-03-22T00:00:00"/>
    <x v="3"/>
    <s v="Germany"/>
    <s v="Rahul Gupta"/>
    <x v="2"/>
    <s v="Lamp"/>
    <n v="37"/>
    <n v="1500"/>
    <n v="0"/>
    <n v="55500"/>
    <n v="27750"/>
    <n v="27750"/>
    <s v="Enterprise"/>
    <s v="Cash"/>
    <s v="Yes"/>
    <s v="Mar"/>
    <n v="2022"/>
    <n v="0.5"/>
    <s v="Small"/>
    <s v="Medium Profit"/>
    <x v="1"/>
    <x v="1"/>
  </r>
  <r>
    <s v="ORD-0573"/>
    <d v="2024-07-14T00:00:00"/>
    <x v="3"/>
    <s v="France"/>
    <s v="Priya Mehta"/>
    <x v="0"/>
    <s v="Jacket"/>
    <n v="25"/>
    <n v="3500"/>
    <n v="15"/>
    <n v="74375"/>
    <n v="29750"/>
    <n v="44625"/>
    <s v="Enterprise"/>
    <s v="Wallet"/>
    <s v="No"/>
    <s v="Jul"/>
    <n v="2024"/>
    <n v="0.6"/>
    <s v="Small"/>
    <s v="High Profit"/>
    <x v="15"/>
    <x v="15"/>
  </r>
  <r>
    <s v="ORD-0574"/>
    <d v="2023-11-11T00:00:00"/>
    <x v="0"/>
    <s v="Japan"/>
    <s v="Aarav Shah"/>
    <x v="1"/>
    <s v="Tablet"/>
    <n v="35"/>
    <n v="35000"/>
    <n v="10"/>
    <n v="1102500"/>
    <n v="606375"/>
    <n v="496125"/>
    <s v="B2C"/>
    <s v="Net Banking"/>
    <s v="No"/>
    <s v="Nov"/>
    <n v="2023"/>
    <n v="0.45"/>
    <s v="Large"/>
    <s v="Low Profit"/>
    <x v="32"/>
    <x v="32"/>
  </r>
  <r>
    <s v="ORD-0575"/>
    <d v="2023-01-06T00:00:00"/>
    <x v="1"/>
    <s v="Canada"/>
    <s v="Sneha Iyer"/>
    <x v="2"/>
    <s v="Lamp"/>
    <n v="7"/>
    <n v="1500"/>
    <n v="10"/>
    <n v="9450"/>
    <n v="4725"/>
    <n v="4725"/>
    <s v="B2B"/>
    <s v="Cash"/>
    <s v="No"/>
    <s v="Jan"/>
    <n v="2023"/>
    <n v="0.5"/>
    <s v="Small"/>
    <s v="Medium Profit"/>
    <x v="35"/>
    <x v="35"/>
  </r>
  <r>
    <s v="ORD-0576"/>
    <d v="2023-01-05T00:00:00"/>
    <x v="1"/>
    <s v="USA"/>
    <s v="Aarav Shah"/>
    <x v="0"/>
    <s v="Jeans"/>
    <n v="25"/>
    <n v="2500"/>
    <n v="0"/>
    <n v="62500"/>
    <n v="25000"/>
    <n v="37500"/>
    <s v="Enterprise"/>
    <s v="Net Banking"/>
    <s v="Yes"/>
    <s v="Jan"/>
    <n v="2023"/>
    <n v="0.6"/>
    <s v="Small"/>
    <s v="High Profit"/>
    <x v="35"/>
    <x v="35"/>
  </r>
  <r>
    <s v="ORD-0577"/>
    <d v="2024-08-18T00:00:00"/>
    <x v="3"/>
    <s v="UK"/>
    <s v="Aarav Shah"/>
    <x v="2"/>
    <s v="Blender"/>
    <n v="22"/>
    <n v="5000"/>
    <n v="0"/>
    <n v="110000"/>
    <n v="55000"/>
    <n v="55000"/>
    <s v="B2B"/>
    <s v="UPI"/>
    <s v="No"/>
    <s v="Aug"/>
    <n v="2024"/>
    <n v="0.5"/>
    <s v="Small"/>
    <s v="Medium Profit"/>
    <x v="12"/>
    <x v="12"/>
  </r>
  <r>
    <s v="ORD-0578"/>
    <d v="2024-10-15T00:00:00"/>
    <x v="2"/>
    <s v="Brazil"/>
    <s v="Priya Mehta"/>
    <x v="1"/>
    <s v="Smartphone"/>
    <n v="32"/>
    <n v="45000"/>
    <n v="0"/>
    <n v="1440000"/>
    <n v="792000"/>
    <n v="648000"/>
    <s v="Enterprise"/>
    <s v="Credit Card"/>
    <s v="No"/>
    <s v="Oct"/>
    <n v="2024"/>
    <n v="0.45"/>
    <s v="Large"/>
    <s v="Low Profit"/>
    <x v="31"/>
    <x v="31"/>
  </r>
  <r>
    <s v="ORD-0579"/>
    <d v="2023-04-23T00:00:00"/>
    <x v="2"/>
    <s v="Brazil"/>
    <s v="Rahul Gupta"/>
    <x v="1"/>
    <s v="Tablet"/>
    <n v="7"/>
    <n v="35000"/>
    <n v="15"/>
    <n v="208250"/>
    <n v="114537.5"/>
    <n v="93712.5"/>
    <s v="B2B"/>
    <s v="Wallet"/>
    <s v="Yes"/>
    <s v="Apr"/>
    <n v="2023"/>
    <n v="0.45"/>
    <s v="Small"/>
    <s v="Low Profit"/>
    <x v="26"/>
    <x v="26"/>
  </r>
  <r>
    <s v="ORD-0580"/>
    <d v="2022-05-27T00:00:00"/>
    <x v="1"/>
    <s v="USA"/>
    <s v="Pooja Patel"/>
    <x v="0"/>
    <s v="Jacket"/>
    <n v="13"/>
    <n v="3500"/>
    <n v="15"/>
    <n v="38675"/>
    <n v="15470"/>
    <n v="23205"/>
    <s v="Enterprise"/>
    <s v="Cash"/>
    <s v="No"/>
    <s v="May"/>
    <n v="2022"/>
    <n v="0.6"/>
    <s v="Small"/>
    <s v="High Profit"/>
    <x v="13"/>
    <x v="13"/>
  </r>
  <r>
    <s v="ORD-0581"/>
    <d v="2023-09-04T00:00:00"/>
    <x v="2"/>
    <s v="Argentina"/>
    <s v="Sneha Iyer"/>
    <x v="1"/>
    <s v="Smartwatch"/>
    <n v="12"/>
    <n v="15000"/>
    <n v="10"/>
    <n v="162000"/>
    <n v="89100"/>
    <n v="72900"/>
    <s v="B2B"/>
    <s v="Net Banking"/>
    <s v="No"/>
    <s v="Sep"/>
    <n v="2023"/>
    <n v="0.45"/>
    <s v="Small"/>
    <s v="Low Profit"/>
    <x v="7"/>
    <x v="7"/>
  </r>
  <r>
    <s v="ORD-0582"/>
    <d v="2022-10-25T00:00:00"/>
    <x v="3"/>
    <s v="UK"/>
    <s v="Anjali Singh"/>
    <x v="0"/>
    <s v="Jeans"/>
    <n v="16"/>
    <n v="2500"/>
    <n v="20"/>
    <n v="32000"/>
    <n v="12800"/>
    <n v="19200"/>
    <s v="B2B"/>
    <s v="Credit Card"/>
    <s v="No"/>
    <s v="Oct"/>
    <n v="2022"/>
    <n v="0.6"/>
    <s v="Small"/>
    <s v="High Profit"/>
    <x v="21"/>
    <x v="21"/>
  </r>
  <r>
    <s v="ORD-0583"/>
    <d v="2024-01-25T00:00:00"/>
    <x v="2"/>
    <s v="Brazil"/>
    <s v="Pooja Patel"/>
    <x v="1"/>
    <s v="Laptop"/>
    <n v="1"/>
    <n v="75000"/>
    <n v="5"/>
    <n v="71250"/>
    <n v="39187.5"/>
    <n v="32062.5"/>
    <s v="Enterprise"/>
    <s v="Wallet"/>
    <s v="No"/>
    <s v="Jan"/>
    <n v="2024"/>
    <n v="0.45"/>
    <s v="Small"/>
    <s v="Low Profit"/>
    <x v="3"/>
    <x v="3"/>
  </r>
  <r>
    <s v="ORD-0584"/>
    <d v="2023-07-14T00:00:00"/>
    <x v="3"/>
    <s v="France"/>
    <s v="Rahul Gupta"/>
    <x v="0"/>
    <s v="Sneakers"/>
    <n v="41"/>
    <n v="4200"/>
    <n v="10"/>
    <n v="154980"/>
    <n v="61992"/>
    <n v="92988"/>
    <s v="B2C"/>
    <s v="Cash"/>
    <s v="Yes"/>
    <s v="Jul"/>
    <n v="2023"/>
    <n v="0.6"/>
    <s v="Small"/>
    <s v="High Profit"/>
    <x v="5"/>
    <x v="5"/>
  </r>
  <r>
    <s v="ORD-0585"/>
    <d v="2023-04-06T00:00:00"/>
    <x v="1"/>
    <s v="USA"/>
    <s v="Pooja Patel"/>
    <x v="1"/>
    <s v="Tablet"/>
    <n v="23"/>
    <n v="35000"/>
    <n v="15"/>
    <n v="684250"/>
    <n v="376337.5"/>
    <n v="307912.5"/>
    <s v="Enterprise"/>
    <s v="UPI"/>
    <s v="No"/>
    <s v="Apr"/>
    <n v="2023"/>
    <n v="0.45"/>
    <s v="Medium"/>
    <s v="Low Profit"/>
    <x v="26"/>
    <x v="26"/>
  </r>
  <r>
    <s v="ORD-0586"/>
    <d v="2023-01-04T00:00:00"/>
    <x v="1"/>
    <s v="Canada"/>
    <s v="Amit Kumar"/>
    <x v="0"/>
    <s v="Jeans"/>
    <n v="50"/>
    <n v="2500"/>
    <n v="5"/>
    <n v="118750"/>
    <n v="47500"/>
    <n v="71250"/>
    <s v="B2B"/>
    <s v="UPI"/>
    <s v="No"/>
    <s v="Jan"/>
    <n v="2023"/>
    <n v="0.6"/>
    <s v="Small"/>
    <s v="High Profit"/>
    <x v="35"/>
    <x v="35"/>
  </r>
  <r>
    <s v="ORD-0587"/>
    <d v="2022-08-26T00:00:00"/>
    <x v="2"/>
    <s v="Argentina"/>
    <s v="Pooja Patel"/>
    <x v="0"/>
    <s v="Sneakers"/>
    <n v="43"/>
    <n v="4200"/>
    <n v="0"/>
    <n v="180600"/>
    <n v="72240"/>
    <n v="108360"/>
    <s v="Enterprise"/>
    <s v="Net Banking"/>
    <s v="No"/>
    <s v="Aug"/>
    <n v="2022"/>
    <n v="0.6"/>
    <s v="Small"/>
    <s v="High Profit"/>
    <x v="0"/>
    <x v="0"/>
  </r>
  <r>
    <s v="ORD-0588"/>
    <d v="2023-07-07T00:00:00"/>
    <x v="3"/>
    <s v="Germany"/>
    <s v="Anjali Singh"/>
    <x v="3"/>
    <s v="Yoga Mat"/>
    <n v="7"/>
    <n v="1200"/>
    <n v="0"/>
    <n v="8400"/>
    <n v="3780"/>
    <n v="4620"/>
    <s v="B2B"/>
    <s v="UPI"/>
    <s v="Yes"/>
    <s v="Jul"/>
    <n v="2023"/>
    <n v="0.55000000000000004"/>
    <s v="Small"/>
    <s v="Medium Profit"/>
    <x v="5"/>
    <x v="5"/>
  </r>
  <r>
    <s v="ORD-0589"/>
    <d v="2022-02-16T00:00:00"/>
    <x v="1"/>
    <s v="USA"/>
    <s v="Sneha Iyer"/>
    <x v="3"/>
    <s v="Football"/>
    <n v="38"/>
    <n v="900"/>
    <n v="10"/>
    <n v="30780"/>
    <n v="13851"/>
    <n v="16929"/>
    <s v="B2B"/>
    <s v="Net Banking"/>
    <s v="No"/>
    <s v="Feb"/>
    <n v="2022"/>
    <n v="0.55000000000000004"/>
    <s v="Small"/>
    <s v="Medium Profit"/>
    <x v="29"/>
    <x v="29"/>
  </r>
  <r>
    <s v="ORD-0590"/>
    <d v="2023-03-25T00:00:00"/>
    <x v="1"/>
    <s v="Canada"/>
    <s v="Sneha Iyer"/>
    <x v="1"/>
    <s v="Smartphone"/>
    <n v="48"/>
    <n v="45000"/>
    <n v="15"/>
    <n v="1836000"/>
    <n v="1009800"/>
    <n v="826200"/>
    <s v="B2C"/>
    <s v="UPI"/>
    <s v="No"/>
    <s v="Mar"/>
    <n v="2023"/>
    <n v="0.45"/>
    <s v="Large"/>
    <s v="Low Profit"/>
    <x v="22"/>
    <x v="22"/>
  </r>
  <r>
    <s v="ORD-0591"/>
    <d v="2022-05-16T00:00:00"/>
    <x v="3"/>
    <s v="UK"/>
    <s v="Rohan Joshi"/>
    <x v="0"/>
    <s v="Sneakers"/>
    <n v="40"/>
    <n v="4200"/>
    <n v="15"/>
    <n v="142800"/>
    <n v="57120"/>
    <n v="85680"/>
    <s v="B2C"/>
    <s v="Net Banking"/>
    <s v="No"/>
    <s v="May"/>
    <n v="2022"/>
    <n v="0.6"/>
    <s v="Small"/>
    <s v="High Profit"/>
    <x v="13"/>
    <x v="13"/>
  </r>
  <r>
    <s v="ORD-0592"/>
    <d v="2022-09-15T00:00:00"/>
    <x v="2"/>
    <s v="Argentina"/>
    <s v="Vikram Nair"/>
    <x v="0"/>
    <s v="T-Shirt"/>
    <n v="9"/>
    <n v="800"/>
    <n v="0"/>
    <n v="7200"/>
    <n v="2880"/>
    <n v="4320"/>
    <s v="B2B"/>
    <s v="Net Banking"/>
    <s v="Yes"/>
    <s v="Sep"/>
    <n v="2022"/>
    <n v="0.6"/>
    <s v="Small"/>
    <s v="High Profit"/>
    <x v="17"/>
    <x v="17"/>
  </r>
  <r>
    <s v="ORD-0593"/>
    <d v="2022-09-04T00:00:00"/>
    <x v="3"/>
    <s v="Germany"/>
    <s v="Rohan Joshi"/>
    <x v="0"/>
    <s v="T-Shirt"/>
    <n v="15"/>
    <n v="800"/>
    <n v="10"/>
    <n v="10800"/>
    <n v="4320"/>
    <n v="6480"/>
    <s v="B2B"/>
    <s v="Wallet"/>
    <s v="Yes"/>
    <s v="Sep"/>
    <n v="2022"/>
    <n v="0.6"/>
    <s v="Small"/>
    <s v="High Profit"/>
    <x v="17"/>
    <x v="17"/>
  </r>
  <r>
    <s v="ORD-0594"/>
    <d v="2022-11-19T00:00:00"/>
    <x v="2"/>
    <s v="Brazil"/>
    <s v="Rohan Joshi"/>
    <x v="3"/>
    <s v="Dumbbell"/>
    <n v="38"/>
    <n v="3000"/>
    <n v="15"/>
    <n v="96900"/>
    <n v="43605"/>
    <n v="53295"/>
    <s v="B2C"/>
    <s v="Credit Card"/>
    <s v="No"/>
    <s v="Nov"/>
    <n v="2022"/>
    <n v="0.55000000000000004"/>
    <s v="Small"/>
    <s v="Medium Profit"/>
    <x v="9"/>
    <x v="9"/>
  </r>
  <r>
    <s v="ORD-0595"/>
    <d v="2024-04-24T00:00:00"/>
    <x v="2"/>
    <s v="Brazil"/>
    <s v="Anjali Singh"/>
    <x v="3"/>
    <s v="Football"/>
    <n v="15"/>
    <n v="900"/>
    <n v="20"/>
    <n v="10800"/>
    <n v="4860"/>
    <n v="5940"/>
    <s v="Enterprise"/>
    <s v="Credit Card"/>
    <s v="No"/>
    <s v="Apr"/>
    <n v="2024"/>
    <n v="0.55000000000000004"/>
    <s v="Small"/>
    <s v="Medium Profit"/>
    <x v="8"/>
    <x v="8"/>
  </r>
  <r>
    <s v="ORD-0596"/>
    <d v="2024-03-02T00:00:00"/>
    <x v="1"/>
    <s v="Canada"/>
    <s v="Amit Kumar"/>
    <x v="1"/>
    <s v="Headphones"/>
    <n v="34"/>
    <n v="8000"/>
    <n v="15"/>
    <n v="231200"/>
    <n v="127160"/>
    <n v="104040"/>
    <s v="Enterprise"/>
    <s v="Credit Card"/>
    <s v="No"/>
    <s v="Mar"/>
    <n v="2024"/>
    <n v="0.45"/>
    <s v="Small"/>
    <s v="Low Profit"/>
    <x v="27"/>
    <x v="27"/>
  </r>
  <r>
    <s v="ORD-0597"/>
    <d v="2024-05-16T00:00:00"/>
    <x v="2"/>
    <s v="Brazil"/>
    <s v="Amit Kumar"/>
    <x v="1"/>
    <s v="Headphones"/>
    <n v="14"/>
    <n v="8000"/>
    <n v="5"/>
    <n v="106400"/>
    <n v="58520"/>
    <n v="47880"/>
    <s v="B2C"/>
    <s v="UPI"/>
    <s v="No"/>
    <s v="May"/>
    <n v="2024"/>
    <n v="0.45"/>
    <s v="Small"/>
    <s v="Low Profit"/>
    <x v="34"/>
    <x v="34"/>
  </r>
  <r>
    <s v="ORD-0598"/>
    <d v="2022-06-01T00:00:00"/>
    <x v="3"/>
    <s v="France"/>
    <s v="Vikram Nair"/>
    <x v="0"/>
    <s v="Jeans"/>
    <n v="37"/>
    <n v="2500"/>
    <n v="20"/>
    <n v="74000"/>
    <n v="29600"/>
    <n v="44400"/>
    <s v="B2C"/>
    <s v="Cash"/>
    <s v="No"/>
    <s v="Jun"/>
    <n v="2022"/>
    <n v="0.6"/>
    <s v="Small"/>
    <s v="High Profit"/>
    <x v="4"/>
    <x v="4"/>
  </r>
  <r>
    <s v="ORD-0599"/>
    <d v="2022-09-28T00:00:00"/>
    <x v="3"/>
    <s v="UK"/>
    <s v="Anjali Singh"/>
    <x v="3"/>
    <s v="Yoga Mat"/>
    <n v="41"/>
    <n v="1200"/>
    <n v="0"/>
    <n v="49200"/>
    <n v="22140"/>
    <n v="27060"/>
    <s v="Enterprise"/>
    <s v="Net Banking"/>
    <s v="No"/>
    <s v="Sep"/>
    <n v="2022"/>
    <n v="0.55000000000000004"/>
    <s v="Small"/>
    <s v="Medium Profit"/>
    <x v="17"/>
    <x v="17"/>
  </r>
  <r>
    <s v="ORD-0600"/>
    <d v="2024-10-02T00:00:00"/>
    <x v="0"/>
    <s v="Japan"/>
    <s v="Vikram Nair"/>
    <x v="0"/>
    <s v="Jacket"/>
    <n v="40"/>
    <n v="3500"/>
    <n v="10"/>
    <n v="126000"/>
    <n v="50400"/>
    <n v="75600"/>
    <s v="Enterprise"/>
    <s v="Net Banking"/>
    <s v="No"/>
    <s v="Oct"/>
    <n v="2024"/>
    <n v="0.6"/>
    <s v="Small"/>
    <s v="High Profit"/>
    <x v="31"/>
    <x v="31"/>
  </r>
  <r>
    <s v="ORD-0601"/>
    <d v="2022-04-04T00:00:00"/>
    <x v="3"/>
    <s v="Germany"/>
    <s v="Pooja Patel"/>
    <x v="1"/>
    <s v="Tablet"/>
    <n v="24"/>
    <n v="35000"/>
    <n v="5"/>
    <n v="798000"/>
    <n v="438900"/>
    <n v="359100"/>
    <s v="Enterprise"/>
    <s v="Credit Card"/>
    <s v="Yes"/>
    <s v="Apr"/>
    <n v="2022"/>
    <n v="0.45"/>
    <s v="Large"/>
    <s v="Low Profit"/>
    <x v="28"/>
    <x v="28"/>
  </r>
  <r>
    <s v="ORD-0602"/>
    <d v="2024-12-23T00:00:00"/>
    <x v="2"/>
    <s v="Brazil"/>
    <s v="Anjali Singh"/>
    <x v="0"/>
    <s v="Cap"/>
    <n v="8"/>
    <n v="600"/>
    <n v="15"/>
    <n v="4080"/>
    <n v="1632"/>
    <n v="2448"/>
    <s v="Enterprise"/>
    <s v="UPI"/>
    <s v="Yes"/>
    <s v="Dec"/>
    <n v="2024"/>
    <n v="0.6"/>
    <s v="Small"/>
    <s v="High Profit"/>
    <x v="20"/>
    <x v="20"/>
  </r>
  <r>
    <s v="ORD-0603"/>
    <d v="2023-03-11T00:00:00"/>
    <x v="0"/>
    <s v="Japan"/>
    <s v="Amit Kumar"/>
    <x v="3"/>
    <s v="Cycle"/>
    <n v="4"/>
    <n v="18000"/>
    <n v="0"/>
    <n v="72000"/>
    <n v="32400"/>
    <n v="39600"/>
    <s v="B2C"/>
    <s v="Cash"/>
    <s v="No"/>
    <s v="Mar"/>
    <n v="2023"/>
    <n v="0.55000000000000004"/>
    <s v="Small"/>
    <s v="Medium Profit"/>
    <x v="22"/>
    <x v="22"/>
  </r>
  <r>
    <s v="ORD-0604"/>
    <d v="2024-08-17T00:00:00"/>
    <x v="1"/>
    <s v="Canada"/>
    <s v="Amit Kumar"/>
    <x v="2"/>
    <s v="Lamp"/>
    <n v="40"/>
    <n v="1500"/>
    <n v="10"/>
    <n v="54000"/>
    <n v="27000"/>
    <n v="27000"/>
    <s v="B2B"/>
    <s v="Cash"/>
    <s v="No"/>
    <s v="Aug"/>
    <n v="2024"/>
    <n v="0.5"/>
    <s v="Small"/>
    <s v="Medium Profit"/>
    <x v="12"/>
    <x v="12"/>
  </r>
  <r>
    <s v="ORD-0605"/>
    <d v="2022-06-03T00:00:00"/>
    <x v="3"/>
    <s v="UK"/>
    <s v="Vikram Nair"/>
    <x v="1"/>
    <s v="Laptop"/>
    <n v="11"/>
    <n v="75000"/>
    <n v="10"/>
    <n v="742500"/>
    <n v="408375"/>
    <n v="334125"/>
    <s v="Enterprise"/>
    <s v="UPI"/>
    <s v="No"/>
    <s v="Jun"/>
    <n v="2022"/>
    <n v="0.45"/>
    <s v="Large"/>
    <s v="Low Profit"/>
    <x v="4"/>
    <x v="4"/>
  </r>
  <r>
    <s v="ORD-0606"/>
    <d v="2024-08-05T00:00:00"/>
    <x v="2"/>
    <s v="Brazil"/>
    <s v="Vikram Nair"/>
    <x v="3"/>
    <s v="Football"/>
    <n v="9"/>
    <n v="900"/>
    <n v="15"/>
    <n v="6885"/>
    <n v="3098.25"/>
    <n v="3786.75"/>
    <s v="B2C"/>
    <s v="Cash"/>
    <s v="No"/>
    <s v="Aug"/>
    <n v="2024"/>
    <n v="0.55000000000000004"/>
    <s v="Small"/>
    <s v="Medium Profit"/>
    <x v="12"/>
    <x v="12"/>
  </r>
  <r>
    <s v="ORD-0607"/>
    <d v="2022-02-10T00:00:00"/>
    <x v="2"/>
    <s v="Brazil"/>
    <s v="Aarav Shah"/>
    <x v="0"/>
    <s v="Cap"/>
    <n v="42"/>
    <n v="600"/>
    <n v="10"/>
    <n v="22680"/>
    <n v="9072"/>
    <n v="13608"/>
    <s v="Enterprise"/>
    <s v="Net Banking"/>
    <s v="No"/>
    <s v="Feb"/>
    <n v="2022"/>
    <n v="0.6"/>
    <s v="Small"/>
    <s v="High Profit"/>
    <x v="29"/>
    <x v="29"/>
  </r>
  <r>
    <s v="ORD-0608"/>
    <d v="2023-09-16T00:00:00"/>
    <x v="3"/>
    <s v="Germany"/>
    <s v="Vikram Nair"/>
    <x v="0"/>
    <s v="T-Shirt"/>
    <n v="11"/>
    <n v="800"/>
    <n v="10"/>
    <n v="7920"/>
    <n v="3168"/>
    <n v="4752"/>
    <s v="B2C"/>
    <s v="Net Banking"/>
    <s v="No"/>
    <s v="Sep"/>
    <n v="2023"/>
    <n v="0.6"/>
    <s v="Small"/>
    <s v="High Profit"/>
    <x v="7"/>
    <x v="7"/>
  </r>
  <r>
    <s v="ORD-0609"/>
    <d v="2023-07-25T00:00:00"/>
    <x v="1"/>
    <s v="USA"/>
    <s v="Anjali Singh"/>
    <x v="2"/>
    <s v="Lamp"/>
    <n v="11"/>
    <n v="1500"/>
    <n v="20"/>
    <n v="13200"/>
    <n v="6600"/>
    <n v="6600"/>
    <s v="Enterprise"/>
    <s v="Wallet"/>
    <s v="No"/>
    <s v="Jul"/>
    <n v="2023"/>
    <n v="0.5"/>
    <s v="Small"/>
    <s v="Medium Profit"/>
    <x v="5"/>
    <x v="5"/>
  </r>
  <r>
    <s v="ORD-0610"/>
    <d v="2023-07-06T00:00:00"/>
    <x v="2"/>
    <s v="Brazil"/>
    <s v="Rahul Gupta"/>
    <x v="0"/>
    <s v="Jacket"/>
    <n v="3"/>
    <n v="3500"/>
    <n v="10"/>
    <n v="9450"/>
    <n v="3780"/>
    <n v="5670"/>
    <s v="B2B"/>
    <s v="Cash"/>
    <s v="Yes"/>
    <s v="Jul"/>
    <n v="2023"/>
    <n v="0.6"/>
    <s v="Small"/>
    <s v="High Profit"/>
    <x v="5"/>
    <x v="5"/>
  </r>
  <r>
    <s v="ORD-0611"/>
    <d v="2023-05-12T00:00:00"/>
    <x v="2"/>
    <s v="Brazil"/>
    <s v="Amit Kumar"/>
    <x v="1"/>
    <s v="Tablet"/>
    <n v="23"/>
    <n v="35000"/>
    <n v="5"/>
    <n v="764750"/>
    <n v="420612.5"/>
    <n v="344137.5"/>
    <s v="B2C"/>
    <s v="Wallet"/>
    <s v="No"/>
    <s v="May"/>
    <n v="2023"/>
    <n v="0.45"/>
    <s v="Large"/>
    <s v="Low Profit"/>
    <x v="33"/>
    <x v="33"/>
  </r>
  <r>
    <s v="ORD-0612"/>
    <d v="2022-11-18T00:00:00"/>
    <x v="0"/>
    <s v="India"/>
    <s v="Aarav Shah"/>
    <x v="3"/>
    <s v="Tennis Racket"/>
    <n v="50"/>
    <n v="5500"/>
    <n v="5"/>
    <n v="261250"/>
    <n v="117562.5"/>
    <n v="143687.5"/>
    <s v="B2C"/>
    <s v="UPI"/>
    <s v="No"/>
    <s v="Nov"/>
    <n v="2022"/>
    <n v="0.55000000000000004"/>
    <s v="Small"/>
    <s v="Medium Profit"/>
    <x v="9"/>
    <x v="9"/>
  </r>
  <r>
    <s v="ORD-0613"/>
    <d v="2022-01-24T00:00:00"/>
    <x v="0"/>
    <s v="China"/>
    <s v="Vikram Nair"/>
    <x v="3"/>
    <s v="Cycle"/>
    <n v="49"/>
    <n v="18000"/>
    <n v="20"/>
    <n v="705600"/>
    <n v="317520"/>
    <n v="388080"/>
    <s v="Enterprise"/>
    <s v="Cash"/>
    <s v="No"/>
    <s v="Jan"/>
    <n v="2022"/>
    <n v="0.55000000000000004"/>
    <s v="Large"/>
    <s v="Medium Profit"/>
    <x v="10"/>
    <x v="10"/>
  </r>
  <r>
    <s v="ORD-0614"/>
    <d v="2023-10-23T00:00:00"/>
    <x v="1"/>
    <s v="Canada"/>
    <s v="Aarav Shah"/>
    <x v="0"/>
    <s v="Cap"/>
    <n v="8"/>
    <n v="600"/>
    <n v="10"/>
    <n v="4320"/>
    <n v="1728"/>
    <n v="2592"/>
    <s v="B2C"/>
    <s v="Wallet"/>
    <s v="No"/>
    <s v="Oct"/>
    <n v="2023"/>
    <n v="0.6"/>
    <s v="Small"/>
    <s v="High Profit"/>
    <x v="14"/>
    <x v="14"/>
  </r>
  <r>
    <s v="ORD-0615"/>
    <d v="2023-03-15T00:00:00"/>
    <x v="0"/>
    <s v="India"/>
    <s v="Anjali Singh"/>
    <x v="1"/>
    <s v="Smartwatch"/>
    <n v="42"/>
    <n v="15000"/>
    <n v="5"/>
    <n v="598500"/>
    <n v="329175"/>
    <n v="269325"/>
    <s v="Enterprise"/>
    <s v="UPI"/>
    <s v="Yes"/>
    <s v="Mar"/>
    <n v="2023"/>
    <n v="0.45"/>
    <s v="Medium"/>
    <s v="Low Profit"/>
    <x v="22"/>
    <x v="22"/>
  </r>
  <r>
    <s v="ORD-0616"/>
    <d v="2023-06-07T00:00:00"/>
    <x v="1"/>
    <s v="USA"/>
    <s v="Amit Kumar"/>
    <x v="3"/>
    <s v="Yoga Mat"/>
    <n v="33"/>
    <n v="1200"/>
    <n v="15"/>
    <n v="33660"/>
    <n v="15147"/>
    <n v="18513"/>
    <s v="B2C"/>
    <s v="Net Banking"/>
    <s v="No"/>
    <s v="Jun"/>
    <n v="2023"/>
    <n v="0.55000000000000004"/>
    <s v="Small"/>
    <s v="Medium Profit"/>
    <x v="2"/>
    <x v="2"/>
  </r>
  <r>
    <s v="ORD-0617"/>
    <d v="2024-09-02T00:00:00"/>
    <x v="0"/>
    <s v="Japan"/>
    <s v="Rahul Gupta"/>
    <x v="3"/>
    <s v="Cycle"/>
    <n v="25"/>
    <n v="18000"/>
    <n v="10"/>
    <n v="405000"/>
    <n v="182250"/>
    <n v="222750"/>
    <s v="B2C"/>
    <s v="Net Banking"/>
    <s v="No"/>
    <s v="Sep"/>
    <n v="2024"/>
    <n v="0.55000000000000004"/>
    <s v="Medium"/>
    <s v="Medium Profit"/>
    <x v="11"/>
    <x v="11"/>
  </r>
  <r>
    <s v="ORD-0618"/>
    <d v="2023-11-10T00:00:00"/>
    <x v="3"/>
    <s v="France"/>
    <s v="Priya Mehta"/>
    <x v="0"/>
    <s v="Jeans"/>
    <n v="48"/>
    <n v="2500"/>
    <n v="15"/>
    <n v="102000"/>
    <n v="40800"/>
    <n v="61200"/>
    <s v="B2C"/>
    <s v="UPI"/>
    <s v="No"/>
    <s v="Nov"/>
    <n v="2023"/>
    <n v="0.6"/>
    <s v="Small"/>
    <s v="High Profit"/>
    <x v="32"/>
    <x v="32"/>
  </r>
  <r>
    <s v="ORD-0619"/>
    <d v="2024-04-24T00:00:00"/>
    <x v="3"/>
    <s v="UK"/>
    <s v="Neha Sharma"/>
    <x v="1"/>
    <s v="Smartphone"/>
    <n v="14"/>
    <n v="45000"/>
    <n v="10"/>
    <n v="567000"/>
    <n v="311850"/>
    <n v="255150"/>
    <s v="Enterprise"/>
    <s v="Net Banking"/>
    <s v="No"/>
    <s v="Apr"/>
    <n v="2024"/>
    <n v="0.45"/>
    <s v="Medium"/>
    <s v="Low Profit"/>
    <x v="8"/>
    <x v="8"/>
  </r>
  <r>
    <s v="ORD-0620"/>
    <d v="2022-05-19T00:00:00"/>
    <x v="3"/>
    <s v="UK"/>
    <s v="Aarav Shah"/>
    <x v="3"/>
    <s v="Cycle"/>
    <n v="27"/>
    <n v="18000"/>
    <n v="5"/>
    <n v="461700"/>
    <n v="207765"/>
    <n v="253935"/>
    <s v="B2C"/>
    <s v="Wallet"/>
    <s v="Yes"/>
    <s v="May"/>
    <n v="2022"/>
    <n v="0.55000000000000004"/>
    <s v="Medium"/>
    <s v="Medium Profit"/>
    <x v="13"/>
    <x v="13"/>
  </r>
  <r>
    <s v="ORD-0621"/>
    <d v="2022-09-07T00:00:00"/>
    <x v="2"/>
    <s v="Argentina"/>
    <s v="Vikram Nair"/>
    <x v="3"/>
    <s v="Yoga Mat"/>
    <n v="20"/>
    <n v="1200"/>
    <n v="20"/>
    <n v="19200"/>
    <n v="8640"/>
    <n v="10560"/>
    <s v="B2C"/>
    <s v="Wallet"/>
    <s v="No"/>
    <s v="Sep"/>
    <n v="2022"/>
    <n v="0.55000000000000004"/>
    <s v="Small"/>
    <s v="Medium Profit"/>
    <x v="17"/>
    <x v="17"/>
  </r>
  <r>
    <s v="ORD-0622"/>
    <d v="2024-06-08T00:00:00"/>
    <x v="1"/>
    <s v="USA"/>
    <s v="Rahul Gupta"/>
    <x v="2"/>
    <s v="Sofa"/>
    <n v="41"/>
    <n v="25000"/>
    <n v="15"/>
    <n v="871250"/>
    <n v="435625"/>
    <n v="435625"/>
    <s v="Enterprise"/>
    <s v="Net Banking"/>
    <s v="No"/>
    <s v="Jun"/>
    <n v="2024"/>
    <n v="0.5"/>
    <s v="Large"/>
    <s v="Medium Profit"/>
    <x v="25"/>
    <x v="25"/>
  </r>
  <r>
    <s v="ORD-0623"/>
    <d v="2024-03-06T00:00:00"/>
    <x v="3"/>
    <s v="France"/>
    <s v="Sneha Iyer"/>
    <x v="1"/>
    <s v="Laptop"/>
    <n v="49"/>
    <n v="75000"/>
    <n v="10"/>
    <n v="3307500"/>
    <n v="1819125"/>
    <n v="1488375"/>
    <s v="B2B"/>
    <s v="Wallet"/>
    <s v="No"/>
    <s v="Mar"/>
    <n v="2024"/>
    <n v="0.45"/>
    <s v="Large"/>
    <s v="Low Profit"/>
    <x v="27"/>
    <x v="27"/>
  </r>
  <r>
    <s v="ORD-0624"/>
    <d v="2023-12-19T00:00:00"/>
    <x v="3"/>
    <s v="France"/>
    <s v="Rohan Joshi"/>
    <x v="2"/>
    <s v="Lamp"/>
    <n v="45"/>
    <n v="1500"/>
    <n v="0"/>
    <n v="67500"/>
    <n v="33750"/>
    <n v="33750"/>
    <s v="Enterprise"/>
    <s v="Wallet"/>
    <s v="No"/>
    <s v="Dec"/>
    <n v="2023"/>
    <n v="0.5"/>
    <s v="Small"/>
    <s v="Medium Profit"/>
    <x v="30"/>
    <x v="30"/>
  </r>
  <r>
    <s v="ORD-0625"/>
    <d v="2022-02-28T00:00:00"/>
    <x v="0"/>
    <s v="India"/>
    <s v="Neha Sharma"/>
    <x v="1"/>
    <s v="Smartphone"/>
    <n v="21"/>
    <n v="45000"/>
    <n v="15"/>
    <n v="803250"/>
    <n v="441787.5"/>
    <n v="361462.5"/>
    <s v="B2C"/>
    <s v="UPI"/>
    <s v="No"/>
    <s v="Feb"/>
    <n v="2022"/>
    <n v="0.45"/>
    <s v="Large"/>
    <s v="Low Profit"/>
    <x v="29"/>
    <x v="29"/>
  </r>
  <r>
    <s v="ORD-0626"/>
    <d v="2022-04-09T00:00:00"/>
    <x v="0"/>
    <s v="Japan"/>
    <s v="Anjali Singh"/>
    <x v="1"/>
    <s v="Tablet"/>
    <n v="19"/>
    <n v="35000"/>
    <n v="20"/>
    <n v="532000"/>
    <n v="292600"/>
    <n v="239400"/>
    <s v="Enterprise"/>
    <s v="UPI"/>
    <s v="No"/>
    <s v="Apr"/>
    <n v="2022"/>
    <n v="0.45"/>
    <s v="Medium"/>
    <s v="Low Profit"/>
    <x v="28"/>
    <x v="28"/>
  </r>
  <r>
    <s v="ORD-0627"/>
    <d v="2022-12-25T00:00:00"/>
    <x v="1"/>
    <s v="USA"/>
    <s v="Amit Kumar"/>
    <x v="2"/>
    <s v="Sofa"/>
    <n v="44"/>
    <n v="25000"/>
    <n v="10"/>
    <n v="990000"/>
    <n v="495000"/>
    <n v="495000"/>
    <s v="Enterprise"/>
    <s v="Net Banking"/>
    <s v="No"/>
    <s v="Dec"/>
    <n v="2022"/>
    <n v="0.5"/>
    <s v="Large"/>
    <s v="Medium Profit"/>
    <x v="24"/>
    <x v="24"/>
  </r>
  <r>
    <s v="ORD-0628"/>
    <d v="2022-07-18T00:00:00"/>
    <x v="0"/>
    <s v="India"/>
    <s v="Aarav Shah"/>
    <x v="0"/>
    <s v="Cap"/>
    <n v="19"/>
    <n v="600"/>
    <n v="10"/>
    <n v="10260"/>
    <n v="4104"/>
    <n v="6156"/>
    <s v="B2C"/>
    <s v="Net Banking"/>
    <s v="No"/>
    <s v="Jul"/>
    <n v="2022"/>
    <n v="0.6"/>
    <s v="Small"/>
    <s v="High Profit"/>
    <x v="16"/>
    <x v="16"/>
  </r>
  <r>
    <s v="ORD-0629"/>
    <d v="2022-11-04T00:00:00"/>
    <x v="2"/>
    <s v="Brazil"/>
    <s v="Amit Kumar"/>
    <x v="0"/>
    <s v="Sneakers"/>
    <n v="36"/>
    <n v="4200"/>
    <n v="20"/>
    <n v="120960"/>
    <n v="48384"/>
    <n v="72576"/>
    <s v="Enterprise"/>
    <s v="Wallet"/>
    <s v="Yes"/>
    <s v="Nov"/>
    <n v="2022"/>
    <n v="0.6"/>
    <s v="Small"/>
    <s v="High Profit"/>
    <x v="9"/>
    <x v="9"/>
  </r>
  <r>
    <s v="ORD-0630"/>
    <d v="2022-08-14T00:00:00"/>
    <x v="3"/>
    <s v="UK"/>
    <s v="Priya Mehta"/>
    <x v="0"/>
    <s v="Jacket"/>
    <n v="31"/>
    <n v="3500"/>
    <n v="10"/>
    <n v="97650"/>
    <n v="39060"/>
    <n v="58590"/>
    <s v="Enterprise"/>
    <s v="Net Banking"/>
    <s v="No"/>
    <s v="Aug"/>
    <n v="2022"/>
    <n v="0.6"/>
    <s v="Small"/>
    <s v="High Profit"/>
    <x v="0"/>
    <x v="0"/>
  </r>
  <r>
    <s v="ORD-0631"/>
    <d v="2022-09-27T00:00:00"/>
    <x v="3"/>
    <s v="France"/>
    <s v="Amit Kumar"/>
    <x v="2"/>
    <s v="Air Fryer"/>
    <n v="46"/>
    <n v="8500"/>
    <n v="10"/>
    <n v="351900"/>
    <n v="175950"/>
    <n v="175950"/>
    <s v="Enterprise"/>
    <s v="Credit Card"/>
    <s v="No"/>
    <s v="Sep"/>
    <n v="2022"/>
    <n v="0.5"/>
    <s v="Medium"/>
    <s v="Medium Profit"/>
    <x v="17"/>
    <x v="17"/>
  </r>
  <r>
    <s v="ORD-0632"/>
    <d v="2023-03-05T00:00:00"/>
    <x v="2"/>
    <s v="Brazil"/>
    <s v="Vikram Nair"/>
    <x v="0"/>
    <s v="Sneakers"/>
    <n v="9"/>
    <n v="4200"/>
    <n v="0"/>
    <n v="37800"/>
    <n v="15120"/>
    <n v="22680"/>
    <s v="Enterprise"/>
    <s v="Credit Card"/>
    <s v="No"/>
    <s v="Mar"/>
    <n v="2023"/>
    <n v="0.6"/>
    <s v="Small"/>
    <s v="High Profit"/>
    <x v="22"/>
    <x v="22"/>
  </r>
  <r>
    <s v="ORD-0633"/>
    <d v="2022-05-01T00:00:00"/>
    <x v="3"/>
    <s v="Germany"/>
    <s v="Aarav Shah"/>
    <x v="0"/>
    <s v="Jacket"/>
    <n v="3"/>
    <n v="3500"/>
    <n v="20"/>
    <n v="8400"/>
    <n v="3360"/>
    <n v="5040"/>
    <s v="B2B"/>
    <s v="Cash"/>
    <s v="Yes"/>
    <s v="May"/>
    <n v="2022"/>
    <n v="0.6"/>
    <s v="Small"/>
    <s v="High Profit"/>
    <x v="13"/>
    <x v="13"/>
  </r>
  <r>
    <s v="ORD-0634"/>
    <d v="2022-08-09T00:00:00"/>
    <x v="1"/>
    <s v="USA"/>
    <s v="Vikram Nair"/>
    <x v="1"/>
    <s v="Laptop"/>
    <n v="8"/>
    <n v="75000"/>
    <n v="20"/>
    <n v="480000"/>
    <n v="264000"/>
    <n v="216000"/>
    <s v="Enterprise"/>
    <s v="UPI"/>
    <s v="No"/>
    <s v="Aug"/>
    <n v="2022"/>
    <n v="0.45"/>
    <s v="Medium"/>
    <s v="Low Profit"/>
    <x v="0"/>
    <x v="0"/>
  </r>
  <r>
    <s v="ORD-0635"/>
    <d v="2022-12-22T00:00:00"/>
    <x v="0"/>
    <s v="India"/>
    <s v="Priya Mehta"/>
    <x v="0"/>
    <s v="T-Shirt"/>
    <n v="38"/>
    <n v="800"/>
    <n v="10"/>
    <n v="27360"/>
    <n v="10944"/>
    <n v="16416"/>
    <s v="B2B"/>
    <s v="Wallet"/>
    <s v="No"/>
    <s v="Dec"/>
    <n v="2022"/>
    <n v="0.6"/>
    <s v="Small"/>
    <s v="High Profit"/>
    <x v="24"/>
    <x v="24"/>
  </r>
  <r>
    <s v="ORD-0636"/>
    <d v="2023-04-17T00:00:00"/>
    <x v="1"/>
    <s v="USA"/>
    <s v="Neha Sharma"/>
    <x v="1"/>
    <s v="Smartwatch"/>
    <n v="14"/>
    <n v="15000"/>
    <n v="5"/>
    <n v="199500"/>
    <n v="109725"/>
    <n v="89775"/>
    <s v="B2B"/>
    <s v="Wallet"/>
    <s v="No"/>
    <s v="Apr"/>
    <n v="2023"/>
    <n v="0.45"/>
    <s v="Small"/>
    <s v="Low Profit"/>
    <x v="26"/>
    <x v="26"/>
  </r>
  <r>
    <s v="ORD-0637"/>
    <d v="2022-01-24T00:00:00"/>
    <x v="1"/>
    <s v="USA"/>
    <s v="Amit Kumar"/>
    <x v="3"/>
    <s v="Cycle"/>
    <n v="45"/>
    <n v="18000"/>
    <n v="20"/>
    <n v="648000"/>
    <n v="291600"/>
    <n v="356400"/>
    <s v="B2C"/>
    <s v="Credit Card"/>
    <s v="No"/>
    <s v="Jan"/>
    <n v="2022"/>
    <n v="0.55000000000000004"/>
    <s v="Medium"/>
    <s v="Medium Profit"/>
    <x v="10"/>
    <x v="10"/>
  </r>
  <r>
    <s v="ORD-0638"/>
    <d v="2022-12-27T00:00:00"/>
    <x v="0"/>
    <s v="Japan"/>
    <s v="Rohan Joshi"/>
    <x v="0"/>
    <s v="Cap"/>
    <n v="15"/>
    <n v="600"/>
    <n v="15"/>
    <n v="7650"/>
    <n v="3060"/>
    <n v="4590"/>
    <s v="B2C"/>
    <s v="Credit Card"/>
    <s v="No"/>
    <s v="Dec"/>
    <n v="2022"/>
    <n v="0.6"/>
    <s v="Small"/>
    <s v="High Profit"/>
    <x v="24"/>
    <x v="24"/>
  </r>
  <r>
    <s v="ORD-0639"/>
    <d v="2024-06-04T00:00:00"/>
    <x v="2"/>
    <s v="Argentina"/>
    <s v="Anjali Singh"/>
    <x v="2"/>
    <s v="Rug"/>
    <n v="47"/>
    <n v="4000"/>
    <n v="0"/>
    <n v="188000"/>
    <n v="94000"/>
    <n v="94000"/>
    <s v="B2C"/>
    <s v="Cash"/>
    <s v="No"/>
    <s v="Jun"/>
    <n v="2024"/>
    <n v="0.5"/>
    <s v="Small"/>
    <s v="Medium Profit"/>
    <x v="25"/>
    <x v="25"/>
  </r>
  <r>
    <s v="ORD-0640"/>
    <d v="2022-08-13T00:00:00"/>
    <x v="0"/>
    <s v="Japan"/>
    <s v="Neha Sharma"/>
    <x v="2"/>
    <s v="Lamp"/>
    <n v="15"/>
    <n v="1500"/>
    <n v="20"/>
    <n v="18000"/>
    <n v="9000"/>
    <n v="9000"/>
    <s v="B2C"/>
    <s v="Cash"/>
    <s v="No"/>
    <s v="Aug"/>
    <n v="2022"/>
    <n v="0.5"/>
    <s v="Small"/>
    <s v="Medium Profit"/>
    <x v="0"/>
    <x v="0"/>
  </r>
  <r>
    <s v="ORD-0641"/>
    <d v="2023-01-28T00:00:00"/>
    <x v="1"/>
    <s v="Canada"/>
    <s v="Anjali Singh"/>
    <x v="0"/>
    <s v="Jacket"/>
    <n v="44"/>
    <n v="3500"/>
    <n v="15"/>
    <n v="130900"/>
    <n v="52360"/>
    <n v="78540"/>
    <s v="B2C"/>
    <s v="Cash"/>
    <s v="No"/>
    <s v="Jan"/>
    <n v="2023"/>
    <n v="0.6"/>
    <s v="Small"/>
    <s v="High Profit"/>
    <x v="35"/>
    <x v="35"/>
  </r>
  <r>
    <s v="ORD-0642"/>
    <d v="2024-10-22T00:00:00"/>
    <x v="1"/>
    <s v="USA"/>
    <s v="Rahul Gupta"/>
    <x v="3"/>
    <s v="Tennis Racket"/>
    <n v="45"/>
    <n v="5500"/>
    <n v="20"/>
    <n v="198000"/>
    <n v="89100"/>
    <n v="108900"/>
    <s v="Enterprise"/>
    <s v="UPI"/>
    <s v="No"/>
    <s v="Oct"/>
    <n v="2024"/>
    <n v="0.55000000000000004"/>
    <s v="Small"/>
    <s v="Medium Profit"/>
    <x v="31"/>
    <x v="31"/>
  </r>
  <r>
    <s v="ORD-0643"/>
    <d v="2022-05-12T00:00:00"/>
    <x v="2"/>
    <s v="Argentina"/>
    <s v="Sneha Iyer"/>
    <x v="3"/>
    <s v="Yoga Mat"/>
    <n v="15"/>
    <n v="1200"/>
    <n v="15"/>
    <n v="15300"/>
    <n v="6885"/>
    <n v="8415"/>
    <s v="B2C"/>
    <s v="Wallet"/>
    <s v="No"/>
    <s v="May"/>
    <n v="2022"/>
    <n v="0.55000000000000004"/>
    <s v="Small"/>
    <s v="Medium Profit"/>
    <x v="13"/>
    <x v="13"/>
  </r>
  <r>
    <s v="ORD-0644"/>
    <d v="2023-06-25T00:00:00"/>
    <x v="3"/>
    <s v="Germany"/>
    <s v="Pooja Patel"/>
    <x v="3"/>
    <s v="Tennis Racket"/>
    <n v="33"/>
    <n v="5500"/>
    <n v="10"/>
    <n v="163350"/>
    <n v="73507.5"/>
    <n v="89842.5"/>
    <s v="B2C"/>
    <s v="Credit Card"/>
    <s v="No"/>
    <s v="Jun"/>
    <n v="2023"/>
    <n v="0.55000000000000004"/>
    <s v="Small"/>
    <s v="Medium Profit"/>
    <x v="2"/>
    <x v="2"/>
  </r>
  <r>
    <s v="ORD-0645"/>
    <d v="2022-08-09T00:00:00"/>
    <x v="3"/>
    <s v="Germany"/>
    <s v="Sneha Iyer"/>
    <x v="0"/>
    <s v="Jacket"/>
    <n v="7"/>
    <n v="3500"/>
    <n v="0"/>
    <n v="24500"/>
    <n v="9800"/>
    <n v="14700"/>
    <s v="B2C"/>
    <s v="Credit Card"/>
    <s v="No"/>
    <s v="Aug"/>
    <n v="2022"/>
    <n v="0.6"/>
    <s v="Small"/>
    <s v="High Profit"/>
    <x v="0"/>
    <x v="0"/>
  </r>
  <r>
    <s v="ORD-0646"/>
    <d v="2022-12-13T00:00:00"/>
    <x v="0"/>
    <s v="India"/>
    <s v="Vikram Nair"/>
    <x v="1"/>
    <s v="Laptop"/>
    <n v="43"/>
    <n v="75000"/>
    <n v="20"/>
    <n v="2580000"/>
    <n v="1419000"/>
    <n v="1161000"/>
    <s v="B2C"/>
    <s v="UPI"/>
    <s v="No"/>
    <s v="Dec"/>
    <n v="2022"/>
    <n v="0.45"/>
    <s v="Large"/>
    <s v="Low Profit"/>
    <x v="24"/>
    <x v="24"/>
  </r>
  <r>
    <s v="ORD-0647"/>
    <d v="2023-07-22T00:00:00"/>
    <x v="3"/>
    <s v="Germany"/>
    <s v="Amit Kumar"/>
    <x v="2"/>
    <s v="Rug"/>
    <n v="22"/>
    <n v="4000"/>
    <n v="20"/>
    <n v="70400"/>
    <n v="35200"/>
    <n v="35200"/>
    <s v="B2B"/>
    <s v="Credit Card"/>
    <s v="Yes"/>
    <s v="Jul"/>
    <n v="2023"/>
    <n v="0.5"/>
    <s v="Small"/>
    <s v="Medium Profit"/>
    <x v="5"/>
    <x v="5"/>
  </r>
  <r>
    <s v="ORD-0648"/>
    <d v="2024-04-04T00:00:00"/>
    <x v="3"/>
    <s v="Germany"/>
    <s v="Anjali Singh"/>
    <x v="3"/>
    <s v="Tennis Racket"/>
    <n v="30"/>
    <n v="5500"/>
    <n v="0"/>
    <n v="165000"/>
    <n v="74250"/>
    <n v="90750"/>
    <s v="B2B"/>
    <s v="Wallet"/>
    <s v="No"/>
    <s v="Apr"/>
    <n v="2024"/>
    <n v="0.55000000000000004"/>
    <s v="Small"/>
    <s v="Medium Profit"/>
    <x v="8"/>
    <x v="8"/>
  </r>
  <r>
    <s v="ORD-0649"/>
    <d v="2023-08-23T00:00:00"/>
    <x v="2"/>
    <s v="Argentina"/>
    <s v="Rohan Joshi"/>
    <x v="0"/>
    <s v="T-Shirt"/>
    <n v="46"/>
    <n v="800"/>
    <n v="15"/>
    <n v="31280"/>
    <n v="12512"/>
    <n v="18768"/>
    <s v="B2B"/>
    <s v="Wallet"/>
    <s v="No"/>
    <s v="Aug"/>
    <n v="2023"/>
    <n v="0.6"/>
    <s v="Small"/>
    <s v="High Profit"/>
    <x v="19"/>
    <x v="19"/>
  </r>
  <r>
    <s v="ORD-0650"/>
    <d v="2024-08-22T00:00:00"/>
    <x v="3"/>
    <s v="Germany"/>
    <s v="Amit Kumar"/>
    <x v="0"/>
    <s v="Cap"/>
    <n v="4"/>
    <n v="600"/>
    <n v="15"/>
    <n v="2040"/>
    <n v="816"/>
    <n v="1224"/>
    <s v="B2C"/>
    <s v="Wallet"/>
    <s v="No"/>
    <s v="Aug"/>
    <n v="2024"/>
    <n v="0.6"/>
    <s v="Small"/>
    <s v="High Profit"/>
    <x v="12"/>
    <x v="12"/>
  </r>
  <r>
    <s v="ORD-0651"/>
    <d v="2024-01-20T00:00:00"/>
    <x v="0"/>
    <s v="Japan"/>
    <s v="Anjali Singh"/>
    <x v="1"/>
    <s v="Laptop"/>
    <n v="38"/>
    <n v="75000"/>
    <n v="0"/>
    <n v="2850000"/>
    <n v="1567500"/>
    <n v="1282500"/>
    <s v="B2C"/>
    <s v="Net Banking"/>
    <s v="No"/>
    <s v="Jan"/>
    <n v="2024"/>
    <n v="0.45"/>
    <s v="Large"/>
    <s v="Low Profit"/>
    <x v="3"/>
    <x v="3"/>
  </r>
  <r>
    <s v="ORD-0652"/>
    <d v="2022-02-25T00:00:00"/>
    <x v="0"/>
    <s v="Japan"/>
    <s v="Priya Mehta"/>
    <x v="3"/>
    <s v="Cycle"/>
    <n v="23"/>
    <n v="18000"/>
    <n v="15"/>
    <n v="351900"/>
    <n v="158355"/>
    <n v="193545"/>
    <s v="B2B"/>
    <s v="UPI"/>
    <s v="No"/>
    <s v="Feb"/>
    <n v="2022"/>
    <n v="0.55000000000000004"/>
    <s v="Medium"/>
    <s v="Medium Profit"/>
    <x v="29"/>
    <x v="29"/>
  </r>
  <r>
    <s v="ORD-0653"/>
    <d v="2023-04-08T00:00:00"/>
    <x v="0"/>
    <s v="China"/>
    <s v="Priya Mehta"/>
    <x v="1"/>
    <s v="Tablet"/>
    <n v="8"/>
    <n v="35000"/>
    <n v="10"/>
    <n v="252000"/>
    <n v="138600"/>
    <n v="113400"/>
    <s v="B2B"/>
    <s v="Wallet"/>
    <s v="No"/>
    <s v="Apr"/>
    <n v="2023"/>
    <n v="0.45"/>
    <s v="Small"/>
    <s v="Low Profit"/>
    <x v="26"/>
    <x v="26"/>
  </r>
  <r>
    <s v="ORD-0654"/>
    <d v="2023-09-02T00:00:00"/>
    <x v="3"/>
    <s v="France"/>
    <s v="Rohan Joshi"/>
    <x v="3"/>
    <s v="Cycle"/>
    <n v="2"/>
    <n v="18000"/>
    <n v="15"/>
    <n v="30600"/>
    <n v="13770"/>
    <n v="16830"/>
    <s v="B2B"/>
    <s v="Net Banking"/>
    <s v="Yes"/>
    <s v="Sep"/>
    <n v="2023"/>
    <n v="0.55000000000000004"/>
    <s v="Small"/>
    <s v="Medium Profit"/>
    <x v="7"/>
    <x v="7"/>
  </r>
  <r>
    <s v="ORD-0655"/>
    <d v="2024-01-19T00:00:00"/>
    <x v="3"/>
    <s v="Germany"/>
    <s v="Neha Sharma"/>
    <x v="1"/>
    <s v="Headphones"/>
    <n v="7"/>
    <n v="8000"/>
    <n v="5"/>
    <n v="53200"/>
    <n v="29260"/>
    <n v="23940"/>
    <s v="B2C"/>
    <s v="Wallet"/>
    <s v="No"/>
    <s v="Jan"/>
    <n v="2024"/>
    <n v="0.45"/>
    <s v="Small"/>
    <s v="Low Profit"/>
    <x v="3"/>
    <x v="3"/>
  </r>
  <r>
    <s v="ORD-0656"/>
    <d v="2023-10-06T00:00:00"/>
    <x v="0"/>
    <s v="Japan"/>
    <s v="Rohan Joshi"/>
    <x v="0"/>
    <s v="Jeans"/>
    <n v="41"/>
    <n v="2500"/>
    <n v="0"/>
    <n v="102500"/>
    <n v="41000"/>
    <n v="61500"/>
    <s v="B2B"/>
    <s v="Net Banking"/>
    <s v="Yes"/>
    <s v="Oct"/>
    <n v="2023"/>
    <n v="0.6"/>
    <s v="Small"/>
    <s v="High Profit"/>
    <x v="14"/>
    <x v="14"/>
  </r>
  <r>
    <s v="ORD-0657"/>
    <d v="2023-05-02T00:00:00"/>
    <x v="0"/>
    <s v="China"/>
    <s v="Rohan Joshi"/>
    <x v="0"/>
    <s v="Cap"/>
    <n v="48"/>
    <n v="600"/>
    <n v="0"/>
    <n v="28800"/>
    <n v="11520"/>
    <n v="17280"/>
    <s v="B2B"/>
    <s v="Wallet"/>
    <s v="Yes"/>
    <s v="May"/>
    <n v="2023"/>
    <n v="0.6"/>
    <s v="Small"/>
    <s v="High Profit"/>
    <x v="33"/>
    <x v="33"/>
  </r>
  <r>
    <s v="ORD-0658"/>
    <d v="2023-10-09T00:00:00"/>
    <x v="1"/>
    <s v="Canada"/>
    <s v="Rohan Joshi"/>
    <x v="0"/>
    <s v="T-Shirt"/>
    <n v="5"/>
    <n v="800"/>
    <n v="10"/>
    <n v="3600"/>
    <n v="1440"/>
    <n v="2160"/>
    <s v="B2C"/>
    <s v="Cash"/>
    <s v="Yes"/>
    <s v="Oct"/>
    <n v="2023"/>
    <n v="0.6"/>
    <s v="Small"/>
    <s v="High Profit"/>
    <x v="14"/>
    <x v="14"/>
  </r>
  <r>
    <s v="ORD-0659"/>
    <d v="2024-11-11T00:00:00"/>
    <x v="2"/>
    <s v="Argentina"/>
    <s v="Rohan Joshi"/>
    <x v="2"/>
    <s v="Rug"/>
    <n v="33"/>
    <n v="4000"/>
    <n v="15"/>
    <n v="112200"/>
    <n v="56100"/>
    <n v="56100"/>
    <s v="B2B"/>
    <s v="Credit Card"/>
    <s v="Yes"/>
    <s v="Nov"/>
    <n v="2024"/>
    <n v="0.5"/>
    <s v="Small"/>
    <s v="Medium Profit"/>
    <x v="18"/>
    <x v="18"/>
  </r>
  <r>
    <s v="ORD-0660"/>
    <d v="2024-10-28T00:00:00"/>
    <x v="2"/>
    <s v="Argentina"/>
    <s v="Sneha Iyer"/>
    <x v="3"/>
    <s v="Cycle"/>
    <n v="41"/>
    <n v="18000"/>
    <n v="20"/>
    <n v="590400"/>
    <n v="265680"/>
    <n v="324720"/>
    <s v="B2C"/>
    <s v="Wallet"/>
    <s v="Yes"/>
    <s v="Oct"/>
    <n v="2024"/>
    <n v="0.55000000000000004"/>
    <s v="Medium"/>
    <s v="Medium Profit"/>
    <x v="31"/>
    <x v="31"/>
  </r>
  <r>
    <s v="ORD-0661"/>
    <d v="2022-04-17T00:00:00"/>
    <x v="2"/>
    <s v="Argentina"/>
    <s v="Pooja Patel"/>
    <x v="0"/>
    <s v="Sneakers"/>
    <n v="10"/>
    <n v="4200"/>
    <n v="10"/>
    <n v="37800"/>
    <n v="15120"/>
    <n v="22680"/>
    <s v="B2C"/>
    <s v="Net Banking"/>
    <s v="No"/>
    <s v="Apr"/>
    <n v="2022"/>
    <n v="0.6"/>
    <s v="Small"/>
    <s v="High Profit"/>
    <x v="28"/>
    <x v="28"/>
  </r>
  <r>
    <s v="ORD-0662"/>
    <d v="2022-05-21T00:00:00"/>
    <x v="2"/>
    <s v="Argentina"/>
    <s v="Vikram Nair"/>
    <x v="2"/>
    <s v="Air Fryer"/>
    <n v="17"/>
    <n v="8500"/>
    <n v="20"/>
    <n v="115600"/>
    <n v="57800"/>
    <n v="57800"/>
    <s v="B2C"/>
    <s v="UPI"/>
    <s v="No"/>
    <s v="May"/>
    <n v="2022"/>
    <n v="0.5"/>
    <s v="Small"/>
    <s v="Medium Profit"/>
    <x v="13"/>
    <x v="13"/>
  </r>
  <r>
    <s v="ORD-0663"/>
    <d v="2022-08-05T00:00:00"/>
    <x v="2"/>
    <s v="Brazil"/>
    <s v="Sneha Iyer"/>
    <x v="2"/>
    <s v="Lamp"/>
    <n v="32"/>
    <n v="1500"/>
    <n v="20"/>
    <n v="38400"/>
    <n v="19200"/>
    <n v="19200"/>
    <s v="B2C"/>
    <s v="Credit Card"/>
    <s v="No"/>
    <s v="Aug"/>
    <n v="2022"/>
    <n v="0.5"/>
    <s v="Small"/>
    <s v="Medium Profit"/>
    <x v="0"/>
    <x v="0"/>
  </r>
  <r>
    <s v="ORD-0664"/>
    <d v="2023-01-06T00:00:00"/>
    <x v="0"/>
    <s v="India"/>
    <s v="Aarav Shah"/>
    <x v="2"/>
    <s v="Sofa"/>
    <n v="43"/>
    <n v="25000"/>
    <n v="20"/>
    <n v="860000"/>
    <n v="430000"/>
    <n v="430000"/>
    <s v="Enterprise"/>
    <s v="Credit Card"/>
    <s v="No"/>
    <s v="Jan"/>
    <n v="2023"/>
    <n v="0.5"/>
    <s v="Large"/>
    <s v="Medium Profit"/>
    <x v="35"/>
    <x v="35"/>
  </r>
  <r>
    <s v="ORD-0665"/>
    <d v="2024-08-26T00:00:00"/>
    <x v="1"/>
    <s v="USA"/>
    <s v="Priya Mehta"/>
    <x v="2"/>
    <s v="Rug"/>
    <n v="20"/>
    <n v="4000"/>
    <n v="0"/>
    <n v="80000"/>
    <n v="40000"/>
    <n v="40000"/>
    <s v="B2C"/>
    <s v="Credit Card"/>
    <s v="No"/>
    <s v="Aug"/>
    <n v="2024"/>
    <n v="0.5"/>
    <s v="Small"/>
    <s v="Medium Profit"/>
    <x v="12"/>
    <x v="12"/>
  </r>
  <r>
    <s v="ORD-0666"/>
    <d v="2024-02-27T00:00:00"/>
    <x v="2"/>
    <s v="Brazil"/>
    <s v="Priya Mehta"/>
    <x v="1"/>
    <s v="Smartwatch"/>
    <n v="43"/>
    <n v="15000"/>
    <n v="20"/>
    <n v="516000"/>
    <n v="283800"/>
    <n v="232200"/>
    <s v="B2C"/>
    <s v="Cash"/>
    <s v="Yes"/>
    <s v="Feb"/>
    <n v="2024"/>
    <n v="0.45"/>
    <s v="Medium"/>
    <s v="Low Profit"/>
    <x v="23"/>
    <x v="23"/>
  </r>
  <r>
    <s v="ORD-0667"/>
    <d v="2022-06-08T00:00:00"/>
    <x v="1"/>
    <s v="Canada"/>
    <s v="Anjali Singh"/>
    <x v="3"/>
    <s v="Dumbbell"/>
    <n v="28"/>
    <n v="3000"/>
    <n v="5"/>
    <n v="79800"/>
    <n v="35910"/>
    <n v="43890"/>
    <s v="B2B"/>
    <s v="UPI"/>
    <s v="No"/>
    <s v="Jun"/>
    <n v="2022"/>
    <n v="0.55000000000000004"/>
    <s v="Small"/>
    <s v="Medium Profit"/>
    <x v="4"/>
    <x v="4"/>
  </r>
  <r>
    <s v="ORD-0668"/>
    <d v="2023-02-09T00:00:00"/>
    <x v="3"/>
    <s v="Germany"/>
    <s v="Vikram Nair"/>
    <x v="1"/>
    <s v="Headphones"/>
    <n v="35"/>
    <n v="8000"/>
    <n v="10"/>
    <n v="252000"/>
    <n v="138600"/>
    <n v="113400"/>
    <s v="B2C"/>
    <s v="Wallet"/>
    <s v="No"/>
    <s v="Feb"/>
    <n v="2023"/>
    <n v="0.45"/>
    <s v="Small"/>
    <s v="Low Profit"/>
    <x v="6"/>
    <x v="6"/>
  </r>
  <r>
    <s v="ORD-0669"/>
    <d v="2024-04-16T00:00:00"/>
    <x v="2"/>
    <s v="Argentina"/>
    <s v="Rahul Gupta"/>
    <x v="2"/>
    <s v="Lamp"/>
    <n v="46"/>
    <n v="1500"/>
    <n v="10"/>
    <n v="62100"/>
    <n v="31050"/>
    <n v="31050"/>
    <s v="B2B"/>
    <s v="Wallet"/>
    <s v="No"/>
    <s v="Apr"/>
    <n v="2024"/>
    <n v="0.5"/>
    <s v="Small"/>
    <s v="Medium Profit"/>
    <x v="8"/>
    <x v="8"/>
  </r>
  <r>
    <s v="ORD-0670"/>
    <d v="2022-03-27T00:00:00"/>
    <x v="1"/>
    <s v="USA"/>
    <s v="Vikram Nair"/>
    <x v="3"/>
    <s v="Cycle"/>
    <n v="41"/>
    <n v="18000"/>
    <n v="10"/>
    <n v="664200"/>
    <n v="298890"/>
    <n v="365310"/>
    <s v="Enterprise"/>
    <s v="UPI"/>
    <s v="No"/>
    <s v="Mar"/>
    <n v="2022"/>
    <n v="0.55000000000000004"/>
    <s v="Medium"/>
    <s v="Medium Profit"/>
    <x v="1"/>
    <x v="1"/>
  </r>
  <r>
    <s v="ORD-0671"/>
    <d v="2024-05-13T00:00:00"/>
    <x v="1"/>
    <s v="Canada"/>
    <s v="Vikram Nair"/>
    <x v="2"/>
    <s v="Blender"/>
    <n v="49"/>
    <n v="5000"/>
    <n v="5"/>
    <n v="232750"/>
    <n v="116375"/>
    <n v="116375"/>
    <s v="B2B"/>
    <s v="UPI"/>
    <s v="No"/>
    <s v="May"/>
    <n v="2024"/>
    <n v="0.5"/>
    <s v="Small"/>
    <s v="Medium Profit"/>
    <x v="34"/>
    <x v="34"/>
  </r>
  <r>
    <s v="ORD-0672"/>
    <d v="2024-05-21T00:00:00"/>
    <x v="0"/>
    <s v="China"/>
    <s v="Rohan Joshi"/>
    <x v="1"/>
    <s v="Tablet"/>
    <n v="6"/>
    <n v="35000"/>
    <n v="15"/>
    <n v="178500"/>
    <n v="98175"/>
    <n v="80325"/>
    <s v="Enterprise"/>
    <s v="Cash"/>
    <s v="No"/>
    <s v="May"/>
    <n v="2024"/>
    <n v="0.45"/>
    <s v="Small"/>
    <s v="Low Profit"/>
    <x v="34"/>
    <x v="34"/>
  </r>
  <r>
    <s v="ORD-0673"/>
    <d v="2023-10-23T00:00:00"/>
    <x v="3"/>
    <s v="UK"/>
    <s v="Rahul Gupta"/>
    <x v="2"/>
    <s v="Rug"/>
    <n v="5"/>
    <n v="4000"/>
    <n v="10"/>
    <n v="18000"/>
    <n v="9000"/>
    <n v="9000"/>
    <s v="Enterprise"/>
    <s v="Wallet"/>
    <s v="No"/>
    <s v="Oct"/>
    <n v="2023"/>
    <n v="0.5"/>
    <s v="Small"/>
    <s v="Medium Profit"/>
    <x v="14"/>
    <x v="14"/>
  </r>
  <r>
    <s v="ORD-0674"/>
    <d v="2023-09-15T00:00:00"/>
    <x v="1"/>
    <s v="USA"/>
    <s v="Rahul Gupta"/>
    <x v="3"/>
    <s v="Dumbbell"/>
    <n v="1"/>
    <n v="3000"/>
    <n v="15"/>
    <n v="2550"/>
    <n v="1147.5"/>
    <n v="1402.5"/>
    <s v="Enterprise"/>
    <s v="Net Banking"/>
    <s v="No"/>
    <s v="Sep"/>
    <n v="2023"/>
    <n v="0.55000000000000004"/>
    <s v="Small"/>
    <s v="Medium Profit"/>
    <x v="7"/>
    <x v="7"/>
  </r>
  <r>
    <s v="ORD-0675"/>
    <d v="2023-09-19T00:00:00"/>
    <x v="1"/>
    <s v="USA"/>
    <s v="Rahul Gupta"/>
    <x v="0"/>
    <s v="Cap"/>
    <n v="46"/>
    <n v="600"/>
    <n v="5"/>
    <n v="26220"/>
    <n v="10488"/>
    <n v="15732"/>
    <s v="Enterprise"/>
    <s v="Cash"/>
    <s v="Yes"/>
    <s v="Sep"/>
    <n v="2023"/>
    <n v="0.6"/>
    <s v="Small"/>
    <s v="High Profit"/>
    <x v="7"/>
    <x v="7"/>
  </r>
  <r>
    <s v="ORD-0676"/>
    <d v="2023-09-15T00:00:00"/>
    <x v="3"/>
    <s v="France"/>
    <s v="Rahul Gupta"/>
    <x v="2"/>
    <s v="Air Fryer"/>
    <n v="44"/>
    <n v="8500"/>
    <n v="20"/>
    <n v="299200"/>
    <n v="149600"/>
    <n v="149600"/>
    <s v="B2C"/>
    <s v="UPI"/>
    <s v="No"/>
    <s v="Sep"/>
    <n v="2023"/>
    <n v="0.5"/>
    <s v="Small"/>
    <s v="Medium Profit"/>
    <x v="7"/>
    <x v="7"/>
  </r>
  <r>
    <s v="ORD-0677"/>
    <d v="2022-06-14T00:00:00"/>
    <x v="0"/>
    <s v="India"/>
    <s v="Rohan Joshi"/>
    <x v="3"/>
    <s v="Football"/>
    <n v="15"/>
    <n v="900"/>
    <n v="0"/>
    <n v="13500"/>
    <n v="6075"/>
    <n v="7425"/>
    <s v="Enterprise"/>
    <s v="Wallet"/>
    <s v="No"/>
    <s v="Jun"/>
    <n v="2022"/>
    <n v="0.55000000000000004"/>
    <s v="Small"/>
    <s v="Medium Profit"/>
    <x v="4"/>
    <x v="4"/>
  </r>
  <r>
    <s v="ORD-0678"/>
    <d v="2023-03-03T00:00:00"/>
    <x v="3"/>
    <s v="UK"/>
    <s v="Vikram Nair"/>
    <x v="0"/>
    <s v="Jacket"/>
    <n v="26"/>
    <n v="3500"/>
    <n v="20"/>
    <n v="72800"/>
    <n v="29120"/>
    <n v="43680"/>
    <s v="Enterprise"/>
    <s v="Net Banking"/>
    <s v="No"/>
    <s v="Mar"/>
    <n v="2023"/>
    <n v="0.6"/>
    <s v="Small"/>
    <s v="High Profit"/>
    <x v="22"/>
    <x v="22"/>
  </r>
  <r>
    <s v="ORD-0679"/>
    <d v="2022-10-03T00:00:00"/>
    <x v="0"/>
    <s v="India"/>
    <s v="Neha Sharma"/>
    <x v="1"/>
    <s v="Laptop"/>
    <n v="46"/>
    <n v="75000"/>
    <n v="20"/>
    <n v="2760000"/>
    <n v="1518000"/>
    <n v="1242000"/>
    <s v="B2C"/>
    <s v="Cash"/>
    <s v="No"/>
    <s v="Oct"/>
    <n v="2022"/>
    <n v="0.45"/>
    <s v="Large"/>
    <s v="Low Profit"/>
    <x v="21"/>
    <x v="21"/>
  </r>
  <r>
    <s v="ORD-0680"/>
    <d v="2022-08-08T00:00:00"/>
    <x v="2"/>
    <s v="Brazil"/>
    <s v="Vikram Nair"/>
    <x v="2"/>
    <s v="Lamp"/>
    <n v="25"/>
    <n v="1500"/>
    <n v="5"/>
    <n v="35625"/>
    <n v="17812.5"/>
    <n v="17812.5"/>
    <s v="B2B"/>
    <s v="Wallet"/>
    <s v="No"/>
    <s v="Aug"/>
    <n v="2022"/>
    <n v="0.5"/>
    <s v="Small"/>
    <s v="Medium Profit"/>
    <x v="0"/>
    <x v="0"/>
  </r>
  <r>
    <s v="ORD-0681"/>
    <d v="2023-02-27T00:00:00"/>
    <x v="0"/>
    <s v="China"/>
    <s v="Sneha Iyer"/>
    <x v="3"/>
    <s v="Dumbbell"/>
    <n v="27"/>
    <n v="3000"/>
    <n v="5"/>
    <n v="76950"/>
    <n v="34627.5"/>
    <n v="42322.5"/>
    <s v="B2C"/>
    <s v="Net Banking"/>
    <s v="No"/>
    <s v="Feb"/>
    <n v="2023"/>
    <n v="0.55000000000000004"/>
    <s v="Small"/>
    <s v="Medium Profit"/>
    <x v="6"/>
    <x v="6"/>
  </r>
  <r>
    <s v="ORD-0682"/>
    <d v="2023-04-20T00:00:00"/>
    <x v="3"/>
    <s v="UK"/>
    <s v="Anjali Singh"/>
    <x v="3"/>
    <s v="Yoga Mat"/>
    <n v="1"/>
    <n v="1200"/>
    <n v="15"/>
    <n v="1020"/>
    <n v="459"/>
    <n v="561"/>
    <s v="B2C"/>
    <s v="Cash"/>
    <s v="No"/>
    <s v="Apr"/>
    <n v="2023"/>
    <n v="0.55000000000000004"/>
    <s v="Small"/>
    <s v="Medium Profit"/>
    <x v="26"/>
    <x v="26"/>
  </r>
  <r>
    <s v="ORD-0683"/>
    <d v="2023-02-23T00:00:00"/>
    <x v="3"/>
    <s v="France"/>
    <s v="Rohan Joshi"/>
    <x v="2"/>
    <s v="Blender"/>
    <n v="7"/>
    <n v="5000"/>
    <n v="20"/>
    <n v="28000"/>
    <n v="14000"/>
    <n v="14000"/>
    <s v="B2B"/>
    <s v="Net Banking"/>
    <s v="No"/>
    <s v="Feb"/>
    <n v="2023"/>
    <n v="0.5"/>
    <s v="Small"/>
    <s v="Medium Profit"/>
    <x v="6"/>
    <x v="6"/>
  </r>
  <r>
    <s v="ORD-0684"/>
    <d v="2023-04-16T00:00:00"/>
    <x v="0"/>
    <s v="China"/>
    <s v="Neha Sharma"/>
    <x v="1"/>
    <s v="Laptop"/>
    <n v="17"/>
    <n v="75000"/>
    <n v="20"/>
    <n v="1020000"/>
    <n v="561000"/>
    <n v="459000"/>
    <s v="B2C"/>
    <s v="Net Banking"/>
    <s v="Yes"/>
    <s v="Apr"/>
    <n v="2023"/>
    <n v="0.45"/>
    <s v="Large"/>
    <s v="Low Profit"/>
    <x v="26"/>
    <x v="26"/>
  </r>
  <r>
    <s v="ORD-0685"/>
    <d v="2024-02-22T00:00:00"/>
    <x v="0"/>
    <s v="India"/>
    <s v="Amit Kumar"/>
    <x v="1"/>
    <s v="Smartwatch"/>
    <n v="12"/>
    <n v="15000"/>
    <n v="10"/>
    <n v="162000"/>
    <n v="89100"/>
    <n v="72900"/>
    <s v="Enterprise"/>
    <s v="Cash"/>
    <s v="No"/>
    <s v="Feb"/>
    <n v="2024"/>
    <n v="0.45"/>
    <s v="Small"/>
    <s v="Low Profit"/>
    <x v="23"/>
    <x v="23"/>
  </r>
  <r>
    <s v="ORD-0686"/>
    <d v="2023-10-15T00:00:00"/>
    <x v="2"/>
    <s v="Brazil"/>
    <s v="Anjali Singh"/>
    <x v="3"/>
    <s v="Dumbbell"/>
    <n v="17"/>
    <n v="3000"/>
    <n v="0"/>
    <n v="51000"/>
    <n v="22950"/>
    <n v="28050"/>
    <s v="B2B"/>
    <s v="UPI"/>
    <s v="No"/>
    <s v="Oct"/>
    <n v="2023"/>
    <n v="0.55000000000000004"/>
    <s v="Small"/>
    <s v="Medium Profit"/>
    <x v="14"/>
    <x v="14"/>
  </r>
  <r>
    <s v="ORD-0687"/>
    <d v="2024-08-28T00:00:00"/>
    <x v="0"/>
    <s v="China"/>
    <s v="Anjali Singh"/>
    <x v="3"/>
    <s v="Cycle"/>
    <n v="17"/>
    <n v="18000"/>
    <n v="20"/>
    <n v="244800"/>
    <n v="110160"/>
    <n v="134640"/>
    <s v="Enterprise"/>
    <s v="Net Banking"/>
    <s v="No"/>
    <s v="Aug"/>
    <n v="2024"/>
    <n v="0.55000000000000004"/>
    <s v="Small"/>
    <s v="Medium Profit"/>
    <x v="12"/>
    <x v="12"/>
  </r>
  <r>
    <s v="ORD-0688"/>
    <d v="2024-04-06T00:00:00"/>
    <x v="0"/>
    <s v="China"/>
    <s v="Pooja Patel"/>
    <x v="0"/>
    <s v="Cap"/>
    <n v="43"/>
    <n v="600"/>
    <n v="15"/>
    <n v="21930"/>
    <n v="8772"/>
    <n v="13158"/>
    <s v="B2B"/>
    <s v="UPI"/>
    <s v="No"/>
    <s v="Apr"/>
    <n v="2024"/>
    <n v="0.6"/>
    <s v="Small"/>
    <s v="High Profit"/>
    <x v="8"/>
    <x v="8"/>
  </r>
  <r>
    <s v="ORD-0689"/>
    <d v="2022-04-08T00:00:00"/>
    <x v="2"/>
    <s v="Brazil"/>
    <s v="Pooja Patel"/>
    <x v="2"/>
    <s v="Air Fryer"/>
    <n v="46"/>
    <n v="8500"/>
    <n v="15"/>
    <n v="332350"/>
    <n v="166175"/>
    <n v="166175"/>
    <s v="B2B"/>
    <s v="Cash"/>
    <s v="No"/>
    <s v="Apr"/>
    <n v="2022"/>
    <n v="0.5"/>
    <s v="Medium"/>
    <s v="Medium Profit"/>
    <x v="28"/>
    <x v="28"/>
  </r>
  <r>
    <s v="ORD-0690"/>
    <d v="2022-03-15T00:00:00"/>
    <x v="0"/>
    <s v="China"/>
    <s v="Amit Kumar"/>
    <x v="3"/>
    <s v="Tennis Racket"/>
    <n v="32"/>
    <n v="5500"/>
    <n v="0"/>
    <n v="176000"/>
    <n v="79200"/>
    <n v="96800"/>
    <s v="B2B"/>
    <s v="Net Banking"/>
    <s v="No"/>
    <s v="Mar"/>
    <n v="2022"/>
    <n v="0.55000000000000004"/>
    <s v="Small"/>
    <s v="Medium Profit"/>
    <x v="1"/>
    <x v="1"/>
  </r>
  <r>
    <s v="ORD-0691"/>
    <d v="2022-06-07T00:00:00"/>
    <x v="0"/>
    <s v="India"/>
    <s v="Rahul Gupta"/>
    <x v="2"/>
    <s v="Rug"/>
    <n v="43"/>
    <n v="4000"/>
    <n v="20"/>
    <n v="137600"/>
    <n v="68800"/>
    <n v="68800"/>
    <s v="Enterprise"/>
    <s v="Credit Card"/>
    <s v="No"/>
    <s v="Jun"/>
    <n v="2022"/>
    <n v="0.5"/>
    <s v="Small"/>
    <s v="Medium Profit"/>
    <x v="4"/>
    <x v="4"/>
  </r>
  <r>
    <s v="ORD-0692"/>
    <d v="2024-10-25T00:00:00"/>
    <x v="2"/>
    <s v="Argentina"/>
    <s v="Priya Mehta"/>
    <x v="0"/>
    <s v="Jeans"/>
    <n v="44"/>
    <n v="2500"/>
    <n v="0"/>
    <n v="110000"/>
    <n v="44000"/>
    <n v="66000"/>
    <s v="B2B"/>
    <s v="Net Banking"/>
    <s v="No"/>
    <s v="Oct"/>
    <n v="2024"/>
    <n v="0.6"/>
    <s v="Small"/>
    <s v="High Profit"/>
    <x v="31"/>
    <x v="31"/>
  </r>
  <r>
    <s v="ORD-0693"/>
    <d v="2022-08-13T00:00:00"/>
    <x v="0"/>
    <s v="China"/>
    <s v="Priya Mehta"/>
    <x v="2"/>
    <s v="Air Fryer"/>
    <n v="2"/>
    <n v="8500"/>
    <n v="0"/>
    <n v="17000"/>
    <n v="8500"/>
    <n v="8500"/>
    <s v="Enterprise"/>
    <s v="Cash"/>
    <s v="No"/>
    <s v="Aug"/>
    <n v="2022"/>
    <n v="0.5"/>
    <s v="Small"/>
    <s v="Medium Profit"/>
    <x v="0"/>
    <x v="0"/>
  </r>
  <r>
    <s v="ORD-0694"/>
    <d v="2024-06-21T00:00:00"/>
    <x v="0"/>
    <s v="China"/>
    <s v="Aarav Shah"/>
    <x v="2"/>
    <s v="Blender"/>
    <n v="42"/>
    <n v="5000"/>
    <n v="20"/>
    <n v="168000"/>
    <n v="84000"/>
    <n v="84000"/>
    <s v="B2C"/>
    <s v="Wallet"/>
    <s v="No"/>
    <s v="Jun"/>
    <n v="2024"/>
    <n v="0.5"/>
    <s v="Small"/>
    <s v="Medium Profit"/>
    <x v="25"/>
    <x v="25"/>
  </r>
  <r>
    <s v="ORD-0695"/>
    <d v="2022-09-07T00:00:00"/>
    <x v="1"/>
    <s v="Canada"/>
    <s v="Anjali Singh"/>
    <x v="1"/>
    <s v="Laptop"/>
    <n v="36"/>
    <n v="75000"/>
    <n v="20"/>
    <n v="2160000"/>
    <n v="1188000"/>
    <n v="972000"/>
    <s v="B2B"/>
    <s v="Cash"/>
    <s v="No"/>
    <s v="Sep"/>
    <n v="2022"/>
    <n v="0.45"/>
    <s v="Large"/>
    <s v="Low Profit"/>
    <x v="17"/>
    <x v="17"/>
  </r>
  <r>
    <s v="ORD-0696"/>
    <d v="2023-05-06T00:00:00"/>
    <x v="2"/>
    <s v="Argentina"/>
    <s v="Priya Mehta"/>
    <x v="1"/>
    <s v="Smartphone"/>
    <n v="11"/>
    <n v="45000"/>
    <n v="15"/>
    <n v="420750"/>
    <n v="231412.5"/>
    <n v="189337.5"/>
    <s v="B2C"/>
    <s v="UPI"/>
    <s v="No"/>
    <s v="May"/>
    <n v="2023"/>
    <n v="0.45"/>
    <s v="Medium"/>
    <s v="Low Profit"/>
    <x v="33"/>
    <x v="33"/>
  </r>
  <r>
    <s v="ORD-0697"/>
    <d v="2022-08-10T00:00:00"/>
    <x v="3"/>
    <s v="Germany"/>
    <s v="Vikram Nair"/>
    <x v="0"/>
    <s v="T-Shirt"/>
    <n v="43"/>
    <n v="800"/>
    <n v="0"/>
    <n v="34400"/>
    <n v="13760"/>
    <n v="20640"/>
    <s v="Enterprise"/>
    <s v="UPI"/>
    <s v="No"/>
    <s v="Aug"/>
    <n v="2022"/>
    <n v="0.6"/>
    <s v="Small"/>
    <s v="High Profit"/>
    <x v="0"/>
    <x v="0"/>
  </r>
  <r>
    <s v="ORD-0698"/>
    <d v="2024-08-15T00:00:00"/>
    <x v="3"/>
    <s v="Germany"/>
    <s v="Vikram Nair"/>
    <x v="3"/>
    <s v="Yoga Mat"/>
    <n v="49"/>
    <n v="1200"/>
    <n v="15"/>
    <n v="49980"/>
    <n v="22491"/>
    <n v="27489"/>
    <s v="Enterprise"/>
    <s v="UPI"/>
    <s v="No"/>
    <s v="Aug"/>
    <n v="2024"/>
    <n v="0.55000000000000004"/>
    <s v="Small"/>
    <s v="Medium Profit"/>
    <x v="12"/>
    <x v="12"/>
  </r>
  <r>
    <s v="ORD-0699"/>
    <d v="2024-04-21T00:00:00"/>
    <x v="3"/>
    <s v="UK"/>
    <s v="Aarav Shah"/>
    <x v="2"/>
    <s v="Lamp"/>
    <n v="44"/>
    <n v="1500"/>
    <n v="5"/>
    <n v="62700"/>
    <n v="31350"/>
    <n v="31350"/>
    <s v="B2C"/>
    <s v="Wallet"/>
    <s v="No"/>
    <s v="Apr"/>
    <n v="2024"/>
    <n v="0.5"/>
    <s v="Small"/>
    <s v="Medium Profit"/>
    <x v="8"/>
    <x v="8"/>
  </r>
  <r>
    <s v="ORD-0700"/>
    <d v="2024-10-03T00:00:00"/>
    <x v="0"/>
    <s v="Japan"/>
    <s v="Rohan Joshi"/>
    <x v="1"/>
    <s v="Headphones"/>
    <n v="20"/>
    <n v="8000"/>
    <n v="5"/>
    <n v="152000"/>
    <n v="83600"/>
    <n v="68400"/>
    <s v="Enterprise"/>
    <s v="Net Banking"/>
    <s v="No"/>
    <s v="Oct"/>
    <n v="2024"/>
    <n v="0.45"/>
    <s v="Small"/>
    <s v="Low Profit"/>
    <x v="31"/>
    <x v="31"/>
  </r>
  <r>
    <s v="ORD-0701"/>
    <d v="2023-04-17T00:00:00"/>
    <x v="3"/>
    <s v="Germany"/>
    <s v="Neha Sharma"/>
    <x v="1"/>
    <s v="Smartwatch"/>
    <n v="5"/>
    <n v="15000"/>
    <n v="0"/>
    <n v="75000"/>
    <n v="41250"/>
    <n v="33750"/>
    <s v="B2B"/>
    <s v="Wallet"/>
    <s v="Yes"/>
    <s v="Apr"/>
    <n v="2023"/>
    <n v="0.45"/>
    <s v="Small"/>
    <s v="Low Profit"/>
    <x v="26"/>
    <x v="26"/>
  </r>
  <r>
    <s v="ORD-0702"/>
    <d v="2024-04-14T00:00:00"/>
    <x v="1"/>
    <s v="Canada"/>
    <s v="Neha Sharma"/>
    <x v="2"/>
    <s v="Sofa"/>
    <n v="17"/>
    <n v="25000"/>
    <n v="20"/>
    <n v="340000"/>
    <n v="170000"/>
    <n v="170000"/>
    <s v="Enterprise"/>
    <s v="Credit Card"/>
    <s v="No"/>
    <s v="Apr"/>
    <n v="2024"/>
    <n v="0.5"/>
    <s v="Medium"/>
    <s v="Medium Profit"/>
    <x v="8"/>
    <x v="8"/>
  </r>
  <r>
    <s v="ORD-0703"/>
    <d v="2022-08-24T00:00:00"/>
    <x v="3"/>
    <s v="UK"/>
    <s v="Rahul Gupta"/>
    <x v="3"/>
    <s v="Yoga Mat"/>
    <n v="6"/>
    <n v="1200"/>
    <n v="15"/>
    <n v="6120"/>
    <n v="2754"/>
    <n v="3366"/>
    <s v="B2C"/>
    <s v="Wallet"/>
    <s v="No"/>
    <s v="Aug"/>
    <n v="2022"/>
    <n v="0.55000000000000004"/>
    <s v="Small"/>
    <s v="Medium Profit"/>
    <x v="0"/>
    <x v="0"/>
  </r>
  <r>
    <s v="ORD-0704"/>
    <d v="2024-06-25T00:00:00"/>
    <x v="3"/>
    <s v="France"/>
    <s v="Vikram Nair"/>
    <x v="2"/>
    <s v="Air Fryer"/>
    <n v="14"/>
    <n v="8500"/>
    <n v="5"/>
    <n v="113050"/>
    <n v="56525"/>
    <n v="56525"/>
    <s v="Enterprise"/>
    <s v="Wallet"/>
    <s v="No"/>
    <s v="Jun"/>
    <n v="2024"/>
    <n v="0.5"/>
    <s v="Small"/>
    <s v="Medium Profit"/>
    <x v="25"/>
    <x v="25"/>
  </r>
  <r>
    <s v="ORD-0705"/>
    <d v="2023-05-28T00:00:00"/>
    <x v="1"/>
    <s v="Canada"/>
    <s v="Amit Kumar"/>
    <x v="1"/>
    <s v="Laptop"/>
    <n v="26"/>
    <n v="75000"/>
    <n v="0"/>
    <n v="1950000"/>
    <n v="1072500"/>
    <n v="877500"/>
    <s v="B2B"/>
    <s v="Cash"/>
    <s v="No"/>
    <s v="May"/>
    <n v="2023"/>
    <n v="0.45"/>
    <s v="Large"/>
    <s v="Low Profit"/>
    <x v="33"/>
    <x v="33"/>
  </r>
  <r>
    <s v="ORD-0706"/>
    <d v="2024-06-23T00:00:00"/>
    <x v="3"/>
    <s v="France"/>
    <s v="Neha Sharma"/>
    <x v="3"/>
    <s v="Cycle"/>
    <n v="40"/>
    <n v="18000"/>
    <n v="20"/>
    <n v="576000"/>
    <n v="259200"/>
    <n v="316800"/>
    <s v="Enterprise"/>
    <s v="Cash"/>
    <s v="No"/>
    <s v="Jun"/>
    <n v="2024"/>
    <n v="0.55000000000000004"/>
    <s v="Medium"/>
    <s v="Medium Profit"/>
    <x v="25"/>
    <x v="25"/>
  </r>
  <r>
    <s v="ORD-0707"/>
    <d v="2023-08-03T00:00:00"/>
    <x v="2"/>
    <s v="Brazil"/>
    <s v="Aarav Shah"/>
    <x v="0"/>
    <s v="Jacket"/>
    <n v="2"/>
    <n v="3500"/>
    <n v="5"/>
    <n v="6650"/>
    <n v="2660"/>
    <n v="3990"/>
    <s v="B2B"/>
    <s v="Cash"/>
    <s v="No"/>
    <s v="Aug"/>
    <n v="2023"/>
    <n v="0.6"/>
    <s v="Small"/>
    <s v="High Profit"/>
    <x v="19"/>
    <x v="19"/>
  </r>
  <r>
    <s v="ORD-0708"/>
    <d v="2022-10-21T00:00:00"/>
    <x v="2"/>
    <s v="Argentina"/>
    <s v="Amit Kumar"/>
    <x v="0"/>
    <s v="Jacket"/>
    <n v="20"/>
    <n v="3500"/>
    <n v="15"/>
    <n v="59500"/>
    <n v="23800"/>
    <n v="35700"/>
    <s v="B2C"/>
    <s v="Cash"/>
    <s v="No"/>
    <s v="Oct"/>
    <n v="2022"/>
    <n v="0.6"/>
    <s v="Small"/>
    <s v="High Profit"/>
    <x v="21"/>
    <x v="21"/>
  </r>
  <r>
    <s v="ORD-0709"/>
    <d v="2022-02-04T00:00:00"/>
    <x v="2"/>
    <s v="Brazil"/>
    <s v="Pooja Patel"/>
    <x v="3"/>
    <s v="Tennis Racket"/>
    <n v="2"/>
    <n v="5500"/>
    <n v="15"/>
    <n v="9350"/>
    <n v="4207.5"/>
    <n v="5142.5"/>
    <s v="B2B"/>
    <s v="UPI"/>
    <s v="Yes"/>
    <s v="Feb"/>
    <n v="2022"/>
    <n v="0.55000000000000004"/>
    <s v="Small"/>
    <s v="Medium Profit"/>
    <x v="29"/>
    <x v="29"/>
  </r>
  <r>
    <s v="ORD-0710"/>
    <d v="2023-07-19T00:00:00"/>
    <x v="3"/>
    <s v="UK"/>
    <s v="Anjali Singh"/>
    <x v="1"/>
    <s v="Laptop"/>
    <n v="41"/>
    <n v="75000"/>
    <n v="15"/>
    <n v="2613750"/>
    <n v="1437562.5"/>
    <n v="1176187.5"/>
    <s v="B2C"/>
    <s v="Wallet"/>
    <s v="No"/>
    <s v="Jul"/>
    <n v="2023"/>
    <n v="0.45"/>
    <s v="Large"/>
    <s v="Low Profit"/>
    <x v="5"/>
    <x v="5"/>
  </r>
  <r>
    <s v="ORD-0711"/>
    <d v="2024-12-10T00:00:00"/>
    <x v="1"/>
    <s v="Canada"/>
    <s v="Rohan Joshi"/>
    <x v="3"/>
    <s v="Football"/>
    <n v="38"/>
    <n v="900"/>
    <n v="20"/>
    <n v="27360"/>
    <n v="12312"/>
    <n v="15048"/>
    <s v="B2B"/>
    <s v="Credit Card"/>
    <s v="No"/>
    <s v="Dec"/>
    <n v="2024"/>
    <n v="0.55000000000000004"/>
    <s v="Small"/>
    <s v="Medium Profit"/>
    <x v="20"/>
    <x v="20"/>
  </r>
  <r>
    <s v="ORD-0712"/>
    <d v="2024-10-01T00:00:00"/>
    <x v="3"/>
    <s v="France"/>
    <s v="Anjali Singh"/>
    <x v="1"/>
    <s v="Tablet"/>
    <n v="42"/>
    <n v="35000"/>
    <n v="15"/>
    <n v="1249500"/>
    <n v="687225"/>
    <n v="562275"/>
    <s v="B2B"/>
    <s v="Cash"/>
    <s v="No"/>
    <s v="Oct"/>
    <n v="2024"/>
    <n v="0.45"/>
    <s v="Large"/>
    <s v="Low Profit"/>
    <x v="31"/>
    <x v="31"/>
  </r>
  <r>
    <s v="ORD-0713"/>
    <d v="2023-11-15T00:00:00"/>
    <x v="3"/>
    <s v="UK"/>
    <s v="Rahul Gupta"/>
    <x v="2"/>
    <s v="Air Fryer"/>
    <n v="31"/>
    <n v="8500"/>
    <n v="10"/>
    <n v="237150"/>
    <n v="118575"/>
    <n v="118575"/>
    <s v="B2B"/>
    <s v="Wallet"/>
    <s v="No"/>
    <s v="Nov"/>
    <n v="2023"/>
    <n v="0.5"/>
    <s v="Small"/>
    <s v="Medium Profit"/>
    <x v="32"/>
    <x v="32"/>
  </r>
  <r>
    <s v="ORD-0714"/>
    <d v="2023-03-19T00:00:00"/>
    <x v="0"/>
    <s v="China"/>
    <s v="Pooja Patel"/>
    <x v="0"/>
    <s v="T-Shirt"/>
    <n v="47"/>
    <n v="800"/>
    <n v="15"/>
    <n v="31960"/>
    <n v="12784"/>
    <n v="19176"/>
    <s v="Enterprise"/>
    <s v="Net Banking"/>
    <s v="No"/>
    <s v="Mar"/>
    <n v="2023"/>
    <n v="0.6"/>
    <s v="Small"/>
    <s v="High Profit"/>
    <x v="22"/>
    <x v="22"/>
  </r>
  <r>
    <s v="ORD-0715"/>
    <d v="2024-07-26T00:00:00"/>
    <x v="2"/>
    <s v="Brazil"/>
    <s v="Vikram Nair"/>
    <x v="1"/>
    <s v="Headphones"/>
    <n v="9"/>
    <n v="8000"/>
    <n v="5"/>
    <n v="68400"/>
    <n v="37620"/>
    <n v="30780"/>
    <s v="B2B"/>
    <s v="Wallet"/>
    <s v="No"/>
    <s v="Jul"/>
    <n v="2024"/>
    <n v="0.45"/>
    <s v="Small"/>
    <s v="Low Profit"/>
    <x v="15"/>
    <x v="15"/>
  </r>
  <r>
    <s v="ORD-0716"/>
    <d v="2024-08-04T00:00:00"/>
    <x v="3"/>
    <s v="Germany"/>
    <s v="Vikram Nair"/>
    <x v="0"/>
    <s v="Sneakers"/>
    <n v="36"/>
    <n v="4200"/>
    <n v="0"/>
    <n v="151200"/>
    <n v="60480"/>
    <n v="90720"/>
    <s v="B2C"/>
    <s v="Net Banking"/>
    <s v="No"/>
    <s v="Aug"/>
    <n v="2024"/>
    <n v="0.6"/>
    <s v="Small"/>
    <s v="High Profit"/>
    <x v="12"/>
    <x v="12"/>
  </r>
  <r>
    <s v="ORD-0717"/>
    <d v="2023-11-22T00:00:00"/>
    <x v="2"/>
    <s v="Brazil"/>
    <s v="Amit Kumar"/>
    <x v="1"/>
    <s v="Laptop"/>
    <n v="22"/>
    <n v="75000"/>
    <n v="15"/>
    <n v="1402500"/>
    <n v="771375"/>
    <n v="631125"/>
    <s v="Enterprise"/>
    <s v="UPI"/>
    <s v="No"/>
    <s v="Nov"/>
    <n v="2023"/>
    <n v="0.45"/>
    <s v="Large"/>
    <s v="Low Profit"/>
    <x v="32"/>
    <x v="32"/>
  </r>
  <r>
    <s v="ORD-0718"/>
    <d v="2022-08-18T00:00:00"/>
    <x v="2"/>
    <s v="Argentina"/>
    <s v="Vikram Nair"/>
    <x v="2"/>
    <s v="Sofa"/>
    <n v="50"/>
    <n v="25000"/>
    <n v="0"/>
    <n v="1250000"/>
    <n v="625000"/>
    <n v="625000"/>
    <s v="B2C"/>
    <s v="UPI"/>
    <s v="Yes"/>
    <s v="Aug"/>
    <n v="2022"/>
    <n v="0.5"/>
    <s v="Large"/>
    <s v="Medium Profit"/>
    <x v="0"/>
    <x v="0"/>
  </r>
  <r>
    <s v="ORD-0719"/>
    <d v="2024-09-20T00:00:00"/>
    <x v="1"/>
    <s v="USA"/>
    <s v="Pooja Patel"/>
    <x v="3"/>
    <s v="Yoga Mat"/>
    <n v="7"/>
    <n v="1200"/>
    <n v="20"/>
    <n v="6720"/>
    <n v="3024"/>
    <n v="3696"/>
    <s v="B2B"/>
    <s v="Wallet"/>
    <s v="Yes"/>
    <s v="Sep"/>
    <n v="2024"/>
    <n v="0.55000000000000004"/>
    <s v="Small"/>
    <s v="Medium Profit"/>
    <x v="11"/>
    <x v="11"/>
  </r>
  <r>
    <s v="ORD-0720"/>
    <d v="2022-03-17T00:00:00"/>
    <x v="1"/>
    <s v="USA"/>
    <s v="Priya Mehta"/>
    <x v="0"/>
    <s v="T-Shirt"/>
    <n v="11"/>
    <n v="800"/>
    <n v="10"/>
    <n v="7920"/>
    <n v="3168"/>
    <n v="4752"/>
    <s v="Enterprise"/>
    <s v="Cash"/>
    <s v="No"/>
    <s v="Mar"/>
    <n v="2022"/>
    <n v="0.6"/>
    <s v="Small"/>
    <s v="High Profit"/>
    <x v="1"/>
    <x v="1"/>
  </r>
  <r>
    <s v="ORD-0721"/>
    <d v="2022-07-05T00:00:00"/>
    <x v="0"/>
    <s v="Japan"/>
    <s v="Rahul Gupta"/>
    <x v="1"/>
    <s v="Smartphone"/>
    <n v="29"/>
    <n v="45000"/>
    <n v="15"/>
    <n v="1109250"/>
    <n v="610087.5"/>
    <n v="499162.5"/>
    <s v="B2B"/>
    <s v="Cash"/>
    <s v="No"/>
    <s v="Jul"/>
    <n v="2022"/>
    <n v="0.45"/>
    <s v="Large"/>
    <s v="Low Profit"/>
    <x v="16"/>
    <x v="16"/>
  </r>
  <r>
    <s v="ORD-0722"/>
    <d v="2023-10-10T00:00:00"/>
    <x v="2"/>
    <s v="Brazil"/>
    <s v="Vikram Nair"/>
    <x v="2"/>
    <s v="Lamp"/>
    <n v="24"/>
    <n v="1500"/>
    <n v="5"/>
    <n v="34200"/>
    <n v="17100"/>
    <n v="17100"/>
    <s v="Enterprise"/>
    <s v="Cash"/>
    <s v="No"/>
    <s v="Oct"/>
    <n v="2023"/>
    <n v="0.5"/>
    <s v="Small"/>
    <s v="Medium Profit"/>
    <x v="14"/>
    <x v="14"/>
  </r>
  <r>
    <s v="ORD-0723"/>
    <d v="2023-03-05T00:00:00"/>
    <x v="3"/>
    <s v="Germany"/>
    <s v="Rohan Joshi"/>
    <x v="3"/>
    <s v="Football"/>
    <n v="44"/>
    <n v="900"/>
    <n v="10"/>
    <n v="35640"/>
    <n v="16038"/>
    <n v="19602"/>
    <s v="B2C"/>
    <s v="UPI"/>
    <s v="No"/>
    <s v="Mar"/>
    <n v="2023"/>
    <n v="0.55000000000000004"/>
    <s v="Small"/>
    <s v="Medium Profit"/>
    <x v="22"/>
    <x v="22"/>
  </r>
  <r>
    <s v="ORD-0724"/>
    <d v="2022-01-23T00:00:00"/>
    <x v="1"/>
    <s v="USA"/>
    <s v="Anjali Singh"/>
    <x v="2"/>
    <s v="Lamp"/>
    <n v="50"/>
    <n v="1500"/>
    <n v="5"/>
    <n v="71250"/>
    <n v="35625"/>
    <n v="35625"/>
    <s v="B2B"/>
    <s v="Cash"/>
    <s v="No"/>
    <s v="Jan"/>
    <n v="2022"/>
    <n v="0.5"/>
    <s v="Small"/>
    <s v="Medium Profit"/>
    <x v="10"/>
    <x v="10"/>
  </r>
  <r>
    <s v="ORD-0725"/>
    <d v="2022-03-22T00:00:00"/>
    <x v="2"/>
    <s v="Brazil"/>
    <s v="Amit Kumar"/>
    <x v="2"/>
    <s v="Lamp"/>
    <n v="26"/>
    <n v="1500"/>
    <n v="20"/>
    <n v="31200"/>
    <n v="15600"/>
    <n v="15600"/>
    <s v="Enterprise"/>
    <s v="Net Banking"/>
    <s v="No"/>
    <s v="Mar"/>
    <n v="2022"/>
    <n v="0.5"/>
    <s v="Small"/>
    <s v="Medium Profit"/>
    <x v="1"/>
    <x v="1"/>
  </r>
  <r>
    <s v="ORD-0726"/>
    <d v="2023-11-01T00:00:00"/>
    <x v="0"/>
    <s v="China"/>
    <s v="Neha Sharma"/>
    <x v="0"/>
    <s v="Jeans"/>
    <n v="29"/>
    <n v="2500"/>
    <n v="5"/>
    <n v="68875"/>
    <n v="27550"/>
    <n v="41325"/>
    <s v="Enterprise"/>
    <s v="Wallet"/>
    <s v="Yes"/>
    <s v="Nov"/>
    <n v="2023"/>
    <n v="0.6"/>
    <s v="Small"/>
    <s v="High Profit"/>
    <x v="32"/>
    <x v="32"/>
  </r>
  <r>
    <s v="ORD-0727"/>
    <d v="2024-05-23T00:00:00"/>
    <x v="0"/>
    <s v="China"/>
    <s v="Rohan Joshi"/>
    <x v="0"/>
    <s v="T-Shirt"/>
    <n v="6"/>
    <n v="800"/>
    <n v="0"/>
    <n v="4800"/>
    <n v="1920"/>
    <n v="2880"/>
    <s v="B2C"/>
    <s v="Cash"/>
    <s v="Yes"/>
    <s v="May"/>
    <n v="2024"/>
    <n v="0.6"/>
    <s v="Small"/>
    <s v="High Profit"/>
    <x v="34"/>
    <x v="34"/>
  </r>
  <r>
    <s v="ORD-0728"/>
    <d v="2022-09-17T00:00:00"/>
    <x v="0"/>
    <s v="India"/>
    <s v="Priya Mehta"/>
    <x v="2"/>
    <s v="Rug"/>
    <n v="22"/>
    <n v="4000"/>
    <n v="5"/>
    <n v="83600"/>
    <n v="41800"/>
    <n v="41800"/>
    <s v="B2B"/>
    <s v="Wallet"/>
    <s v="No"/>
    <s v="Sep"/>
    <n v="2022"/>
    <n v="0.5"/>
    <s v="Small"/>
    <s v="Medium Profit"/>
    <x v="17"/>
    <x v="17"/>
  </r>
  <r>
    <s v="ORD-0729"/>
    <d v="2023-05-08T00:00:00"/>
    <x v="0"/>
    <s v="China"/>
    <s v="Rohan Joshi"/>
    <x v="1"/>
    <s v="Laptop"/>
    <n v="24"/>
    <n v="75000"/>
    <n v="10"/>
    <n v="1620000"/>
    <n v="891000"/>
    <n v="729000"/>
    <s v="B2C"/>
    <s v="Credit Card"/>
    <s v="Yes"/>
    <s v="May"/>
    <n v="2023"/>
    <n v="0.45"/>
    <s v="Large"/>
    <s v="Low Profit"/>
    <x v="33"/>
    <x v="33"/>
  </r>
  <r>
    <s v="ORD-0730"/>
    <d v="2022-04-25T00:00:00"/>
    <x v="1"/>
    <s v="Canada"/>
    <s v="Vikram Nair"/>
    <x v="1"/>
    <s v="Headphones"/>
    <n v="22"/>
    <n v="8000"/>
    <n v="5"/>
    <n v="167200"/>
    <n v="91960"/>
    <n v="75240"/>
    <s v="Enterprise"/>
    <s v="Wallet"/>
    <s v="Yes"/>
    <s v="Apr"/>
    <n v="2022"/>
    <n v="0.45"/>
    <s v="Small"/>
    <s v="Low Profit"/>
    <x v="28"/>
    <x v="28"/>
  </r>
  <r>
    <s v="ORD-0731"/>
    <d v="2023-03-12T00:00:00"/>
    <x v="0"/>
    <s v="Japan"/>
    <s v="Neha Sharma"/>
    <x v="0"/>
    <s v="Jeans"/>
    <n v="34"/>
    <n v="2500"/>
    <n v="5"/>
    <n v="80750"/>
    <n v="32300"/>
    <n v="48450"/>
    <s v="B2C"/>
    <s v="Wallet"/>
    <s v="No"/>
    <s v="Mar"/>
    <n v="2023"/>
    <n v="0.6"/>
    <s v="Small"/>
    <s v="High Profit"/>
    <x v="22"/>
    <x v="22"/>
  </r>
  <r>
    <s v="ORD-0732"/>
    <d v="2023-01-27T00:00:00"/>
    <x v="0"/>
    <s v="Japan"/>
    <s v="Priya Mehta"/>
    <x v="0"/>
    <s v="Jeans"/>
    <n v="27"/>
    <n v="2500"/>
    <n v="0"/>
    <n v="67500"/>
    <n v="27000"/>
    <n v="40500"/>
    <s v="B2B"/>
    <s v="Cash"/>
    <s v="No"/>
    <s v="Jan"/>
    <n v="2023"/>
    <n v="0.6"/>
    <s v="Small"/>
    <s v="High Profit"/>
    <x v="35"/>
    <x v="35"/>
  </r>
  <r>
    <s v="ORD-0733"/>
    <d v="2022-09-16T00:00:00"/>
    <x v="2"/>
    <s v="Argentina"/>
    <s v="Priya Mehta"/>
    <x v="2"/>
    <s v="Rug"/>
    <n v="26"/>
    <n v="4000"/>
    <n v="20"/>
    <n v="83200"/>
    <n v="41600"/>
    <n v="41600"/>
    <s v="Enterprise"/>
    <s v="Cash"/>
    <s v="Yes"/>
    <s v="Sep"/>
    <n v="2022"/>
    <n v="0.5"/>
    <s v="Small"/>
    <s v="Medium Profit"/>
    <x v="17"/>
    <x v="17"/>
  </r>
  <r>
    <s v="ORD-0734"/>
    <d v="2023-05-19T00:00:00"/>
    <x v="3"/>
    <s v="France"/>
    <s v="Rohan Joshi"/>
    <x v="3"/>
    <s v="Tennis Racket"/>
    <n v="47"/>
    <n v="5500"/>
    <n v="15"/>
    <n v="219725"/>
    <n v="98876.25"/>
    <n v="120848.75"/>
    <s v="B2B"/>
    <s v="Wallet"/>
    <s v="No"/>
    <s v="May"/>
    <n v="2023"/>
    <n v="0.55000000000000004"/>
    <s v="Small"/>
    <s v="Medium Profit"/>
    <x v="33"/>
    <x v="33"/>
  </r>
  <r>
    <s v="ORD-0735"/>
    <d v="2022-09-16T00:00:00"/>
    <x v="3"/>
    <s v="UK"/>
    <s v="Amit Kumar"/>
    <x v="1"/>
    <s v="Smartphone"/>
    <n v="30"/>
    <n v="45000"/>
    <n v="15"/>
    <n v="1147500"/>
    <n v="631125"/>
    <n v="516375"/>
    <s v="Enterprise"/>
    <s v="UPI"/>
    <s v="No"/>
    <s v="Sep"/>
    <n v="2022"/>
    <n v="0.45"/>
    <s v="Large"/>
    <s v="Low Profit"/>
    <x v="17"/>
    <x v="17"/>
  </r>
  <r>
    <s v="ORD-0736"/>
    <d v="2024-12-12T00:00:00"/>
    <x v="1"/>
    <s v="Canada"/>
    <s v="Priya Mehta"/>
    <x v="1"/>
    <s v="Tablet"/>
    <n v="37"/>
    <n v="35000"/>
    <n v="10"/>
    <n v="1165500"/>
    <n v="641025"/>
    <n v="524475"/>
    <s v="Enterprise"/>
    <s v="UPI"/>
    <s v="No"/>
    <s v="Dec"/>
    <n v="2024"/>
    <n v="0.45"/>
    <s v="Large"/>
    <s v="Low Profit"/>
    <x v="20"/>
    <x v="20"/>
  </r>
  <r>
    <s v="ORD-0737"/>
    <d v="2022-08-12T00:00:00"/>
    <x v="0"/>
    <s v="Japan"/>
    <s v="Vikram Nair"/>
    <x v="2"/>
    <s v="Lamp"/>
    <n v="2"/>
    <n v="1500"/>
    <n v="5"/>
    <n v="2850"/>
    <n v="1425"/>
    <n v="1425"/>
    <s v="Enterprise"/>
    <s v="Cash"/>
    <s v="No"/>
    <s v="Aug"/>
    <n v="2022"/>
    <n v="0.5"/>
    <s v="Small"/>
    <s v="Medium Profit"/>
    <x v="0"/>
    <x v="0"/>
  </r>
  <r>
    <s v="ORD-0738"/>
    <d v="2022-04-10T00:00:00"/>
    <x v="0"/>
    <s v="India"/>
    <s v="Rahul Gupta"/>
    <x v="3"/>
    <s v="Yoga Mat"/>
    <n v="8"/>
    <n v="1200"/>
    <n v="20"/>
    <n v="7680"/>
    <n v="3456"/>
    <n v="4224"/>
    <s v="B2B"/>
    <s v="Credit Card"/>
    <s v="No"/>
    <s v="Apr"/>
    <n v="2022"/>
    <n v="0.55000000000000004"/>
    <s v="Small"/>
    <s v="Medium Profit"/>
    <x v="28"/>
    <x v="28"/>
  </r>
  <r>
    <s v="ORD-0739"/>
    <d v="2024-03-16T00:00:00"/>
    <x v="0"/>
    <s v="China"/>
    <s v="Pooja Patel"/>
    <x v="2"/>
    <s v="Lamp"/>
    <n v="31"/>
    <n v="1500"/>
    <n v="20"/>
    <n v="37200"/>
    <n v="18600"/>
    <n v="18600"/>
    <s v="B2B"/>
    <s v="Wallet"/>
    <s v="No"/>
    <s v="Mar"/>
    <n v="2024"/>
    <n v="0.5"/>
    <s v="Small"/>
    <s v="Medium Profit"/>
    <x v="27"/>
    <x v="27"/>
  </r>
  <r>
    <s v="ORD-0740"/>
    <d v="2024-06-25T00:00:00"/>
    <x v="3"/>
    <s v="France"/>
    <s v="Pooja Patel"/>
    <x v="0"/>
    <s v="T-Shirt"/>
    <n v="6"/>
    <n v="800"/>
    <n v="20"/>
    <n v="3840"/>
    <n v="1536"/>
    <n v="2304"/>
    <s v="B2C"/>
    <s v="Cash"/>
    <s v="Yes"/>
    <s v="Jun"/>
    <n v="2024"/>
    <n v="0.6"/>
    <s v="Small"/>
    <s v="High Profit"/>
    <x v="25"/>
    <x v="25"/>
  </r>
  <r>
    <s v="ORD-0741"/>
    <d v="2023-03-13T00:00:00"/>
    <x v="0"/>
    <s v="China"/>
    <s v="Aarav Shah"/>
    <x v="3"/>
    <s v="Cycle"/>
    <n v="42"/>
    <n v="18000"/>
    <n v="0"/>
    <n v="756000"/>
    <n v="340200"/>
    <n v="415800"/>
    <s v="Enterprise"/>
    <s v="Credit Card"/>
    <s v="No"/>
    <s v="Mar"/>
    <n v="2023"/>
    <n v="0.55000000000000004"/>
    <s v="Large"/>
    <s v="Medium Profit"/>
    <x v="22"/>
    <x v="22"/>
  </r>
  <r>
    <s v="ORD-0742"/>
    <d v="2023-08-18T00:00:00"/>
    <x v="1"/>
    <s v="USA"/>
    <s v="Sneha Iyer"/>
    <x v="1"/>
    <s v="Smartwatch"/>
    <n v="34"/>
    <n v="15000"/>
    <n v="5"/>
    <n v="484500"/>
    <n v="266475"/>
    <n v="218025"/>
    <s v="Enterprise"/>
    <s v="Credit Card"/>
    <s v="No"/>
    <s v="Aug"/>
    <n v="2023"/>
    <n v="0.45"/>
    <s v="Medium"/>
    <s v="Low Profit"/>
    <x v="19"/>
    <x v="19"/>
  </r>
  <r>
    <s v="ORD-0743"/>
    <d v="2022-08-22T00:00:00"/>
    <x v="2"/>
    <s v="Brazil"/>
    <s v="Vikram Nair"/>
    <x v="0"/>
    <s v="Sneakers"/>
    <n v="46"/>
    <n v="4200"/>
    <n v="20"/>
    <n v="154560"/>
    <n v="61824"/>
    <n v="92736"/>
    <s v="B2B"/>
    <s v="Wallet"/>
    <s v="No"/>
    <s v="Aug"/>
    <n v="2022"/>
    <n v="0.6"/>
    <s v="Small"/>
    <s v="High Profit"/>
    <x v="0"/>
    <x v="0"/>
  </r>
  <r>
    <s v="ORD-0744"/>
    <d v="2023-09-13T00:00:00"/>
    <x v="1"/>
    <s v="Canada"/>
    <s v="Aarav Shah"/>
    <x v="2"/>
    <s v="Lamp"/>
    <n v="12"/>
    <n v="1500"/>
    <n v="15"/>
    <n v="15300"/>
    <n v="7650"/>
    <n v="7650"/>
    <s v="Enterprise"/>
    <s v="Net Banking"/>
    <s v="No"/>
    <s v="Sep"/>
    <n v="2023"/>
    <n v="0.5"/>
    <s v="Small"/>
    <s v="Medium Profit"/>
    <x v="7"/>
    <x v="7"/>
  </r>
  <r>
    <s v="ORD-0745"/>
    <d v="2024-01-09T00:00:00"/>
    <x v="1"/>
    <s v="USA"/>
    <s v="Priya Mehta"/>
    <x v="0"/>
    <s v="T-Shirt"/>
    <n v="10"/>
    <n v="800"/>
    <n v="5"/>
    <n v="7600"/>
    <n v="3040"/>
    <n v="4560"/>
    <s v="B2B"/>
    <s v="UPI"/>
    <s v="No"/>
    <s v="Jan"/>
    <n v="2024"/>
    <n v="0.6"/>
    <s v="Small"/>
    <s v="High Profit"/>
    <x v="3"/>
    <x v="3"/>
  </r>
  <r>
    <s v="ORD-0746"/>
    <d v="2023-08-14T00:00:00"/>
    <x v="2"/>
    <s v="Brazil"/>
    <s v="Neha Sharma"/>
    <x v="2"/>
    <s v="Air Fryer"/>
    <n v="2"/>
    <n v="8500"/>
    <n v="0"/>
    <n v="17000"/>
    <n v="8500"/>
    <n v="8500"/>
    <s v="B2C"/>
    <s v="Credit Card"/>
    <s v="No"/>
    <s v="Aug"/>
    <n v="2023"/>
    <n v="0.5"/>
    <s v="Small"/>
    <s v="Medium Profit"/>
    <x v="19"/>
    <x v="19"/>
  </r>
  <r>
    <s v="ORD-0747"/>
    <d v="2023-09-05T00:00:00"/>
    <x v="3"/>
    <s v="Germany"/>
    <s v="Vikram Nair"/>
    <x v="3"/>
    <s v="Yoga Mat"/>
    <n v="4"/>
    <n v="1200"/>
    <n v="5"/>
    <n v="4560"/>
    <n v="2052"/>
    <n v="2508"/>
    <s v="Enterprise"/>
    <s v="Wallet"/>
    <s v="No"/>
    <s v="Sep"/>
    <n v="2023"/>
    <n v="0.55000000000000004"/>
    <s v="Small"/>
    <s v="Medium Profit"/>
    <x v="7"/>
    <x v="7"/>
  </r>
  <r>
    <s v="ORD-0748"/>
    <d v="2023-04-16T00:00:00"/>
    <x v="3"/>
    <s v="UK"/>
    <s v="Vikram Nair"/>
    <x v="1"/>
    <s v="Tablet"/>
    <n v="30"/>
    <n v="35000"/>
    <n v="20"/>
    <n v="840000"/>
    <n v="462000"/>
    <n v="378000"/>
    <s v="B2B"/>
    <s v="Cash"/>
    <s v="No"/>
    <s v="Apr"/>
    <n v="2023"/>
    <n v="0.45"/>
    <s v="Large"/>
    <s v="Low Profit"/>
    <x v="26"/>
    <x v="26"/>
  </r>
  <r>
    <s v="ORD-0749"/>
    <d v="2022-02-14T00:00:00"/>
    <x v="2"/>
    <s v="Brazil"/>
    <s v="Vikram Nair"/>
    <x v="1"/>
    <s v="Smartphone"/>
    <n v="49"/>
    <n v="45000"/>
    <n v="20"/>
    <n v="1764000"/>
    <n v="970200"/>
    <n v="793800"/>
    <s v="B2C"/>
    <s v="Wallet"/>
    <s v="No"/>
    <s v="Feb"/>
    <n v="2022"/>
    <n v="0.45"/>
    <s v="Large"/>
    <s v="Low Profit"/>
    <x v="29"/>
    <x v="29"/>
  </r>
  <r>
    <s v="ORD-0750"/>
    <d v="2024-03-15T00:00:00"/>
    <x v="1"/>
    <s v="USA"/>
    <s v="Rahul Gupta"/>
    <x v="2"/>
    <s v="Rug"/>
    <n v="11"/>
    <n v="4000"/>
    <n v="5"/>
    <n v="41800"/>
    <n v="20900"/>
    <n v="20900"/>
    <s v="B2C"/>
    <s v="Wallet"/>
    <s v="Yes"/>
    <s v="Mar"/>
    <n v="2024"/>
    <n v="0.5"/>
    <s v="Small"/>
    <s v="Medium Profit"/>
    <x v="27"/>
    <x v="27"/>
  </r>
  <r>
    <s v="ORD-0751"/>
    <d v="2024-05-02T00:00:00"/>
    <x v="1"/>
    <s v="Canada"/>
    <s v="Neha Sharma"/>
    <x v="2"/>
    <s v="Air Fryer"/>
    <n v="1"/>
    <n v="8500"/>
    <n v="0"/>
    <n v="8500"/>
    <n v="4250"/>
    <n v="4250"/>
    <s v="B2C"/>
    <s v="Wallet"/>
    <s v="No"/>
    <s v="May"/>
    <n v="2024"/>
    <n v="0.5"/>
    <s v="Small"/>
    <s v="Medium Profit"/>
    <x v="34"/>
    <x v="34"/>
  </r>
  <r>
    <s v="ORD-0752"/>
    <d v="2023-05-27T00:00:00"/>
    <x v="3"/>
    <s v="Germany"/>
    <s v="Sneha Iyer"/>
    <x v="2"/>
    <s v="Blender"/>
    <n v="11"/>
    <n v="5000"/>
    <n v="20"/>
    <n v="44000"/>
    <n v="22000"/>
    <n v="22000"/>
    <s v="B2B"/>
    <s v="Net Banking"/>
    <s v="Yes"/>
    <s v="May"/>
    <n v="2023"/>
    <n v="0.5"/>
    <s v="Small"/>
    <s v="Medium Profit"/>
    <x v="33"/>
    <x v="33"/>
  </r>
  <r>
    <s v="ORD-0753"/>
    <d v="2022-06-13T00:00:00"/>
    <x v="1"/>
    <s v="USA"/>
    <s v="Amit Kumar"/>
    <x v="2"/>
    <s v="Lamp"/>
    <n v="14"/>
    <n v="1500"/>
    <n v="20"/>
    <n v="16800"/>
    <n v="8400"/>
    <n v="8400"/>
    <s v="B2C"/>
    <s v="Net Banking"/>
    <s v="Yes"/>
    <s v="Jun"/>
    <n v="2022"/>
    <n v="0.5"/>
    <s v="Small"/>
    <s v="Medium Profit"/>
    <x v="4"/>
    <x v="4"/>
  </r>
  <r>
    <s v="ORD-0754"/>
    <d v="2023-05-25T00:00:00"/>
    <x v="3"/>
    <s v="Germany"/>
    <s v="Sneha Iyer"/>
    <x v="2"/>
    <s v="Sofa"/>
    <n v="14"/>
    <n v="25000"/>
    <n v="15"/>
    <n v="297500"/>
    <n v="148750"/>
    <n v="148750"/>
    <s v="B2C"/>
    <s v="Credit Card"/>
    <s v="Yes"/>
    <s v="May"/>
    <n v="2023"/>
    <n v="0.5"/>
    <s v="Small"/>
    <s v="Medium Profit"/>
    <x v="33"/>
    <x v="33"/>
  </r>
  <r>
    <s v="ORD-0755"/>
    <d v="2022-09-21T00:00:00"/>
    <x v="1"/>
    <s v="Canada"/>
    <s v="Aarav Shah"/>
    <x v="1"/>
    <s v="Smartphone"/>
    <n v="27"/>
    <n v="45000"/>
    <n v="20"/>
    <n v="972000"/>
    <n v="534600"/>
    <n v="437400"/>
    <s v="B2C"/>
    <s v="Wallet"/>
    <s v="No"/>
    <s v="Sep"/>
    <n v="2022"/>
    <n v="0.45"/>
    <s v="Large"/>
    <s v="Low Profit"/>
    <x v="17"/>
    <x v="17"/>
  </r>
  <r>
    <s v="ORD-0756"/>
    <d v="2022-06-26T00:00:00"/>
    <x v="1"/>
    <s v="USA"/>
    <s v="Pooja Patel"/>
    <x v="1"/>
    <s v="Tablet"/>
    <n v="25"/>
    <n v="35000"/>
    <n v="20"/>
    <n v="700000"/>
    <n v="385000"/>
    <n v="315000"/>
    <s v="B2C"/>
    <s v="UPI"/>
    <s v="No"/>
    <s v="Jun"/>
    <n v="2022"/>
    <n v="0.45"/>
    <s v="Large"/>
    <s v="Low Profit"/>
    <x v="4"/>
    <x v="4"/>
  </r>
  <r>
    <s v="ORD-0757"/>
    <d v="2022-01-04T00:00:00"/>
    <x v="3"/>
    <s v="Germany"/>
    <s v="Sneha Iyer"/>
    <x v="3"/>
    <s v="Yoga Mat"/>
    <n v="15"/>
    <n v="1200"/>
    <n v="0"/>
    <n v="18000"/>
    <n v="8100"/>
    <n v="9900"/>
    <s v="Enterprise"/>
    <s v="Net Banking"/>
    <s v="No"/>
    <s v="Jan"/>
    <n v="2022"/>
    <n v="0.55000000000000004"/>
    <s v="Small"/>
    <s v="Medium Profit"/>
    <x v="10"/>
    <x v="10"/>
  </r>
  <r>
    <s v="ORD-0758"/>
    <d v="2023-01-03T00:00:00"/>
    <x v="0"/>
    <s v="China"/>
    <s v="Sneha Iyer"/>
    <x v="0"/>
    <s v="Jeans"/>
    <n v="24"/>
    <n v="2500"/>
    <n v="0"/>
    <n v="60000"/>
    <n v="24000"/>
    <n v="36000"/>
    <s v="B2C"/>
    <s v="Wallet"/>
    <s v="No"/>
    <s v="Jan"/>
    <n v="2023"/>
    <n v="0.6"/>
    <s v="Small"/>
    <s v="High Profit"/>
    <x v="35"/>
    <x v="35"/>
  </r>
  <r>
    <s v="ORD-0759"/>
    <d v="2023-02-01T00:00:00"/>
    <x v="2"/>
    <s v="Argentina"/>
    <s v="Priya Mehta"/>
    <x v="2"/>
    <s v="Rug"/>
    <n v="33"/>
    <n v="4000"/>
    <n v="15"/>
    <n v="112200"/>
    <n v="56100"/>
    <n v="56100"/>
    <s v="Enterprise"/>
    <s v="UPI"/>
    <s v="No"/>
    <s v="Feb"/>
    <n v="2023"/>
    <n v="0.5"/>
    <s v="Small"/>
    <s v="Medium Profit"/>
    <x v="6"/>
    <x v="6"/>
  </r>
  <r>
    <s v="ORD-0760"/>
    <d v="2022-12-03T00:00:00"/>
    <x v="2"/>
    <s v="Brazil"/>
    <s v="Rahul Gupta"/>
    <x v="2"/>
    <s v="Rug"/>
    <n v="15"/>
    <n v="4000"/>
    <n v="20"/>
    <n v="48000"/>
    <n v="24000"/>
    <n v="24000"/>
    <s v="B2B"/>
    <s v="Credit Card"/>
    <s v="No"/>
    <s v="Dec"/>
    <n v="2022"/>
    <n v="0.5"/>
    <s v="Small"/>
    <s v="Medium Profit"/>
    <x v="24"/>
    <x v="24"/>
  </r>
  <r>
    <s v="ORD-0761"/>
    <d v="2024-11-20T00:00:00"/>
    <x v="0"/>
    <s v="China"/>
    <s v="Amit Kumar"/>
    <x v="3"/>
    <s v="Yoga Mat"/>
    <n v="28"/>
    <n v="1200"/>
    <n v="0"/>
    <n v="33600"/>
    <n v="15120"/>
    <n v="18480"/>
    <s v="B2C"/>
    <s v="Cash"/>
    <s v="No"/>
    <s v="Nov"/>
    <n v="2024"/>
    <n v="0.55000000000000004"/>
    <s v="Small"/>
    <s v="Medium Profit"/>
    <x v="18"/>
    <x v="18"/>
  </r>
  <r>
    <s v="ORD-0762"/>
    <d v="2023-06-04T00:00:00"/>
    <x v="3"/>
    <s v="Germany"/>
    <s v="Anjali Singh"/>
    <x v="1"/>
    <s v="Smartphone"/>
    <n v="4"/>
    <n v="45000"/>
    <n v="10"/>
    <n v="162000"/>
    <n v="89100"/>
    <n v="72900"/>
    <s v="Enterprise"/>
    <s v="Cash"/>
    <s v="No"/>
    <s v="Jun"/>
    <n v="2023"/>
    <n v="0.45"/>
    <s v="Small"/>
    <s v="Low Profit"/>
    <x v="2"/>
    <x v="2"/>
  </r>
  <r>
    <s v="ORD-0763"/>
    <d v="2023-09-01T00:00:00"/>
    <x v="3"/>
    <s v="UK"/>
    <s v="Anjali Singh"/>
    <x v="1"/>
    <s v="Smartwatch"/>
    <n v="2"/>
    <n v="15000"/>
    <n v="5"/>
    <n v="28500"/>
    <n v="15675"/>
    <n v="12825"/>
    <s v="B2B"/>
    <s v="UPI"/>
    <s v="No"/>
    <s v="Sep"/>
    <n v="2023"/>
    <n v="0.45"/>
    <s v="Small"/>
    <s v="Low Profit"/>
    <x v="7"/>
    <x v="7"/>
  </r>
  <r>
    <s v="ORD-0764"/>
    <d v="2023-01-06T00:00:00"/>
    <x v="0"/>
    <s v="Japan"/>
    <s v="Priya Mehta"/>
    <x v="1"/>
    <s v="Laptop"/>
    <n v="31"/>
    <n v="75000"/>
    <n v="15"/>
    <n v="1976250"/>
    <n v="1086937.5"/>
    <n v="889312.5"/>
    <s v="Enterprise"/>
    <s v="Net Banking"/>
    <s v="No"/>
    <s v="Jan"/>
    <n v="2023"/>
    <n v="0.45"/>
    <s v="Large"/>
    <s v="Low Profit"/>
    <x v="35"/>
    <x v="35"/>
  </r>
  <r>
    <s v="ORD-0765"/>
    <d v="2023-05-08T00:00:00"/>
    <x v="1"/>
    <s v="Canada"/>
    <s v="Sneha Iyer"/>
    <x v="2"/>
    <s v="Blender"/>
    <n v="22"/>
    <n v="5000"/>
    <n v="20"/>
    <n v="88000"/>
    <n v="44000"/>
    <n v="44000"/>
    <s v="B2B"/>
    <s v="Wallet"/>
    <s v="No"/>
    <s v="May"/>
    <n v="2023"/>
    <n v="0.5"/>
    <s v="Small"/>
    <s v="Medium Profit"/>
    <x v="33"/>
    <x v="33"/>
  </r>
  <r>
    <s v="ORD-0766"/>
    <d v="2024-05-25T00:00:00"/>
    <x v="1"/>
    <s v="Canada"/>
    <s v="Neha Sharma"/>
    <x v="1"/>
    <s v="Laptop"/>
    <n v="4"/>
    <n v="75000"/>
    <n v="0"/>
    <n v="300000"/>
    <n v="165000"/>
    <n v="135000"/>
    <s v="B2C"/>
    <s v="Credit Card"/>
    <s v="No"/>
    <s v="May"/>
    <n v="2024"/>
    <n v="0.45"/>
    <s v="Medium"/>
    <s v="Low Profit"/>
    <x v="34"/>
    <x v="34"/>
  </r>
  <r>
    <s v="ORD-0767"/>
    <d v="2022-09-02T00:00:00"/>
    <x v="3"/>
    <s v="UK"/>
    <s v="Vikram Nair"/>
    <x v="3"/>
    <s v="Yoga Mat"/>
    <n v="7"/>
    <n v="1200"/>
    <n v="0"/>
    <n v="8400"/>
    <n v="3780"/>
    <n v="4620"/>
    <s v="B2B"/>
    <s v="Net Banking"/>
    <s v="Yes"/>
    <s v="Sep"/>
    <n v="2022"/>
    <n v="0.55000000000000004"/>
    <s v="Small"/>
    <s v="Medium Profit"/>
    <x v="17"/>
    <x v="17"/>
  </r>
  <r>
    <s v="ORD-0768"/>
    <d v="2024-01-13T00:00:00"/>
    <x v="1"/>
    <s v="Canada"/>
    <s v="Sneha Iyer"/>
    <x v="1"/>
    <s v="Headphones"/>
    <n v="25"/>
    <n v="8000"/>
    <n v="15"/>
    <n v="170000"/>
    <n v="93500"/>
    <n v="76500"/>
    <s v="Enterprise"/>
    <s v="Wallet"/>
    <s v="No"/>
    <s v="Jan"/>
    <n v="2024"/>
    <n v="0.45"/>
    <s v="Small"/>
    <s v="Low Profit"/>
    <x v="3"/>
    <x v="3"/>
  </r>
  <r>
    <s v="ORD-0769"/>
    <d v="2022-07-11T00:00:00"/>
    <x v="1"/>
    <s v="Canada"/>
    <s v="Amit Kumar"/>
    <x v="2"/>
    <s v="Rug"/>
    <n v="13"/>
    <n v="4000"/>
    <n v="0"/>
    <n v="52000"/>
    <n v="26000"/>
    <n v="26000"/>
    <s v="B2B"/>
    <s v="Wallet"/>
    <s v="No"/>
    <s v="Jul"/>
    <n v="2022"/>
    <n v="0.5"/>
    <s v="Small"/>
    <s v="Medium Profit"/>
    <x v="16"/>
    <x v="16"/>
  </r>
  <r>
    <s v="ORD-0770"/>
    <d v="2022-05-19T00:00:00"/>
    <x v="2"/>
    <s v="Brazil"/>
    <s v="Amit Kumar"/>
    <x v="2"/>
    <s v="Sofa"/>
    <n v="27"/>
    <n v="25000"/>
    <n v="15"/>
    <n v="573750"/>
    <n v="286875"/>
    <n v="286875"/>
    <s v="B2C"/>
    <s v="UPI"/>
    <s v="Yes"/>
    <s v="May"/>
    <n v="2022"/>
    <n v="0.5"/>
    <s v="Medium"/>
    <s v="Medium Profit"/>
    <x v="13"/>
    <x v="13"/>
  </r>
  <r>
    <s v="ORD-0771"/>
    <d v="2023-04-05T00:00:00"/>
    <x v="1"/>
    <s v="USA"/>
    <s v="Rahul Gupta"/>
    <x v="2"/>
    <s v="Rug"/>
    <n v="28"/>
    <n v="4000"/>
    <n v="20"/>
    <n v="89600"/>
    <n v="44800"/>
    <n v="44800"/>
    <s v="B2C"/>
    <s v="Wallet"/>
    <s v="No"/>
    <s v="Apr"/>
    <n v="2023"/>
    <n v="0.5"/>
    <s v="Small"/>
    <s v="Medium Profit"/>
    <x v="26"/>
    <x v="26"/>
  </r>
  <r>
    <s v="ORD-0772"/>
    <d v="2024-11-25T00:00:00"/>
    <x v="2"/>
    <s v="Brazil"/>
    <s v="Pooja Patel"/>
    <x v="2"/>
    <s v="Rug"/>
    <n v="22"/>
    <n v="4000"/>
    <n v="10"/>
    <n v="79200"/>
    <n v="39600"/>
    <n v="39600"/>
    <s v="B2B"/>
    <s v="Wallet"/>
    <s v="No"/>
    <s v="Nov"/>
    <n v="2024"/>
    <n v="0.5"/>
    <s v="Small"/>
    <s v="Medium Profit"/>
    <x v="18"/>
    <x v="18"/>
  </r>
  <r>
    <s v="ORD-0773"/>
    <d v="2022-10-02T00:00:00"/>
    <x v="2"/>
    <s v="Brazil"/>
    <s v="Rohan Joshi"/>
    <x v="2"/>
    <s v="Air Fryer"/>
    <n v="13"/>
    <n v="8500"/>
    <n v="5"/>
    <n v="104975"/>
    <n v="52487.5"/>
    <n v="52487.5"/>
    <s v="B2C"/>
    <s v="UPI"/>
    <s v="No"/>
    <s v="Oct"/>
    <n v="2022"/>
    <n v="0.5"/>
    <s v="Small"/>
    <s v="Medium Profit"/>
    <x v="21"/>
    <x v="21"/>
  </r>
  <r>
    <s v="ORD-0774"/>
    <d v="2024-07-23T00:00:00"/>
    <x v="3"/>
    <s v="France"/>
    <s v="Anjali Singh"/>
    <x v="2"/>
    <s v="Rug"/>
    <n v="20"/>
    <n v="4000"/>
    <n v="15"/>
    <n v="68000"/>
    <n v="34000"/>
    <n v="34000"/>
    <s v="B2B"/>
    <s v="Credit Card"/>
    <s v="No"/>
    <s v="Jul"/>
    <n v="2024"/>
    <n v="0.5"/>
    <s v="Small"/>
    <s v="Medium Profit"/>
    <x v="15"/>
    <x v="15"/>
  </r>
  <r>
    <s v="ORD-0775"/>
    <d v="2024-06-26T00:00:00"/>
    <x v="1"/>
    <s v="Canada"/>
    <s v="Sneha Iyer"/>
    <x v="1"/>
    <s v="Smartphone"/>
    <n v="45"/>
    <n v="45000"/>
    <n v="5"/>
    <n v="1923750"/>
    <n v="1058062.5"/>
    <n v="865687.5"/>
    <s v="Enterprise"/>
    <s v="UPI"/>
    <s v="No"/>
    <s v="Jun"/>
    <n v="2024"/>
    <n v="0.45"/>
    <s v="Large"/>
    <s v="Low Profit"/>
    <x v="25"/>
    <x v="25"/>
  </r>
  <r>
    <s v="ORD-0776"/>
    <d v="2023-04-16T00:00:00"/>
    <x v="0"/>
    <s v="China"/>
    <s v="Rohan Joshi"/>
    <x v="0"/>
    <s v="Jeans"/>
    <n v="12"/>
    <n v="2500"/>
    <n v="0"/>
    <n v="30000"/>
    <n v="12000"/>
    <n v="18000"/>
    <s v="B2B"/>
    <s v="Credit Card"/>
    <s v="No"/>
    <s v="Apr"/>
    <n v="2023"/>
    <n v="0.6"/>
    <s v="Small"/>
    <s v="High Profit"/>
    <x v="26"/>
    <x v="26"/>
  </r>
  <r>
    <s v="ORD-0777"/>
    <d v="2023-11-01T00:00:00"/>
    <x v="1"/>
    <s v="USA"/>
    <s v="Vikram Nair"/>
    <x v="3"/>
    <s v="Dumbbell"/>
    <n v="41"/>
    <n v="3000"/>
    <n v="20"/>
    <n v="98400"/>
    <n v="44280"/>
    <n v="54120"/>
    <s v="B2B"/>
    <s v="Credit Card"/>
    <s v="No"/>
    <s v="Nov"/>
    <n v="2023"/>
    <n v="0.55000000000000004"/>
    <s v="Small"/>
    <s v="Medium Profit"/>
    <x v="32"/>
    <x v="32"/>
  </r>
  <r>
    <s v="ORD-0778"/>
    <d v="2023-01-07T00:00:00"/>
    <x v="0"/>
    <s v="India"/>
    <s v="Sneha Iyer"/>
    <x v="2"/>
    <s v="Air Fryer"/>
    <n v="22"/>
    <n v="8500"/>
    <n v="20"/>
    <n v="149600"/>
    <n v="74800"/>
    <n v="74800"/>
    <s v="B2B"/>
    <s v="UPI"/>
    <s v="No"/>
    <s v="Jan"/>
    <n v="2023"/>
    <n v="0.5"/>
    <s v="Small"/>
    <s v="Medium Profit"/>
    <x v="35"/>
    <x v="35"/>
  </r>
  <r>
    <s v="ORD-0779"/>
    <d v="2022-02-06T00:00:00"/>
    <x v="0"/>
    <s v="India"/>
    <s v="Aarav Shah"/>
    <x v="0"/>
    <s v="Jeans"/>
    <n v="42"/>
    <n v="2500"/>
    <n v="0"/>
    <n v="105000"/>
    <n v="42000"/>
    <n v="63000"/>
    <s v="B2B"/>
    <s v="Net Banking"/>
    <s v="No"/>
    <s v="Feb"/>
    <n v="2022"/>
    <n v="0.6"/>
    <s v="Small"/>
    <s v="High Profit"/>
    <x v="29"/>
    <x v="29"/>
  </r>
  <r>
    <s v="ORD-0780"/>
    <d v="2024-06-08T00:00:00"/>
    <x v="0"/>
    <s v="Japan"/>
    <s v="Rahul Gupta"/>
    <x v="3"/>
    <s v="Yoga Mat"/>
    <n v="8"/>
    <n v="1200"/>
    <n v="5"/>
    <n v="9120"/>
    <n v="4104"/>
    <n v="5016"/>
    <s v="B2B"/>
    <s v="UPI"/>
    <s v="No"/>
    <s v="Jun"/>
    <n v="2024"/>
    <n v="0.55000000000000004"/>
    <s v="Small"/>
    <s v="Medium Profit"/>
    <x v="25"/>
    <x v="25"/>
  </r>
  <r>
    <s v="ORD-0781"/>
    <d v="2024-11-13T00:00:00"/>
    <x v="0"/>
    <s v="Japan"/>
    <s v="Neha Sharma"/>
    <x v="3"/>
    <s v="Dumbbell"/>
    <n v="3"/>
    <n v="3000"/>
    <n v="20"/>
    <n v="7200"/>
    <n v="3240"/>
    <n v="3960"/>
    <s v="B2B"/>
    <s v="Wallet"/>
    <s v="Yes"/>
    <s v="Nov"/>
    <n v="2024"/>
    <n v="0.55000000000000004"/>
    <s v="Small"/>
    <s v="Medium Profit"/>
    <x v="18"/>
    <x v="18"/>
  </r>
  <r>
    <s v="ORD-0782"/>
    <d v="2023-07-26T00:00:00"/>
    <x v="2"/>
    <s v="Argentina"/>
    <s v="Sneha Iyer"/>
    <x v="1"/>
    <s v="Tablet"/>
    <n v="9"/>
    <n v="35000"/>
    <n v="20"/>
    <n v="252000"/>
    <n v="138600"/>
    <n v="113400"/>
    <s v="B2C"/>
    <s v="UPI"/>
    <s v="Yes"/>
    <s v="Jul"/>
    <n v="2023"/>
    <n v="0.45"/>
    <s v="Small"/>
    <s v="Low Profit"/>
    <x v="5"/>
    <x v="5"/>
  </r>
  <r>
    <s v="ORD-0783"/>
    <d v="2022-06-26T00:00:00"/>
    <x v="3"/>
    <s v="France"/>
    <s v="Neha Sharma"/>
    <x v="1"/>
    <s v="Smartphone"/>
    <n v="33"/>
    <n v="45000"/>
    <n v="15"/>
    <n v="1262250"/>
    <n v="694237.5"/>
    <n v="568012.5"/>
    <s v="B2C"/>
    <s v="Cash"/>
    <s v="Yes"/>
    <s v="Jun"/>
    <n v="2022"/>
    <n v="0.45"/>
    <s v="Large"/>
    <s v="Low Profit"/>
    <x v="4"/>
    <x v="4"/>
  </r>
  <r>
    <s v="ORD-0784"/>
    <d v="2024-10-15T00:00:00"/>
    <x v="2"/>
    <s v="Argentina"/>
    <s v="Anjali Singh"/>
    <x v="3"/>
    <s v="Tennis Racket"/>
    <n v="31"/>
    <n v="5500"/>
    <n v="10"/>
    <n v="153450"/>
    <n v="69052.5"/>
    <n v="84397.5"/>
    <s v="B2C"/>
    <s v="Wallet"/>
    <s v="Yes"/>
    <s v="Oct"/>
    <n v="2024"/>
    <n v="0.55000000000000004"/>
    <s v="Small"/>
    <s v="Medium Profit"/>
    <x v="31"/>
    <x v="31"/>
  </r>
  <r>
    <s v="ORD-0785"/>
    <d v="2022-03-07T00:00:00"/>
    <x v="2"/>
    <s v="Brazil"/>
    <s v="Pooja Patel"/>
    <x v="0"/>
    <s v="Jeans"/>
    <n v="14"/>
    <n v="2500"/>
    <n v="10"/>
    <n v="31500"/>
    <n v="12600"/>
    <n v="18900"/>
    <s v="B2C"/>
    <s v="Wallet"/>
    <s v="No"/>
    <s v="Mar"/>
    <n v="2022"/>
    <n v="0.6"/>
    <s v="Small"/>
    <s v="High Profit"/>
    <x v="1"/>
    <x v="1"/>
  </r>
  <r>
    <s v="ORD-0786"/>
    <d v="2022-11-27T00:00:00"/>
    <x v="0"/>
    <s v="Japan"/>
    <s v="Amit Kumar"/>
    <x v="1"/>
    <s v="Smartphone"/>
    <n v="49"/>
    <n v="45000"/>
    <n v="0"/>
    <n v="2205000"/>
    <n v="1212750"/>
    <n v="992250"/>
    <s v="B2C"/>
    <s v="Wallet"/>
    <s v="No"/>
    <s v="Nov"/>
    <n v="2022"/>
    <n v="0.45"/>
    <s v="Large"/>
    <s v="Low Profit"/>
    <x v="9"/>
    <x v="9"/>
  </r>
  <r>
    <s v="ORD-0787"/>
    <d v="2023-11-08T00:00:00"/>
    <x v="1"/>
    <s v="Canada"/>
    <s v="Amit Kumar"/>
    <x v="2"/>
    <s v="Lamp"/>
    <n v="29"/>
    <n v="1500"/>
    <n v="15"/>
    <n v="36975"/>
    <n v="18487.5"/>
    <n v="18487.5"/>
    <s v="B2C"/>
    <s v="Net Banking"/>
    <s v="No"/>
    <s v="Nov"/>
    <n v="2023"/>
    <n v="0.5"/>
    <s v="Small"/>
    <s v="Medium Profit"/>
    <x v="32"/>
    <x v="32"/>
  </r>
  <r>
    <s v="ORD-0788"/>
    <d v="2024-08-11T00:00:00"/>
    <x v="0"/>
    <s v="Japan"/>
    <s v="Aarav Shah"/>
    <x v="0"/>
    <s v="Jeans"/>
    <n v="15"/>
    <n v="2500"/>
    <n v="10"/>
    <n v="33750"/>
    <n v="13500"/>
    <n v="20250"/>
    <s v="B2C"/>
    <s v="Credit Card"/>
    <s v="No"/>
    <s v="Aug"/>
    <n v="2024"/>
    <n v="0.6"/>
    <s v="Small"/>
    <s v="High Profit"/>
    <x v="12"/>
    <x v="12"/>
  </r>
  <r>
    <s v="ORD-0789"/>
    <d v="2023-07-27T00:00:00"/>
    <x v="1"/>
    <s v="Canada"/>
    <s v="Sneha Iyer"/>
    <x v="1"/>
    <s v="Laptop"/>
    <n v="5"/>
    <n v="75000"/>
    <n v="10"/>
    <n v="337500"/>
    <n v="185625"/>
    <n v="151875"/>
    <s v="Enterprise"/>
    <s v="UPI"/>
    <s v="No"/>
    <s v="Jul"/>
    <n v="2023"/>
    <n v="0.45"/>
    <s v="Medium"/>
    <s v="Low Profit"/>
    <x v="5"/>
    <x v="5"/>
  </r>
  <r>
    <s v="ORD-0790"/>
    <d v="2023-10-07T00:00:00"/>
    <x v="0"/>
    <s v="Japan"/>
    <s v="Vikram Nair"/>
    <x v="2"/>
    <s v="Air Fryer"/>
    <n v="46"/>
    <n v="8500"/>
    <n v="20"/>
    <n v="312800"/>
    <n v="156400"/>
    <n v="156400"/>
    <s v="Enterprise"/>
    <s v="Wallet"/>
    <s v="No"/>
    <s v="Oct"/>
    <n v="2023"/>
    <n v="0.5"/>
    <s v="Medium"/>
    <s v="Medium Profit"/>
    <x v="14"/>
    <x v="14"/>
  </r>
  <r>
    <s v="ORD-0791"/>
    <d v="2023-05-01T00:00:00"/>
    <x v="0"/>
    <s v="Japan"/>
    <s v="Anjali Singh"/>
    <x v="3"/>
    <s v="Tennis Racket"/>
    <n v="38"/>
    <n v="5500"/>
    <n v="0"/>
    <n v="209000"/>
    <n v="94050"/>
    <n v="114950"/>
    <s v="Enterprise"/>
    <s v="Wallet"/>
    <s v="No"/>
    <s v="May"/>
    <n v="2023"/>
    <n v="0.55000000000000004"/>
    <s v="Small"/>
    <s v="Medium Profit"/>
    <x v="33"/>
    <x v="33"/>
  </r>
  <r>
    <s v="ORD-0792"/>
    <d v="2022-10-28T00:00:00"/>
    <x v="3"/>
    <s v="UK"/>
    <s v="Sneha Iyer"/>
    <x v="0"/>
    <s v="Jeans"/>
    <n v="15"/>
    <n v="2500"/>
    <n v="20"/>
    <n v="30000"/>
    <n v="12000"/>
    <n v="18000"/>
    <s v="Enterprise"/>
    <s v="Cash"/>
    <s v="Yes"/>
    <s v="Oct"/>
    <n v="2022"/>
    <n v="0.6"/>
    <s v="Small"/>
    <s v="High Profit"/>
    <x v="21"/>
    <x v="21"/>
  </r>
  <r>
    <s v="ORD-0793"/>
    <d v="2024-06-11T00:00:00"/>
    <x v="1"/>
    <s v="Canada"/>
    <s v="Sneha Iyer"/>
    <x v="3"/>
    <s v="Tennis Racket"/>
    <n v="14"/>
    <n v="5500"/>
    <n v="15"/>
    <n v="65450"/>
    <n v="29452.5"/>
    <n v="35997.5"/>
    <s v="Enterprise"/>
    <s v="Credit Card"/>
    <s v="No"/>
    <s v="Jun"/>
    <n v="2024"/>
    <n v="0.55000000000000004"/>
    <s v="Small"/>
    <s v="Medium Profit"/>
    <x v="25"/>
    <x v="25"/>
  </r>
  <r>
    <s v="ORD-0794"/>
    <d v="2023-12-05T00:00:00"/>
    <x v="2"/>
    <s v="Argentina"/>
    <s v="Aarav Shah"/>
    <x v="3"/>
    <s v="Cycle"/>
    <n v="22"/>
    <n v="18000"/>
    <n v="5"/>
    <n v="376200"/>
    <n v="169290"/>
    <n v="206910"/>
    <s v="B2C"/>
    <s v="Cash"/>
    <s v="No"/>
    <s v="Dec"/>
    <n v="2023"/>
    <n v="0.55000000000000004"/>
    <s v="Medium"/>
    <s v="Medium Profit"/>
    <x v="30"/>
    <x v="30"/>
  </r>
  <r>
    <s v="ORD-0795"/>
    <d v="2024-11-10T00:00:00"/>
    <x v="0"/>
    <s v="China"/>
    <s v="Aarav Shah"/>
    <x v="1"/>
    <s v="Smartphone"/>
    <n v="10"/>
    <n v="45000"/>
    <n v="10"/>
    <n v="405000"/>
    <n v="222750"/>
    <n v="182250"/>
    <s v="Enterprise"/>
    <s v="Wallet"/>
    <s v="Yes"/>
    <s v="Nov"/>
    <n v="2024"/>
    <n v="0.45"/>
    <s v="Medium"/>
    <s v="Low Profit"/>
    <x v="18"/>
    <x v="18"/>
  </r>
  <r>
    <s v="ORD-0796"/>
    <d v="2024-02-13T00:00:00"/>
    <x v="2"/>
    <s v="Argentina"/>
    <s v="Priya Mehta"/>
    <x v="3"/>
    <s v="Dumbbell"/>
    <n v="31"/>
    <n v="3000"/>
    <n v="0"/>
    <n v="93000"/>
    <n v="41850"/>
    <n v="51150"/>
    <s v="Enterprise"/>
    <s v="Cash"/>
    <s v="No"/>
    <s v="Feb"/>
    <n v="2024"/>
    <n v="0.55000000000000004"/>
    <s v="Small"/>
    <s v="Medium Profit"/>
    <x v="23"/>
    <x v="23"/>
  </r>
  <r>
    <s v="ORD-0797"/>
    <d v="2023-08-03T00:00:00"/>
    <x v="2"/>
    <s v="Brazil"/>
    <s v="Amit Kumar"/>
    <x v="0"/>
    <s v="Jacket"/>
    <n v="45"/>
    <n v="3500"/>
    <n v="20"/>
    <n v="126000"/>
    <n v="50400"/>
    <n v="75600"/>
    <s v="B2B"/>
    <s v="UPI"/>
    <s v="No"/>
    <s v="Aug"/>
    <n v="2023"/>
    <n v="0.6"/>
    <s v="Small"/>
    <s v="High Profit"/>
    <x v="19"/>
    <x v="19"/>
  </r>
  <r>
    <s v="ORD-0798"/>
    <d v="2023-01-03T00:00:00"/>
    <x v="3"/>
    <s v="Germany"/>
    <s v="Sneha Iyer"/>
    <x v="0"/>
    <s v="T-Shirt"/>
    <n v="43"/>
    <n v="800"/>
    <n v="20"/>
    <n v="27520"/>
    <n v="11008"/>
    <n v="16512"/>
    <s v="B2C"/>
    <s v="Credit Card"/>
    <s v="No"/>
    <s v="Jan"/>
    <n v="2023"/>
    <n v="0.6"/>
    <s v="Small"/>
    <s v="High Profit"/>
    <x v="35"/>
    <x v="35"/>
  </r>
  <r>
    <s v="ORD-0799"/>
    <d v="2023-12-17T00:00:00"/>
    <x v="1"/>
    <s v="USA"/>
    <s v="Anjali Singh"/>
    <x v="3"/>
    <s v="Tennis Racket"/>
    <n v="11"/>
    <n v="5500"/>
    <n v="0"/>
    <n v="60500"/>
    <n v="27225"/>
    <n v="33275"/>
    <s v="Enterprise"/>
    <s v="Cash"/>
    <s v="No"/>
    <s v="Dec"/>
    <n v="2023"/>
    <n v="0.55000000000000004"/>
    <s v="Small"/>
    <s v="Medium Profit"/>
    <x v="30"/>
    <x v="30"/>
  </r>
  <r>
    <s v="ORD-0800"/>
    <d v="2024-07-24T00:00:00"/>
    <x v="1"/>
    <s v="Canada"/>
    <s v="Sneha Iyer"/>
    <x v="0"/>
    <s v="Sneakers"/>
    <n v="20"/>
    <n v="4200"/>
    <n v="15"/>
    <n v="71400"/>
    <n v="28560"/>
    <n v="42840"/>
    <s v="B2B"/>
    <s v="Wallet"/>
    <s v="No"/>
    <s v="Jul"/>
    <n v="2024"/>
    <n v="0.6"/>
    <s v="Small"/>
    <s v="High Profit"/>
    <x v="15"/>
    <x v="15"/>
  </r>
  <r>
    <s v="ORD-0801"/>
    <d v="2023-08-19T00:00:00"/>
    <x v="2"/>
    <s v="Argentina"/>
    <s v="Vikram Nair"/>
    <x v="0"/>
    <s v="Jacket"/>
    <n v="10"/>
    <n v="3500"/>
    <n v="15"/>
    <n v="29750"/>
    <n v="11900"/>
    <n v="17850"/>
    <s v="B2C"/>
    <s v="Wallet"/>
    <s v="No"/>
    <s v="Aug"/>
    <n v="2023"/>
    <n v="0.6"/>
    <s v="Small"/>
    <s v="High Profit"/>
    <x v="19"/>
    <x v="19"/>
  </r>
  <r>
    <s v="ORD-0802"/>
    <d v="2023-04-17T00:00:00"/>
    <x v="0"/>
    <s v="China"/>
    <s v="Pooja Patel"/>
    <x v="3"/>
    <s v="Tennis Racket"/>
    <n v="37"/>
    <n v="5500"/>
    <n v="0"/>
    <n v="203500"/>
    <n v="91575"/>
    <n v="111925"/>
    <s v="B2C"/>
    <s v="Cash"/>
    <s v="No"/>
    <s v="Apr"/>
    <n v="2023"/>
    <n v="0.55000000000000004"/>
    <s v="Small"/>
    <s v="Medium Profit"/>
    <x v="26"/>
    <x v="26"/>
  </r>
  <r>
    <s v="ORD-0803"/>
    <d v="2023-11-23T00:00:00"/>
    <x v="0"/>
    <s v="Japan"/>
    <s v="Neha Sharma"/>
    <x v="0"/>
    <s v="Jeans"/>
    <n v="16"/>
    <n v="2500"/>
    <n v="5"/>
    <n v="38000"/>
    <n v="15200"/>
    <n v="22800"/>
    <s v="Enterprise"/>
    <s v="Cash"/>
    <s v="Yes"/>
    <s v="Nov"/>
    <n v="2023"/>
    <n v="0.6"/>
    <s v="Small"/>
    <s v="High Profit"/>
    <x v="32"/>
    <x v="32"/>
  </r>
  <r>
    <s v="ORD-0804"/>
    <d v="2024-06-13T00:00:00"/>
    <x v="2"/>
    <s v="Brazil"/>
    <s v="Rohan Joshi"/>
    <x v="1"/>
    <s v="Smartphone"/>
    <n v="11"/>
    <n v="45000"/>
    <n v="10"/>
    <n v="445500"/>
    <n v="245025"/>
    <n v="200475"/>
    <s v="B2C"/>
    <s v="Credit Card"/>
    <s v="Yes"/>
    <s v="Jun"/>
    <n v="2024"/>
    <n v="0.45"/>
    <s v="Medium"/>
    <s v="Low Profit"/>
    <x v="25"/>
    <x v="25"/>
  </r>
  <r>
    <s v="ORD-0805"/>
    <d v="2023-02-16T00:00:00"/>
    <x v="3"/>
    <s v="France"/>
    <s v="Priya Mehta"/>
    <x v="2"/>
    <s v="Blender"/>
    <n v="49"/>
    <n v="5000"/>
    <n v="0"/>
    <n v="245000"/>
    <n v="122500"/>
    <n v="122500"/>
    <s v="B2C"/>
    <s v="Cash"/>
    <s v="Yes"/>
    <s v="Feb"/>
    <n v="2023"/>
    <n v="0.5"/>
    <s v="Small"/>
    <s v="Medium Profit"/>
    <x v="6"/>
    <x v="6"/>
  </r>
  <r>
    <s v="ORD-0806"/>
    <d v="2024-05-06T00:00:00"/>
    <x v="0"/>
    <s v="India"/>
    <s v="Amit Kumar"/>
    <x v="1"/>
    <s v="Headphones"/>
    <n v="2"/>
    <n v="8000"/>
    <n v="0"/>
    <n v="16000"/>
    <n v="8800"/>
    <n v="7200"/>
    <s v="B2C"/>
    <s v="Net Banking"/>
    <s v="No"/>
    <s v="May"/>
    <n v="2024"/>
    <n v="0.45"/>
    <s v="Small"/>
    <s v="Low Profit"/>
    <x v="34"/>
    <x v="34"/>
  </r>
  <r>
    <s v="ORD-0807"/>
    <d v="2024-02-28T00:00:00"/>
    <x v="2"/>
    <s v="Argentina"/>
    <s v="Aarav Shah"/>
    <x v="1"/>
    <s v="Tablet"/>
    <n v="8"/>
    <n v="35000"/>
    <n v="5"/>
    <n v="266000"/>
    <n v="146300"/>
    <n v="119700"/>
    <s v="Enterprise"/>
    <s v="Cash"/>
    <s v="No"/>
    <s v="Feb"/>
    <n v="2024"/>
    <n v="0.45"/>
    <s v="Small"/>
    <s v="Low Profit"/>
    <x v="23"/>
    <x v="23"/>
  </r>
  <r>
    <s v="ORD-0808"/>
    <d v="2024-08-15T00:00:00"/>
    <x v="1"/>
    <s v="USA"/>
    <s v="Amit Kumar"/>
    <x v="0"/>
    <s v="Jeans"/>
    <n v="9"/>
    <n v="2500"/>
    <n v="15"/>
    <n v="19125"/>
    <n v="7650"/>
    <n v="11475"/>
    <s v="B2B"/>
    <s v="UPI"/>
    <s v="No"/>
    <s v="Aug"/>
    <n v="2024"/>
    <n v="0.6"/>
    <s v="Small"/>
    <s v="High Profit"/>
    <x v="12"/>
    <x v="12"/>
  </r>
  <r>
    <s v="ORD-0809"/>
    <d v="2022-02-20T00:00:00"/>
    <x v="1"/>
    <s v="USA"/>
    <s v="Vikram Nair"/>
    <x v="1"/>
    <s v="Smartwatch"/>
    <n v="48"/>
    <n v="15000"/>
    <n v="15"/>
    <n v="612000"/>
    <n v="336600"/>
    <n v="275400"/>
    <s v="B2B"/>
    <s v="Credit Card"/>
    <s v="No"/>
    <s v="Feb"/>
    <n v="2022"/>
    <n v="0.45"/>
    <s v="Medium"/>
    <s v="Low Profit"/>
    <x v="29"/>
    <x v="29"/>
  </r>
  <r>
    <s v="ORD-0810"/>
    <d v="2023-06-05T00:00:00"/>
    <x v="3"/>
    <s v="Germany"/>
    <s v="Rahul Gupta"/>
    <x v="0"/>
    <s v="Jacket"/>
    <n v="44"/>
    <n v="3500"/>
    <n v="20"/>
    <n v="123200"/>
    <n v="49280"/>
    <n v="73920"/>
    <s v="B2C"/>
    <s v="Credit Card"/>
    <s v="No"/>
    <s v="Jun"/>
    <n v="2023"/>
    <n v="0.6"/>
    <s v="Small"/>
    <s v="High Profit"/>
    <x v="2"/>
    <x v="2"/>
  </r>
  <r>
    <s v="ORD-0811"/>
    <d v="2024-10-21T00:00:00"/>
    <x v="1"/>
    <s v="Canada"/>
    <s v="Vikram Nair"/>
    <x v="3"/>
    <s v="Yoga Mat"/>
    <n v="39"/>
    <n v="1200"/>
    <n v="0"/>
    <n v="46800"/>
    <n v="21060"/>
    <n v="25740"/>
    <s v="B2C"/>
    <s v="UPI"/>
    <s v="No"/>
    <s v="Oct"/>
    <n v="2024"/>
    <n v="0.55000000000000004"/>
    <s v="Small"/>
    <s v="Medium Profit"/>
    <x v="31"/>
    <x v="31"/>
  </r>
  <r>
    <s v="ORD-0812"/>
    <d v="2023-04-12T00:00:00"/>
    <x v="2"/>
    <s v="Brazil"/>
    <s v="Priya Mehta"/>
    <x v="1"/>
    <s v="Headphones"/>
    <n v="2"/>
    <n v="8000"/>
    <n v="0"/>
    <n v="16000"/>
    <n v="8800"/>
    <n v="7200"/>
    <s v="B2B"/>
    <s v="Credit Card"/>
    <s v="No"/>
    <s v="Apr"/>
    <n v="2023"/>
    <n v="0.45"/>
    <s v="Small"/>
    <s v="Low Profit"/>
    <x v="26"/>
    <x v="26"/>
  </r>
  <r>
    <s v="ORD-0813"/>
    <d v="2023-03-04T00:00:00"/>
    <x v="2"/>
    <s v="Brazil"/>
    <s v="Aarav Shah"/>
    <x v="3"/>
    <s v="Football"/>
    <n v="7"/>
    <n v="900"/>
    <n v="10"/>
    <n v="5670"/>
    <n v="2551.5"/>
    <n v="3118.5"/>
    <s v="Enterprise"/>
    <s v="UPI"/>
    <s v="No"/>
    <s v="Mar"/>
    <n v="2023"/>
    <n v="0.55000000000000004"/>
    <s v="Small"/>
    <s v="Medium Profit"/>
    <x v="22"/>
    <x v="22"/>
  </r>
  <r>
    <s v="ORD-0814"/>
    <d v="2023-02-18T00:00:00"/>
    <x v="3"/>
    <s v="Germany"/>
    <s v="Priya Mehta"/>
    <x v="0"/>
    <s v="Sneakers"/>
    <n v="7"/>
    <n v="4200"/>
    <n v="10"/>
    <n v="26460"/>
    <n v="10584"/>
    <n v="15876"/>
    <s v="B2B"/>
    <s v="Credit Card"/>
    <s v="No"/>
    <s v="Feb"/>
    <n v="2023"/>
    <n v="0.6"/>
    <s v="Small"/>
    <s v="High Profit"/>
    <x v="6"/>
    <x v="6"/>
  </r>
  <r>
    <s v="ORD-0815"/>
    <d v="2024-02-21T00:00:00"/>
    <x v="0"/>
    <s v="India"/>
    <s v="Rohan Joshi"/>
    <x v="0"/>
    <s v="Jeans"/>
    <n v="15"/>
    <n v="2500"/>
    <n v="0"/>
    <n v="37500"/>
    <n v="15000"/>
    <n v="22500"/>
    <s v="Enterprise"/>
    <s v="Wallet"/>
    <s v="No"/>
    <s v="Feb"/>
    <n v="2024"/>
    <n v="0.6"/>
    <s v="Small"/>
    <s v="High Profit"/>
    <x v="23"/>
    <x v="23"/>
  </r>
  <r>
    <s v="ORD-0816"/>
    <d v="2023-12-02T00:00:00"/>
    <x v="1"/>
    <s v="USA"/>
    <s v="Rohan Joshi"/>
    <x v="2"/>
    <s v="Rug"/>
    <n v="32"/>
    <n v="4000"/>
    <n v="0"/>
    <n v="128000"/>
    <n v="64000"/>
    <n v="64000"/>
    <s v="Enterprise"/>
    <s v="UPI"/>
    <s v="Yes"/>
    <s v="Dec"/>
    <n v="2023"/>
    <n v="0.5"/>
    <s v="Small"/>
    <s v="Medium Profit"/>
    <x v="30"/>
    <x v="30"/>
  </r>
  <r>
    <s v="ORD-0817"/>
    <d v="2023-05-04T00:00:00"/>
    <x v="0"/>
    <s v="China"/>
    <s v="Rohan Joshi"/>
    <x v="0"/>
    <s v="T-Shirt"/>
    <n v="12"/>
    <n v="800"/>
    <n v="10"/>
    <n v="8640"/>
    <n v="3456"/>
    <n v="5184"/>
    <s v="B2B"/>
    <s v="Net Banking"/>
    <s v="No"/>
    <s v="May"/>
    <n v="2023"/>
    <n v="0.6"/>
    <s v="Small"/>
    <s v="High Profit"/>
    <x v="33"/>
    <x v="33"/>
  </r>
  <r>
    <s v="ORD-0818"/>
    <d v="2022-02-20T00:00:00"/>
    <x v="3"/>
    <s v="Germany"/>
    <s v="Amit Kumar"/>
    <x v="0"/>
    <s v="Cap"/>
    <n v="38"/>
    <n v="600"/>
    <n v="0"/>
    <n v="22800"/>
    <n v="9120"/>
    <n v="13680"/>
    <s v="B2B"/>
    <s v="Wallet"/>
    <s v="No"/>
    <s v="Feb"/>
    <n v="2022"/>
    <n v="0.6"/>
    <s v="Small"/>
    <s v="High Profit"/>
    <x v="29"/>
    <x v="29"/>
  </r>
  <r>
    <s v="ORD-0819"/>
    <d v="2022-08-10T00:00:00"/>
    <x v="2"/>
    <s v="Argentina"/>
    <s v="Sneha Iyer"/>
    <x v="1"/>
    <s v="Laptop"/>
    <n v="9"/>
    <n v="75000"/>
    <n v="10"/>
    <n v="607500"/>
    <n v="334125"/>
    <n v="273375"/>
    <s v="B2C"/>
    <s v="UPI"/>
    <s v="No"/>
    <s v="Aug"/>
    <n v="2022"/>
    <n v="0.45"/>
    <s v="Medium"/>
    <s v="Low Profit"/>
    <x v="0"/>
    <x v="0"/>
  </r>
  <r>
    <s v="ORD-0820"/>
    <d v="2022-10-13T00:00:00"/>
    <x v="2"/>
    <s v="Brazil"/>
    <s v="Sneha Iyer"/>
    <x v="3"/>
    <s v="Cycle"/>
    <n v="9"/>
    <n v="18000"/>
    <n v="10"/>
    <n v="145800"/>
    <n v="65610"/>
    <n v="80190"/>
    <s v="Enterprise"/>
    <s v="Credit Card"/>
    <s v="No"/>
    <s v="Oct"/>
    <n v="2022"/>
    <n v="0.55000000000000004"/>
    <s v="Small"/>
    <s v="Medium Profit"/>
    <x v="21"/>
    <x v="21"/>
  </r>
  <r>
    <s v="ORD-0821"/>
    <d v="2024-10-26T00:00:00"/>
    <x v="3"/>
    <s v="France"/>
    <s v="Vikram Nair"/>
    <x v="1"/>
    <s v="Smartphone"/>
    <n v="47"/>
    <n v="45000"/>
    <n v="10"/>
    <n v="1903500"/>
    <n v="1046925"/>
    <n v="856575"/>
    <s v="B2B"/>
    <s v="UPI"/>
    <s v="No"/>
    <s v="Oct"/>
    <n v="2024"/>
    <n v="0.45"/>
    <s v="Large"/>
    <s v="Low Profit"/>
    <x v="31"/>
    <x v="31"/>
  </r>
  <r>
    <s v="ORD-0822"/>
    <d v="2024-11-02T00:00:00"/>
    <x v="2"/>
    <s v="Brazil"/>
    <s v="Neha Sharma"/>
    <x v="3"/>
    <s v="Football"/>
    <n v="21"/>
    <n v="900"/>
    <n v="5"/>
    <n v="17955"/>
    <n v="8079.75"/>
    <n v="9875.25"/>
    <s v="Enterprise"/>
    <s v="Credit Card"/>
    <s v="No"/>
    <s v="Nov"/>
    <n v="2024"/>
    <n v="0.55000000000000004"/>
    <s v="Small"/>
    <s v="Medium Profit"/>
    <x v="18"/>
    <x v="18"/>
  </r>
  <r>
    <s v="ORD-0823"/>
    <d v="2022-05-28T00:00:00"/>
    <x v="3"/>
    <s v="UK"/>
    <s v="Sneha Iyer"/>
    <x v="1"/>
    <s v="Smartphone"/>
    <n v="14"/>
    <n v="45000"/>
    <n v="5"/>
    <n v="598500"/>
    <n v="329175"/>
    <n v="269325"/>
    <s v="B2B"/>
    <s v="Wallet"/>
    <s v="No"/>
    <s v="May"/>
    <n v="2022"/>
    <n v="0.45"/>
    <s v="Medium"/>
    <s v="Low Profit"/>
    <x v="13"/>
    <x v="13"/>
  </r>
  <r>
    <s v="ORD-0824"/>
    <d v="2024-12-27T00:00:00"/>
    <x v="2"/>
    <s v="Brazil"/>
    <s v="Amit Kumar"/>
    <x v="1"/>
    <s v="Headphones"/>
    <n v="47"/>
    <n v="8000"/>
    <n v="15"/>
    <n v="319600"/>
    <n v="175780"/>
    <n v="143820"/>
    <s v="B2B"/>
    <s v="UPI"/>
    <s v="No"/>
    <s v="Dec"/>
    <n v="2024"/>
    <n v="0.45"/>
    <s v="Medium"/>
    <s v="Low Profit"/>
    <x v="20"/>
    <x v="20"/>
  </r>
  <r>
    <s v="ORD-0825"/>
    <d v="2023-04-14T00:00:00"/>
    <x v="2"/>
    <s v="Brazil"/>
    <s v="Vikram Nair"/>
    <x v="2"/>
    <s v="Rug"/>
    <n v="29"/>
    <n v="4000"/>
    <n v="5"/>
    <n v="110200"/>
    <n v="55100"/>
    <n v="55100"/>
    <s v="B2C"/>
    <s v="Credit Card"/>
    <s v="No"/>
    <s v="Apr"/>
    <n v="2023"/>
    <n v="0.5"/>
    <s v="Small"/>
    <s v="Medium Profit"/>
    <x v="26"/>
    <x v="26"/>
  </r>
  <r>
    <s v="ORD-0826"/>
    <d v="2023-12-13T00:00:00"/>
    <x v="3"/>
    <s v="UK"/>
    <s v="Pooja Patel"/>
    <x v="3"/>
    <s v="Tennis Racket"/>
    <n v="33"/>
    <n v="5500"/>
    <n v="20"/>
    <n v="145200"/>
    <n v="65340"/>
    <n v="79860"/>
    <s v="B2B"/>
    <s v="Cash"/>
    <s v="No"/>
    <s v="Dec"/>
    <n v="2023"/>
    <n v="0.55000000000000004"/>
    <s v="Small"/>
    <s v="Medium Profit"/>
    <x v="30"/>
    <x v="30"/>
  </r>
  <r>
    <s v="ORD-0827"/>
    <d v="2022-02-25T00:00:00"/>
    <x v="3"/>
    <s v="Germany"/>
    <s v="Priya Mehta"/>
    <x v="2"/>
    <s v="Rug"/>
    <n v="35"/>
    <n v="4000"/>
    <n v="5"/>
    <n v="133000"/>
    <n v="66500"/>
    <n v="66500"/>
    <s v="Enterprise"/>
    <s v="UPI"/>
    <s v="Yes"/>
    <s v="Feb"/>
    <n v="2022"/>
    <n v="0.5"/>
    <s v="Small"/>
    <s v="Medium Profit"/>
    <x v="29"/>
    <x v="29"/>
  </r>
  <r>
    <s v="ORD-0828"/>
    <d v="2023-05-13T00:00:00"/>
    <x v="3"/>
    <s v="Germany"/>
    <s v="Pooja Patel"/>
    <x v="2"/>
    <s v="Lamp"/>
    <n v="36"/>
    <n v="1500"/>
    <n v="20"/>
    <n v="43200"/>
    <n v="21600"/>
    <n v="21600"/>
    <s v="B2B"/>
    <s v="Net Banking"/>
    <s v="No"/>
    <s v="May"/>
    <n v="2023"/>
    <n v="0.5"/>
    <s v="Small"/>
    <s v="Medium Profit"/>
    <x v="33"/>
    <x v="33"/>
  </r>
  <r>
    <s v="ORD-0829"/>
    <d v="2022-09-23T00:00:00"/>
    <x v="3"/>
    <s v="UK"/>
    <s v="Rahul Gupta"/>
    <x v="0"/>
    <s v="Jacket"/>
    <n v="1"/>
    <n v="3500"/>
    <n v="20"/>
    <n v="2800"/>
    <n v="1120"/>
    <n v="1680"/>
    <s v="B2C"/>
    <s v="Cash"/>
    <s v="No"/>
    <s v="Sep"/>
    <n v="2022"/>
    <n v="0.6"/>
    <s v="Small"/>
    <s v="High Profit"/>
    <x v="17"/>
    <x v="17"/>
  </r>
  <r>
    <s v="ORD-0830"/>
    <d v="2024-03-13T00:00:00"/>
    <x v="0"/>
    <s v="Japan"/>
    <s v="Pooja Patel"/>
    <x v="2"/>
    <s v="Rug"/>
    <n v="5"/>
    <n v="4000"/>
    <n v="15"/>
    <n v="17000"/>
    <n v="8500"/>
    <n v="8500"/>
    <s v="B2B"/>
    <s v="Cash"/>
    <s v="No"/>
    <s v="Mar"/>
    <n v="2024"/>
    <n v="0.5"/>
    <s v="Small"/>
    <s v="Medium Profit"/>
    <x v="27"/>
    <x v="27"/>
  </r>
  <r>
    <s v="ORD-0831"/>
    <d v="2022-11-07T00:00:00"/>
    <x v="3"/>
    <s v="Germany"/>
    <s v="Anjali Singh"/>
    <x v="3"/>
    <s v="Cycle"/>
    <n v="45"/>
    <n v="18000"/>
    <n v="0"/>
    <n v="810000"/>
    <n v="364500"/>
    <n v="445500"/>
    <s v="B2C"/>
    <s v="UPI"/>
    <s v="No"/>
    <s v="Nov"/>
    <n v="2022"/>
    <n v="0.55000000000000004"/>
    <s v="Large"/>
    <s v="Medium Profit"/>
    <x v="9"/>
    <x v="9"/>
  </r>
  <r>
    <s v="ORD-0832"/>
    <d v="2023-04-16T00:00:00"/>
    <x v="1"/>
    <s v="Canada"/>
    <s v="Aarav Shah"/>
    <x v="0"/>
    <s v="T-Shirt"/>
    <n v="39"/>
    <n v="800"/>
    <n v="15"/>
    <n v="26520"/>
    <n v="10608"/>
    <n v="15912"/>
    <s v="B2C"/>
    <s v="UPI"/>
    <s v="No"/>
    <s v="Apr"/>
    <n v="2023"/>
    <n v="0.6"/>
    <s v="Small"/>
    <s v="High Profit"/>
    <x v="26"/>
    <x v="26"/>
  </r>
  <r>
    <s v="ORD-0833"/>
    <d v="2022-11-01T00:00:00"/>
    <x v="1"/>
    <s v="USA"/>
    <s v="Rohan Joshi"/>
    <x v="3"/>
    <s v="Football"/>
    <n v="6"/>
    <n v="900"/>
    <n v="20"/>
    <n v="4320"/>
    <n v="1944"/>
    <n v="2376"/>
    <s v="B2C"/>
    <s v="UPI"/>
    <s v="No"/>
    <s v="Nov"/>
    <n v="2022"/>
    <n v="0.55000000000000004"/>
    <s v="Small"/>
    <s v="Medium Profit"/>
    <x v="9"/>
    <x v="9"/>
  </r>
  <r>
    <s v="ORD-0834"/>
    <d v="2024-04-09T00:00:00"/>
    <x v="0"/>
    <s v="China"/>
    <s v="Amit Kumar"/>
    <x v="3"/>
    <s v="Football"/>
    <n v="20"/>
    <n v="900"/>
    <n v="15"/>
    <n v="15300"/>
    <n v="6885"/>
    <n v="8415"/>
    <s v="B2B"/>
    <s v="Wallet"/>
    <s v="No"/>
    <s v="Apr"/>
    <n v="2024"/>
    <n v="0.55000000000000004"/>
    <s v="Small"/>
    <s v="Medium Profit"/>
    <x v="8"/>
    <x v="8"/>
  </r>
  <r>
    <s v="ORD-0835"/>
    <d v="2023-11-27T00:00:00"/>
    <x v="2"/>
    <s v="Argentina"/>
    <s v="Sneha Iyer"/>
    <x v="3"/>
    <s v="Cycle"/>
    <n v="1"/>
    <n v="18000"/>
    <n v="5"/>
    <n v="17100"/>
    <n v="7695"/>
    <n v="9405"/>
    <s v="B2B"/>
    <s v="Credit Card"/>
    <s v="No"/>
    <s v="Nov"/>
    <n v="2023"/>
    <n v="0.55000000000000004"/>
    <s v="Small"/>
    <s v="Medium Profit"/>
    <x v="32"/>
    <x v="32"/>
  </r>
  <r>
    <s v="ORD-0836"/>
    <d v="2022-05-25T00:00:00"/>
    <x v="3"/>
    <s v="France"/>
    <s v="Rohan Joshi"/>
    <x v="2"/>
    <s v="Lamp"/>
    <n v="11"/>
    <n v="1500"/>
    <n v="5"/>
    <n v="15675"/>
    <n v="7837.5"/>
    <n v="7837.5"/>
    <s v="B2B"/>
    <s v="UPI"/>
    <s v="No"/>
    <s v="May"/>
    <n v="2022"/>
    <n v="0.5"/>
    <s v="Small"/>
    <s v="Medium Profit"/>
    <x v="13"/>
    <x v="13"/>
  </r>
  <r>
    <s v="ORD-0837"/>
    <d v="2023-01-16T00:00:00"/>
    <x v="2"/>
    <s v="Brazil"/>
    <s v="Pooja Patel"/>
    <x v="0"/>
    <s v="Sneakers"/>
    <n v="13"/>
    <n v="4200"/>
    <n v="0"/>
    <n v="54600"/>
    <n v="21840"/>
    <n v="32760"/>
    <s v="B2B"/>
    <s v="Net Banking"/>
    <s v="No"/>
    <s v="Jan"/>
    <n v="2023"/>
    <n v="0.6"/>
    <s v="Small"/>
    <s v="High Profit"/>
    <x v="35"/>
    <x v="35"/>
  </r>
  <r>
    <s v="ORD-0838"/>
    <d v="2024-03-15T00:00:00"/>
    <x v="1"/>
    <s v="USA"/>
    <s v="Priya Mehta"/>
    <x v="2"/>
    <s v="Blender"/>
    <n v="25"/>
    <n v="5000"/>
    <n v="0"/>
    <n v="125000"/>
    <n v="62500"/>
    <n v="62500"/>
    <s v="B2B"/>
    <s v="Net Banking"/>
    <s v="No"/>
    <s v="Mar"/>
    <n v="2024"/>
    <n v="0.5"/>
    <s v="Small"/>
    <s v="Medium Profit"/>
    <x v="27"/>
    <x v="27"/>
  </r>
  <r>
    <s v="ORD-0839"/>
    <d v="2022-02-19T00:00:00"/>
    <x v="2"/>
    <s v="Argentina"/>
    <s v="Pooja Patel"/>
    <x v="1"/>
    <s v="Laptop"/>
    <n v="4"/>
    <n v="75000"/>
    <n v="10"/>
    <n v="270000"/>
    <n v="148500"/>
    <n v="121500"/>
    <s v="Enterprise"/>
    <s v="Wallet"/>
    <s v="No"/>
    <s v="Feb"/>
    <n v="2022"/>
    <n v="0.45"/>
    <s v="Small"/>
    <s v="Low Profit"/>
    <x v="29"/>
    <x v="29"/>
  </r>
  <r>
    <s v="ORD-0840"/>
    <d v="2022-03-04T00:00:00"/>
    <x v="2"/>
    <s v="Brazil"/>
    <s v="Rohan Joshi"/>
    <x v="2"/>
    <s v="Lamp"/>
    <n v="31"/>
    <n v="1500"/>
    <n v="10"/>
    <n v="41850"/>
    <n v="20925"/>
    <n v="20925"/>
    <s v="B2C"/>
    <s v="Net Banking"/>
    <s v="Yes"/>
    <s v="Mar"/>
    <n v="2022"/>
    <n v="0.5"/>
    <s v="Small"/>
    <s v="Medium Profit"/>
    <x v="1"/>
    <x v="1"/>
  </r>
  <r>
    <s v="ORD-0841"/>
    <d v="2023-12-22T00:00:00"/>
    <x v="0"/>
    <s v="Japan"/>
    <s v="Sneha Iyer"/>
    <x v="2"/>
    <s v="Lamp"/>
    <n v="25"/>
    <n v="1500"/>
    <n v="20"/>
    <n v="30000"/>
    <n v="15000"/>
    <n v="15000"/>
    <s v="B2C"/>
    <s v="Net Banking"/>
    <s v="No"/>
    <s v="Dec"/>
    <n v="2023"/>
    <n v="0.5"/>
    <s v="Small"/>
    <s v="Medium Profit"/>
    <x v="30"/>
    <x v="30"/>
  </r>
  <r>
    <s v="ORD-0842"/>
    <d v="2022-07-01T00:00:00"/>
    <x v="3"/>
    <s v="France"/>
    <s v="Rohan Joshi"/>
    <x v="0"/>
    <s v="Jacket"/>
    <n v="39"/>
    <n v="3500"/>
    <n v="0"/>
    <n v="136500"/>
    <n v="54600"/>
    <n v="81900"/>
    <s v="B2C"/>
    <s v="UPI"/>
    <s v="Yes"/>
    <s v="Jul"/>
    <n v="2022"/>
    <n v="0.6"/>
    <s v="Small"/>
    <s v="High Profit"/>
    <x v="16"/>
    <x v="16"/>
  </r>
  <r>
    <s v="ORD-0843"/>
    <d v="2023-12-15T00:00:00"/>
    <x v="3"/>
    <s v="France"/>
    <s v="Rohan Joshi"/>
    <x v="0"/>
    <s v="Jacket"/>
    <n v="41"/>
    <n v="3500"/>
    <n v="10"/>
    <n v="129150"/>
    <n v="51660"/>
    <n v="77490"/>
    <s v="Enterprise"/>
    <s v="Net Banking"/>
    <s v="No"/>
    <s v="Dec"/>
    <n v="2023"/>
    <n v="0.6"/>
    <s v="Small"/>
    <s v="High Profit"/>
    <x v="30"/>
    <x v="30"/>
  </r>
  <r>
    <s v="ORD-0844"/>
    <d v="2022-03-26T00:00:00"/>
    <x v="0"/>
    <s v="China"/>
    <s v="Pooja Patel"/>
    <x v="0"/>
    <s v="Cap"/>
    <n v="32"/>
    <n v="600"/>
    <n v="15"/>
    <n v="16320"/>
    <n v="6528"/>
    <n v="9792"/>
    <s v="B2B"/>
    <s v="Net Banking"/>
    <s v="Yes"/>
    <s v="Mar"/>
    <n v="2022"/>
    <n v="0.6"/>
    <s v="Small"/>
    <s v="High Profit"/>
    <x v="1"/>
    <x v="1"/>
  </r>
  <r>
    <s v="ORD-0845"/>
    <d v="2024-04-16T00:00:00"/>
    <x v="1"/>
    <s v="Canada"/>
    <s v="Vikram Nair"/>
    <x v="0"/>
    <s v="Sneakers"/>
    <n v="34"/>
    <n v="4200"/>
    <n v="20"/>
    <n v="114240"/>
    <n v="45696"/>
    <n v="68544"/>
    <s v="B2B"/>
    <s v="UPI"/>
    <s v="Yes"/>
    <s v="Apr"/>
    <n v="2024"/>
    <n v="0.6"/>
    <s v="Small"/>
    <s v="High Profit"/>
    <x v="8"/>
    <x v="8"/>
  </r>
  <r>
    <s v="ORD-0846"/>
    <d v="2024-08-26T00:00:00"/>
    <x v="1"/>
    <s v="Canada"/>
    <s v="Amit Kumar"/>
    <x v="3"/>
    <s v="Dumbbell"/>
    <n v="29"/>
    <n v="3000"/>
    <n v="0"/>
    <n v="87000"/>
    <n v="39150"/>
    <n v="47850"/>
    <s v="Enterprise"/>
    <s v="Wallet"/>
    <s v="No"/>
    <s v="Aug"/>
    <n v="2024"/>
    <n v="0.55000000000000004"/>
    <s v="Small"/>
    <s v="Medium Profit"/>
    <x v="12"/>
    <x v="12"/>
  </r>
  <r>
    <s v="ORD-0847"/>
    <d v="2023-04-08T00:00:00"/>
    <x v="2"/>
    <s v="Brazil"/>
    <s v="Priya Mehta"/>
    <x v="1"/>
    <s v="Headphones"/>
    <n v="46"/>
    <n v="8000"/>
    <n v="0"/>
    <n v="368000"/>
    <n v="202400"/>
    <n v="165600"/>
    <s v="B2C"/>
    <s v="Cash"/>
    <s v="No"/>
    <s v="Apr"/>
    <n v="2023"/>
    <n v="0.45"/>
    <s v="Medium"/>
    <s v="Low Profit"/>
    <x v="26"/>
    <x v="26"/>
  </r>
  <r>
    <s v="ORD-0848"/>
    <d v="2023-06-08T00:00:00"/>
    <x v="0"/>
    <s v="China"/>
    <s v="Pooja Patel"/>
    <x v="1"/>
    <s v="Smartphone"/>
    <n v="35"/>
    <n v="45000"/>
    <n v="15"/>
    <n v="1338750"/>
    <n v="736312.5"/>
    <n v="602437.5"/>
    <s v="Enterprise"/>
    <s v="Net Banking"/>
    <s v="No"/>
    <s v="Jun"/>
    <n v="2023"/>
    <n v="0.45"/>
    <s v="Large"/>
    <s v="Low Profit"/>
    <x v="2"/>
    <x v="2"/>
  </r>
  <r>
    <s v="ORD-0849"/>
    <d v="2023-03-19T00:00:00"/>
    <x v="1"/>
    <s v="Canada"/>
    <s v="Rohan Joshi"/>
    <x v="3"/>
    <s v="Football"/>
    <n v="28"/>
    <n v="900"/>
    <n v="5"/>
    <n v="23940"/>
    <n v="10773"/>
    <n v="13167"/>
    <s v="B2C"/>
    <s v="Credit Card"/>
    <s v="No"/>
    <s v="Mar"/>
    <n v="2023"/>
    <n v="0.55000000000000004"/>
    <s v="Small"/>
    <s v="Medium Profit"/>
    <x v="22"/>
    <x v="22"/>
  </r>
  <r>
    <s v="ORD-0850"/>
    <d v="2023-07-03T00:00:00"/>
    <x v="1"/>
    <s v="USA"/>
    <s v="Anjali Singh"/>
    <x v="0"/>
    <s v="Jacket"/>
    <n v="37"/>
    <n v="3500"/>
    <n v="10"/>
    <n v="116550"/>
    <n v="46620"/>
    <n v="69930"/>
    <s v="B2C"/>
    <s v="Cash"/>
    <s v="No"/>
    <s v="Jul"/>
    <n v="2023"/>
    <n v="0.6"/>
    <s v="Small"/>
    <s v="High Profit"/>
    <x v="5"/>
    <x v="5"/>
  </r>
  <r>
    <s v="ORD-0851"/>
    <d v="2022-01-10T00:00:00"/>
    <x v="1"/>
    <s v="USA"/>
    <s v="Rohan Joshi"/>
    <x v="3"/>
    <s v="Cycle"/>
    <n v="50"/>
    <n v="18000"/>
    <n v="10"/>
    <n v="810000"/>
    <n v="364500"/>
    <n v="445500"/>
    <s v="Enterprise"/>
    <s v="Wallet"/>
    <s v="No"/>
    <s v="Jan"/>
    <n v="2022"/>
    <n v="0.55000000000000004"/>
    <s v="Large"/>
    <s v="Medium Profit"/>
    <x v="10"/>
    <x v="10"/>
  </r>
  <r>
    <s v="ORD-0852"/>
    <d v="2023-03-04T00:00:00"/>
    <x v="3"/>
    <s v="UK"/>
    <s v="Amit Kumar"/>
    <x v="3"/>
    <s v="Cycle"/>
    <n v="10"/>
    <n v="18000"/>
    <n v="10"/>
    <n v="162000"/>
    <n v="72900"/>
    <n v="89100"/>
    <s v="B2C"/>
    <s v="Cash"/>
    <s v="No"/>
    <s v="Mar"/>
    <n v="2023"/>
    <n v="0.55000000000000004"/>
    <s v="Small"/>
    <s v="Medium Profit"/>
    <x v="22"/>
    <x v="22"/>
  </r>
  <r>
    <s v="ORD-0853"/>
    <d v="2022-10-20T00:00:00"/>
    <x v="0"/>
    <s v="India"/>
    <s v="Aarav Shah"/>
    <x v="2"/>
    <s v="Sofa"/>
    <n v="33"/>
    <n v="25000"/>
    <n v="0"/>
    <n v="825000"/>
    <n v="412500"/>
    <n v="412500"/>
    <s v="Enterprise"/>
    <s v="Wallet"/>
    <s v="No"/>
    <s v="Oct"/>
    <n v="2022"/>
    <n v="0.5"/>
    <s v="Large"/>
    <s v="Medium Profit"/>
    <x v="21"/>
    <x v="21"/>
  </r>
  <r>
    <s v="ORD-0854"/>
    <d v="2024-07-21T00:00:00"/>
    <x v="2"/>
    <s v="Argentina"/>
    <s v="Vikram Nair"/>
    <x v="3"/>
    <s v="Yoga Mat"/>
    <n v="22"/>
    <n v="1200"/>
    <n v="5"/>
    <n v="25080"/>
    <n v="11286"/>
    <n v="13794"/>
    <s v="Enterprise"/>
    <s v="UPI"/>
    <s v="No"/>
    <s v="Jul"/>
    <n v="2024"/>
    <n v="0.55000000000000004"/>
    <s v="Small"/>
    <s v="Medium Profit"/>
    <x v="15"/>
    <x v="15"/>
  </r>
  <r>
    <s v="ORD-0855"/>
    <d v="2022-04-28T00:00:00"/>
    <x v="2"/>
    <s v="Argentina"/>
    <s v="Rohan Joshi"/>
    <x v="2"/>
    <s v="Air Fryer"/>
    <n v="2"/>
    <n v="8500"/>
    <n v="20"/>
    <n v="13600"/>
    <n v="6800"/>
    <n v="6800"/>
    <s v="B2C"/>
    <s v="Cash"/>
    <s v="No"/>
    <s v="Apr"/>
    <n v="2022"/>
    <n v="0.5"/>
    <s v="Small"/>
    <s v="Medium Profit"/>
    <x v="28"/>
    <x v="28"/>
  </r>
  <r>
    <s v="ORD-0856"/>
    <d v="2024-07-12T00:00:00"/>
    <x v="3"/>
    <s v="Germany"/>
    <s v="Priya Mehta"/>
    <x v="2"/>
    <s v="Sofa"/>
    <n v="45"/>
    <n v="25000"/>
    <n v="5"/>
    <n v="1068750"/>
    <n v="534375"/>
    <n v="534375"/>
    <s v="B2C"/>
    <s v="Credit Card"/>
    <s v="Yes"/>
    <s v="Jul"/>
    <n v="2024"/>
    <n v="0.5"/>
    <s v="Large"/>
    <s v="Medium Profit"/>
    <x v="15"/>
    <x v="15"/>
  </r>
  <r>
    <s v="ORD-0857"/>
    <d v="2022-09-11T00:00:00"/>
    <x v="1"/>
    <s v="Canada"/>
    <s v="Pooja Patel"/>
    <x v="0"/>
    <s v="Cap"/>
    <n v="9"/>
    <n v="600"/>
    <n v="15"/>
    <n v="4590"/>
    <n v="1836"/>
    <n v="2754"/>
    <s v="B2C"/>
    <s v="UPI"/>
    <s v="No"/>
    <s v="Sep"/>
    <n v="2022"/>
    <n v="0.6"/>
    <s v="Small"/>
    <s v="High Profit"/>
    <x v="17"/>
    <x v="17"/>
  </r>
  <r>
    <s v="ORD-0858"/>
    <d v="2023-02-07T00:00:00"/>
    <x v="2"/>
    <s v="Brazil"/>
    <s v="Anjali Singh"/>
    <x v="1"/>
    <s v="Smartphone"/>
    <n v="25"/>
    <n v="45000"/>
    <n v="15"/>
    <n v="956250"/>
    <n v="525937.5"/>
    <n v="430312.5"/>
    <s v="B2B"/>
    <s v="Credit Card"/>
    <s v="No"/>
    <s v="Feb"/>
    <n v="2023"/>
    <n v="0.45"/>
    <s v="Large"/>
    <s v="Low Profit"/>
    <x v="6"/>
    <x v="6"/>
  </r>
  <r>
    <s v="ORD-0859"/>
    <d v="2023-11-16T00:00:00"/>
    <x v="2"/>
    <s v="Brazil"/>
    <s v="Priya Mehta"/>
    <x v="2"/>
    <s v="Rug"/>
    <n v="28"/>
    <n v="4000"/>
    <n v="5"/>
    <n v="106400"/>
    <n v="53200"/>
    <n v="53200"/>
    <s v="B2B"/>
    <s v="Credit Card"/>
    <s v="No"/>
    <s v="Nov"/>
    <n v="2023"/>
    <n v="0.5"/>
    <s v="Small"/>
    <s v="Medium Profit"/>
    <x v="32"/>
    <x v="32"/>
  </r>
  <r>
    <s v="ORD-0860"/>
    <d v="2022-08-08T00:00:00"/>
    <x v="3"/>
    <s v="Germany"/>
    <s v="Vikram Nair"/>
    <x v="0"/>
    <s v="Jeans"/>
    <n v="50"/>
    <n v="2500"/>
    <n v="0"/>
    <n v="125000"/>
    <n v="50000"/>
    <n v="75000"/>
    <s v="Enterprise"/>
    <s v="Cash"/>
    <s v="No"/>
    <s v="Aug"/>
    <n v="2022"/>
    <n v="0.6"/>
    <s v="Small"/>
    <s v="High Profit"/>
    <x v="0"/>
    <x v="0"/>
  </r>
  <r>
    <s v="ORD-0861"/>
    <d v="2023-06-21T00:00:00"/>
    <x v="3"/>
    <s v="Germany"/>
    <s v="Aarav Shah"/>
    <x v="1"/>
    <s v="Laptop"/>
    <n v="6"/>
    <n v="75000"/>
    <n v="0"/>
    <n v="450000"/>
    <n v="247500"/>
    <n v="202500"/>
    <s v="Enterprise"/>
    <s v="Wallet"/>
    <s v="No"/>
    <s v="Jun"/>
    <n v="2023"/>
    <n v="0.45"/>
    <s v="Medium"/>
    <s v="Low Profit"/>
    <x v="2"/>
    <x v="2"/>
  </r>
  <r>
    <s v="ORD-0862"/>
    <d v="2023-03-01T00:00:00"/>
    <x v="3"/>
    <s v="Germany"/>
    <s v="Priya Mehta"/>
    <x v="0"/>
    <s v="Jeans"/>
    <n v="31"/>
    <n v="2500"/>
    <n v="15"/>
    <n v="65875"/>
    <n v="26350"/>
    <n v="39525"/>
    <s v="Enterprise"/>
    <s v="UPI"/>
    <s v="No"/>
    <s v="Mar"/>
    <n v="2023"/>
    <n v="0.6"/>
    <s v="Small"/>
    <s v="High Profit"/>
    <x v="22"/>
    <x v="22"/>
  </r>
  <r>
    <s v="ORD-0863"/>
    <d v="2022-07-11T00:00:00"/>
    <x v="1"/>
    <s v="USA"/>
    <s v="Rohan Joshi"/>
    <x v="1"/>
    <s v="Headphones"/>
    <n v="36"/>
    <n v="8000"/>
    <n v="20"/>
    <n v="230400"/>
    <n v="126720"/>
    <n v="103680"/>
    <s v="B2C"/>
    <s v="Credit Card"/>
    <s v="Yes"/>
    <s v="Jul"/>
    <n v="2022"/>
    <n v="0.45"/>
    <s v="Small"/>
    <s v="Low Profit"/>
    <x v="16"/>
    <x v="16"/>
  </r>
  <r>
    <s v="ORD-0864"/>
    <d v="2024-10-27T00:00:00"/>
    <x v="1"/>
    <s v="USA"/>
    <s v="Priya Mehta"/>
    <x v="0"/>
    <s v="Cap"/>
    <n v="45"/>
    <n v="600"/>
    <n v="5"/>
    <n v="25650"/>
    <n v="10260"/>
    <n v="15390"/>
    <s v="Enterprise"/>
    <s v="Cash"/>
    <s v="No"/>
    <s v="Oct"/>
    <n v="2024"/>
    <n v="0.6"/>
    <s v="Small"/>
    <s v="High Profit"/>
    <x v="31"/>
    <x v="31"/>
  </r>
  <r>
    <s v="ORD-0865"/>
    <d v="2023-09-04T00:00:00"/>
    <x v="1"/>
    <s v="USA"/>
    <s v="Neha Sharma"/>
    <x v="0"/>
    <s v="Sneakers"/>
    <n v="6"/>
    <n v="4200"/>
    <n v="20"/>
    <n v="20160"/>
    <n v="8064"/>
    <n v="12096"/>
    <s v="B2B"/>
    <s v="Credit Card"/>
    <s v="No"/>
    <s v="Sep"/>
    <n v="2023"/>
    <n v="0.6"/>
    <s v="Small"/>
    <s v="High Profit"/>
    <x v="7"/>
    <x v="7"/>
  </r>
  <r>
    <s v="ORD-0866"/>
    <d v="2022-08-17T00:00:00"/>
    <x v="0"/>
    <s v="Japan"/>
    <s v="Amit Kumar"/>
    <x v="0"/>
    <s v="Jeans"/>
    <n v="43"/>
    <n v="2500"/>
    <n v="0"/>
    <n v="107500"/>
    <n v="43000"/>
    <n v="64500"/>
    <s v="B2C"/>
    <s v="Credit Card"/>
    <s v="No"/>
    <s v="Aug"/>
    <n v="2022"/>
    <n v="0.6"/>
    <s v="Small"/>
    <s v="High Profit"/>
    <x v="0"/>
    <x v="0"/>
  </r>
  <r>
    <s v="ORD-0867"/>
    <d v="2024-10-26T00:00:00"/>
    <x v="0"/>
    <s v="China"/>
    <s v="Amit Kumar"/>
    <x v="3"/>
    <s v="Dumbbell"/>
    <n v="37"/>
    <n v="3000"/>
    <n v="15"/>
    <n v="94350"/>
    <n v="42457.5"/>
    <n v="51892.5"/>
    <s v="Enterprise"/>
    <s v="Net Banking"/>
    <s v="No"/>
    <s v="Oct"/>
    <n v="2024"/>
    <n v="0.55000000000000004"/>
    <s v="Small"/>
    <s v="Medium Profit"/>
    <x v="31"/>
    <x v="31"/>
  </r>
  <r>
    <s v="ORD-0868"/>
    <d v="2024-11-17T00:00:00"/>
    <x v="2"/>
    <s v="Brazil"/>
    <s v="Aarav Shah"/>
    <x v="0"/>
    <s v="Jacket"/>
    <n v="13"/>
    <n v="3500"/>
    <n v="5"/>
    <n v="43225"/>
    <n v="17290"/>
    <n v="25935"/>
    <s v="B2B"/>
    <s v="UPI"/>
    <s v="No"/>
    <s v="Nov"/>
    <n v="2024"/>
    <n v="0.6"/>
    <s v="Small"/>
    <s v="High Profit"/>
    <x v="18"/>
    <x v="18"/>
  </r>
  <r>
    <s v="ORD-0869"/>
    <d v="2024-12-07T00:00:00"/>
    <x v="0"/>
    <s v="Japan"/>
    <s v="Rahul Gupta"/>
    <x v="3"/>
    <s v="Yoga Mat"/>
    <n v="36"/>
    <n v="1200"/>
    <n v="10"/>
    <n v="38880"/>
    <n v="17496"/>
    <n v="21384"/>
    <s v="B2C"/>
    <s v="UPI"/>
    <s v="No"/>
    <s v="Dec"/>
    <n v="2024"/>
    <n v="0.55000000000000004"/>
    <s v="Small"/>
    <s v="Medium Profit"/>
    <x v="20"/>
    <x v="20"/>
  </r>
  <r>
    <s v="ORD-0870"/>
    <d v="2024-02-15T00:00:00"/>
    <x v="1"/>
    <s v="Canada"/>
    <s v="Rohan Joshi"/>
    <x v="0"/>
    <s v="Cap"/>
    <n v="14"/>
    <n v="600"/>
    <n v="0"/>
    <n v="8400"/>
    <n v="3360"/>
    <n v="5040"/>
    <s v="Enterprise"/>
    <s v="UPI"/>
    <s v="No"/>
    <s v="Feb"/>
    <n v="2024"/>
    <n v="0.6"/>
    <s v="Small"/>
    <s v="High Profit"/>
    <x v="23"/>
    <x v="23"/>
  </r>
  <r>
    <s v="ORD-0871"/>
    <d v="2023-12-19T00:00:00"/>
    <x v="2"/>
    <s v="Argentina"/>
    <s v="Rahul Gupta"/>
    <x v="2"/>
    <s v="Lamp"/>
    <n v="25"/>
    <n v="1500"/>
    <n v="0"/>
    <n v="37500"/>
    <n v="18750"/>
    <n v="18750"/>
    <s v="B2B"/>
    <s v="Credit Card"/>
    <s v="Yes"/>
    <s v="Dec"/>
    <n v="2023"/>
    <n v="0.5"/>
    <s v="Small"/>
    <s v="Medium Profit"/>
    <x v="30"/>
    <x v="30"/>
  </r>
  <r>
    <s v="ORD-0872"/>
    <d v="2023-06-04T00:00:00"/>
    <x v="1"/>
    <s v="Canada"/>
    <s v="Priya Mehta"/>
    <x v="2"/>
    <s v="Blender"/>
    <n v="24"/>
    <n v="5000"/>
    <n v="10"/>
    <n v="108000"/>
    <n v="54000"/>
    <n v="54000"/>
    <s v="B2B"/>
    <s v="UPI"/>
    <s v="No"/>
    <s v="Jun"/>
    <n v="2023"/>
    <n v="0.5"/>
    <s v="Small"/>
    <s v="Medium Profit"/>
    <x v="2"/>
    <x v="2"/>
  </r>
  <r>
    <s v="ORD-0873"/>
    <d v="2023-06-01T00:00:00"/>
    <x v="1"/>
    <s v="Canada"/>
    <s v="Sneha Iyer"/>
    <x v="3"/>
    <s v="Yoga Mat"/>
    <n v="8"/>
    <n v="1200"/>
    <n v="5"/>
    <n v="9120"/>
    <n v="4104"/>
    <n v="5016"/>
    <s v="Enterprise"/>
    <s v="Net Banking"/>
    <s v="Yes"/>
    <s v="Jun"/>
    <n v="2023"/>
    <n v="0.55000000000000004"/>
    <s v="Small"/>
    <s v="Medium Profit"/>
    <x v="2"/>
    <x v="2"/>
  </r>
  <r>
    <s v="ORD-0874"/>
    <d v="2024-08-04T00:00:00"/>
    <x v="0"/>
    <s v="China"/>
    <s v="Neha Sharma"/>
    <x v="2"/>
    <s v="Rug"/>
    <n v="18"/>
    <n v="4000"/>
    <n v="20"/>
    <n v="57600"/>
    <n v="28800"/>
    <n v="28800"/>
    <s v="B2B"/>
    <s v="UPI"/>
    <s v="No"/>
    <s v="Aug"/>
    <n v="2024"/>
    <n v="0.5"/>
    <s v="Small"/>
    <s v="Medium Profit"/>
    <x v="12"/>
    <x v="12"/>
  </r>
  <r>
    <s v="ORD-0875"/>
    <d v="2023-09-25T00:00:00"/>
    <x v="3"/>
    <s v="UK"/>
    <s v="Anjali Singh"/>
    <x v="3"/>
    <s v="Tennis Racket"/>
    <n v="38"/>
    <n v="5500"/>
    <n v="5"/>
    <n v="198550"/>
    <n v="89347.5"/>
    <n v="109202.5"/>
    <s v="B2B"/>
    <s v="Wallet"/>
    <s v="No"/>
    <s v="Sep"/>
    <n v="2023"/>
    <n v="0.55000000000000004"/>
    <s v="Small"/>
    <s v="Medium Profit"/>
    <x v="7"/>
    <x v="7"/>
  </r>
  <r>
    <s v="ORD-0876"/>
    <d v="2022-10-22T00:00:00"/>
    <x v="2"/>
    <s v="Brazil"/>
    <s v="Rohan Joshi"/>
    <x v="2"/>
    <s v="Blender"/>
    <n v="47"/>
    <n v="5000"/>
    <n v="10"/>
    <n v="211500"/>
    <n v="105750"/>
    <n v="105750"/>
    <s v="Enterprise"/>
    <s v="Wallet"/>
    <s v="No"/>
    <s v="Oct"/>
    <n v="2022"/>
    <n v="0.5"/>
    <s v="Small"/>
    <s v="Medium Profit"/>
    <x v="21"/>
    <x v="21"/>
  </r>
  <r>
    <s v="ORD-0877"/>
    <d v="2024-03-23T00:00:00"/>
    <x v="3"/>
    <s v="UK"/>
    <s v="Pooja Patel"/>
    <x v="2"/>
    <s v="Lamp"/>
    <n v="33"/>
    <n v="1500"/>
    <n v="10"/>
    <n v="44550"/>
    <n v="22275"/>
    <n v="22275"/>
    <s v="B2C"/>
    <s v="Wallet"/>
    <s v="No"/>
    <s v="Mar"/>
    <n v="2024"/>
    <n v="0.5"/>
    <s v="Small"/>
    <s v="Medium Profit"/>
    <x v="27"/>
    <x v="27"/>
  </r>
  <r>
    <s v="ORD-0878"/>
    <d v="2023-03-10T00:00:00"/>
    <x v="1"/>
    <s v="Canada"/>
    <s v="Rohan Joshi"/>
    <x v="2"/>
    <s v="Blender"/>
    <n v="41"/>
    <n v="5000"/>
    <n v="0"/>
    <n v="205000"/>
    <n v="102500"/>
    <n v="102500"/>
    <s v="Enterprise"/>
    <s v="UPI"/>
    <s v="No"/>
    <s v="Mar"/>
    <n v="2023"/>
    <n v="0.5"/>
    <s v="Small"/>
    <s v="Medium Profit"/>
    <x v="22"/>
    <x v="22"/>
  </r>
  <r>
    <s v="ORD-0879"/>
    <d v="2022-06-06T00:00:00"/>
    <x v="1"/>
    <s v="USA"/>
    <s v="Vikram Nair"/>
    <x v="3"/>
    <s v="Yoga Mat"/>
    <n v="28"/>
    <n v="1200"/>
    <n v="20"/>
    <n v="26880"/>
    <n v="12096"/>
    <n v="14784"/>
    <s v="B2C"/>
    <s v="Cash"/>
    <s v="No"/>
    <s v="Jun"/>
    <n v="2022"/>
    <n v="0.55000000000000004"/>
    <s v="Small"/>
    <s v="Medium Profit"/>
    <x v="4"/>
    <x v="4"/>
  </r>
  <r>
    <s v="ORD-0880"/>
    <d v="2024-09-22T00:00:00"/>
    <x v="1"/>
    <s v="Canada"/>
    <s v="Aarav Shah"/>
    <x v="0"/>
    <s v="Jacket"/>
    <n v="46"/>
    <n v="3500"/>
    <n v="15"/>
    <n v="136850"/>
    <n v="54740"/>
    <n v="82110"/>
    <s v="Enterprise"/>
    <s v="Net Banking"/>
    <s v="Yes"/>
    <s v="Sep"/>
    <n v="2024"/>
    <n v="0.6"/>
    <s v="Small"/>
    <s v="High Profit"/>
    <x v="11"/>
    <x v="11"/>
  </r>
  <r>
    <s v="ORD-0881"/>
    <d v="2023-04-24T00:00:00"/>
    <x v="1"/>
    <s v="Canada"/>
    <s v="Rahul Gupta"/>
    <x v="0"/>
    <s v="Sneakers"/>
    <n v="5"/>
    <n v="4200"/>
    <n v="10"/>
    <n v="18900"/>
    <n v="7560"/>
    <n v="11340"/>
    <s v="Enterprise"/>
    <s v="Net Banking"/>
    <s v="No"/>
    <s v="Apr"/>
    <n v="2023"/>
    <n v="0.6"/>
    <s v="Small"/>
    <s v="High Profit"/>
    <x v="26"/>
    <x v="26"/>
  </r>
  <r>
    <s v="ORD-0882"/>
    <d v="2022-04-14T00:00:00"/>
    <x v="3"/>
    <s v="Germany"/>
    <s v="Rahul Gupta"/>
    <x v="2"/>
    <s v="Blender"/>
    <n v="22"/>
    <n v="5000"/>
    <n v="5"/>
    <n v="104500"/>
    <n v="52250"/>
    <n v="52250"/>
    <s v="B2B"/>
    <s v="Net Banking"/>
    <s v="Yes"/>
    <s v="Apr"/>
    <n v="2022"/>
    <n v="0.5"/>
    <s v="Small"/>
    <s v="Medium Profit"/>
    <x v="28"/>
    <x v="28"/>
  </r>
  <r>
    <s v="ORD-0883"/>
    <d v="2023-08-16T00:00:00"/>
    <x v="0"/>
    <s v="Japan"/>
    <s v="Sneha Iyer"/>
    <x v="1"/>
    <s v="Smartwatch"/>
    <n v="26"/>
    <n v="15000"/>
    <n v="5"/>
    <n v="370500"/>
    <n v="203775"/>
    <n v="166725"/>
    <s v="Enterprise"/>
    <s v="Wallet"/>
    <s v="No"/>
    <s v="Aug"/>
    <n v="2023"/>
    <n v="0.45"/>
    <s v="Medium"/>
    <s v="Low Profit"/>
    <x v="19"/>
    <x v="19"/>
  </r>
  <r>
    <s v="ORD-0884"/>
    <d v="2022-03-15T00:00:00"/>
    <x v="3"/>
    <s v="UK"/>
    <s v="Anjali Singh"/>
    <x v="1"/>
    <s v="Smartwatch"/>
    <n v="30"/>
    <n v="15000"/>
    <n v="10"/>
    <n v="405000"/>
    <n v="222750"/>
    <n v="182250"/>
    <s v="B2C"/>
    <s v="Credit Card"/>
    <s v="No"/>
    <s v="Mar"/>
    <n v="2022"/>
    <n v="0.45"/>
    <s v="Medium"/>
    <s v="Low Profit"/>
    <x v="1"/>
    <x v="1"/>
  </r>
  <r>
    <s v="ORD-0885"/>
    <d v="2022-01-12T00:00:00"/>
    <x v="2"/>
    <s v="Argentina"/>
    <s v="Anjali Singh"/>
    <x v="1"/>
    <s v="Laptop"/>
    <n v="28"/>
    <n v="75000"/>
    <n v="15"/>
    <n v="1785000"/>
    <n v="981750"/>
    <n v="803250"/>
    <s v="B2B"/>
    <s v="Wallet"/>
    <s v="No"/>
    <s v="Jan"/>
    <n v="2022"/>
    <n v="0.45"/>
    <s v="Large"/>
    <s v="Low Profit"/>
    <x v="10"/>
    <x v="10"/>
  </r>
  <r>
    <s v="ORD-0886"/>
    <d v="2024-09-05T00:00:00"/>
    <x v="3"/>
    <s v="UK"/>
    <s v="Pooja Patel"/>
    <x v="1"/>
    <s v="Smartphone"/>
    <n v="50"/>
    <n v="45000"/>
    <n v="10"/>
    <n v="2025000"/>
    <n v="1113750"/>
    <n v="911250"/>
    <s v="B2C"/>
    <s v="Cash"/>
    <s v="No"/>
    <s v="Sep"/>
    <n v="2024"/>
    <n v="0.45"/>
    <s v="Large"/>
    <s v="Low Profit"/>
    <x v="11"/>
    <x v="11"/>
  </r>
  <r>
    <s v="ORD-0887"/>
    <d v="2023-12-10T00:00:00"/>
    <x v="0"/>
    <s v="Japan"/>
    <s v="Rahul Gupta"/>
    <x v="2"/>
    <s v="Blender"/>
    <n v="29"/>
    <n v="5000"/>
    <n v="15"/>
    <n v="123250"/>
    <n v="61625"/>
    <n v="61625"/>
    <s v="B2B"/>
    <s v="Net Banking"/>
    <s v="No"/>
    <s v="Dec"/>
    <n v="2023"/>
    <n v="0.5"/>
    <s v="Small"/>
    <s v="Medium Profit"/>
    <x v="30"/>
    <x v="30"/>
  </r>
  <r>
    <s v="ORD-0888"/>
    <d v="2024-04-01T00:00:00"/>
    <x v="0"/>
    <s v="China"/>
    <s v="Sneha Iyer"/>
    <x v="1"/>
    <s v="Smartphone"/>
    <n v="19"/>
    <n v="45000"/>
    <n v="0"/>
    <n v="855000"/>
    <n v="470250"/>
    <n v="384750"/>
    <s v="B2C"/>
    <s v="Cash"/>
    <s v="No"/>
    <s v="Apr"/>
    <n v="2024"/>
    <n v="0.45"/>
    <s v="Large"/>
    <s v="Low Profit"/>
    <x v="8"/>
    <x v="8"/>
  </r>
  <r>
    <s v="ORD-0889"/>
    <d v="2023-10-02T00:00:00"/>
    <x v="2"/>
    <s v="Brazil"/>
    <s v="Pooja Patel"/>
    <x v="2"/>
    <s v="Blender"/>
    <n v="27"/>
    <n v="5000"/>
    <n v="15"/>
    <n v="114750"/>
    <n v="57375"/>
    <n v="57375"/>
    <s v="B2C"/>
    <s v="UPI"/>
    <s v="Yes"/>
    <s v="Oct"/>
    <n v="2023"/>
    <n v="0.5"/>
    <s v="Small"/>
    <s v="Medium Profit"/>
    <x v="14"/>
    <x v="14"/>
  </r>
  <r>
    <s v="ORD-0890"/>
    <d v="2023-09-25T00:00:00"/>
    <x v="3"/>
    <s v="France"/>
    <s v="Rohan Joshi"/>
    <x v="0"/>
    <s v="Jacket"/>
    <n v="7"/>
    <n v="3500"/>
    <n v="0"/>
    <n v="24500"/>
    <n v="9800"/>
    <n v="14700"/>
    <s v="B2B"/>
    <s v="Net Banking"/>
    <s v="No"/>
    <s v="Sep"/>
    <n v="2023"/>
    <n v="0.6"/>
    <s v="Small"/>
    <s v="High Profit"/>
    <x v="7"/>
    <x v="7"/>
  </r>
  <r>
    <s v="ORD-0891"/>
    <d v="2024-09-01T00:00:00"/>
    <x v="2"/>
    <s v="Brazil"/>
    <s v="Anjali Singh"/>
    <x v="3"/>
    <s v="Football"/>
    <n v="48"/>
    <n v="900"/>
    <n v="0"/>
    <n v="43200"/>
    <n v="19440"/>
    <n v="23760"/>
    <s v="B2C"/>
    <s v="Net Banking"/>
    <s v="No"/>
    <s v="Sep"/>
    <n v="2024"/>
    <n v="0.55000000000000004"/>
    <s v="Small"/>
    <s v="Medium Profit"/>
    <x v="11"/>
    <x v="11"/>
  </r>
  <r>
    <s v="ORD-0892"/>
    <d v="2023-07-16T00:00:00"/>
    <x v="1"/>
    <s v="Canada"/>
    <s v="Sneha Iyer"/>
    <x v="0"/>
    <s v="Cap"/>
    <n v="12"/>
    <n v="600"/>
    <n v="5"/>
    <n v="6840"/>
    <n v="2736"/>
    <n v="4104"/>
    <s v="B2B"/>
    <s v="Net Banking"/>
    <s v="No"/>
    <s v="Jul"/>
    <n v="2023"/>
    <n v="0.6"/>
    <s v="Small"/>
    <s v="High Profit"/>
    <x v="5"/>
    <x v="5"/>
  </r>
  <r>
    <s v="ORD-0893"/>
    <d v="2023-04-22T00:00:00"/>
    <x v="3"/>
    <s v="UK"/>
    <s v="Pooja Patel"/>
    <x v="1"/>
    <s v="Smartwatch"/>
    <n v="40"/>
    <n v="15000"/>
    <n v="5"/>
    <n v="570000"/>
    <n v="313500"/>
    <n v="256500"/>
    <s v="Enterprise"/>
    <s v="UPI"/>
    <s v="No"/>
    <s v="Apr"/>
    <n v="2023"/>
    <n v="0.45"/>
    <s v="Medium"/>
    <s v="Low Profit"/>
    <x v="26"/>
    <x v="26"/>
  </r>
  <r>
    <s v="ORD-0894"/>
    <d v="2023-03-04T00:00:00"/>
    <x v="2"/>
    <s v="Argentina"/>
    <s v="Aarav Shah"/>
    <x v="2"/>
    <s v="Air Fryer"/>
    <n v="10"/>
    <n v="8500"/>
    <n v="15"/>
    <n v="72250"/>
    <n v="36125"/>
    <n v="36125"/>
    <s v="Enterprise"/>
    <s v="UPI"/>
    <s v="No"/>
    <s v="Mar"/>
    <n v="2023"/>
    <n v="0.5"/>
    <s v="Small"/>
    <s v="Medium Profit"/>
    <x v="22"/>
    <x v="22"/>
  </r>
  <r>
    <s v="ORD-0895"/>
    <d v="2022-06-28T00:00:00"/>
    <x v="1"/>
    <s v="Canada"/>
    <s v="Rohan Joshi"/>
    <x v="2"/>
    <s v="Air Fryer"/>
    <n v="15"/>
    <n v="8500"/>
    <n v="10"/>
    <n v="114750"/>
    <n v="57375"/>
    <n v="57375"/>
    <s v="B2C"/>
    <s v="Credit Card"/>
    <s v="No"/>
    <s v="Jun"/>
    <n v="2022"/>
    <n v="0.5"/>
    <s v="Small"/>
    <s v="Medium Profit"/>
    <x v="4"/>
    <x v="4"/>
  </r>
  <r>
    <s v="ORD-0896"/>
    <d v="2024-09-14T00:00:00"/>
    <x v="1"/>
    <s v="Canada"/>
    <s v="Priya Mehta"/>
    <x v="2"/>
    <s v="Sofa"/>
    <n v="18"/>
    <n v="25000"/>
    <n v="10"/>
    <n v="405000"/>
    <n v="202500"/>
    <n v="202500"/>
    <s v="B2B"/>
    <s v="Net Banking"/>
    <s v="No"/>
    <s v="Sep"/>
    <n v="2024"/>
    <n v="0.5"/>
    <s v="Medium"/>
    <s v="Medium Profit"/>
    <x v="11"/>
    <x v="11"/>
  </r>
  <r>
    <s v="ORD-0897"/>
    <d v="2022-04-06T00:00:00"/>
    <x v="1"/>
    <s v="USA"/>
    <s v="Aarav Shah"/>
    <x v="2"/>
    <s v="Air Fryer"/>
    <n v="19"/>
    <n v="8500"/>
    <n v="15"/>
    <n v="137275"/>
    <n v="68637.5"/>
    <n v="68637.5"/>
    <s v="Enterprise"/>
    <s v="Credit Card"/>
    <s v="No"/>
    <s v="Apr"/>
    <n v="2022"/>
    <n v="0.5"/>
    <s v="Small"/>
    <s v="Medium Profit"/>
    <x v="28"/>
    <x v="28"/>
  </r>
  <r>
    <s v="ORD-0898"/>
    <d v="2024-04-06T00:00:00"/>
    <x v="0"/>
    <s v="Japan"/>
    <s v="Anjali Singh"/>
    <x v="2"/>
    <s v="Sofa"/>
    <n v="8"/>
    <n v="25000"/>
    <n v="0"/>
    <n v="200000"/>
    <n v="100000"/>
    <n v="100000"/>
    <s v="Enterprise"/>
    <s v="Wallet"/>
    <s v="No"/>
    <s v="Apr"/>
    <n v="2024"/>
    <n v="0.5"/>
    <s v="Small"/>
    <s v="Medium Profit"/>
    <x v="8"/>
    <x v="8"/>
  </r>
  <r>
    <s v="ORD-0899"/>
    <d v="2022-09-11T00:00:00"/>
    <x v="0"/>
    <s v="China"/>
    <s v="Anjali Singh"/>
    <x v="2"/>
    <s v="Air Fryer"/>
    <n v="42"/>
    <n v="8500"/>
    <n v="10"/>
    <n v="321300"/>
    <n v="160650"/>
    <n v="160650"/>
    <s v="Enterprise"/>
    <s v="Cash"/>
    <s v="No"/>
    <s v="Sep"/>
    <n v="2022"/>
    <n v="0.5"/>
    <s v="Medium"/>
    <s v="Medium Profit"/>
    <x v="17"/>
    <x v="17"/>
  </r>
  <r>
    <s v="ORD-0900"/>
    <d v="2022-06-04T00:00:00"/>
    <x v="2"/>
    <s v="Brazil"/>
    <s v="Aarav Shah"/>
    <x v="0"/>
    <s v="Sneakers"/>
    <n v="46"/>
    <n v="4200"/>
    <n v="15"/>
    <n v="164220"/>
    <n v="65688"/>
    <n v="98532"/>
    <s v="B2B"/>
    <s v="Wallet"/>
    <s v="No"/>
    <s v="Jun"/>
    <n v="2022"/>
    <n v="0.6"/>
    <s v="Small"/>
    <s v="High Profit"/>
    <x v="4"/>
    <x v="4"/>
  </r>
  <r>
    <s v="ORD-0901"/>
    <d v="2023-10-10T00:00:00"/>
    <x v="3"/>
    <s v="UK"/>
    <s v="Amit Kumar"/>
    <x v="0"/>
    <s v="Jacket"/>
    <n v="9"/>
    <n v="3500"/>
    <n v="5"/>
    <n v="29925"/>
    <n v="11970"/>
    <n v="17955"/>
    <s v="Enterprise"/>
    <s v="Net Banking"/>
    <s v="No"/>
    <s v="Oct"/>
    <n v="2023"/>
    <n v="0.6"/>
    <s v="Small"/>
    <s v="High Profit"/>
    <x v="14"/>
    <x v="14"/>
  </r>
  <r>
    <s v="ORD-0902"/>
    <d v="2024-12-12T00:00:00"/>
    <x v="0"/>
    <s v="Japan"/>
    <s v="Priya Mehta"/>
    <x v="3"/>
    <s v="Yoga Mat"/>
    <n v="31"/>
    <n v="1200"/>
    <n v="15"/>
    <n v="31620"/>
    <n v="14229"/>
    <n v="17391"/>
    <s v="Enterprise"/>
    <s v="Credit Card"/>
    <s v="Yes"/>
    <s v="Dec"/>
    <n v="2024"/>
    <n v="0.55000000000000004"/>
    <s v="Small"/>
    <s v="Medium Profit"/>
    <x v="20"/>
    <x v="20"/>
  </r>
  <r>
    <s v="ORD-0903"/>
    <d v="2022-11-20T00:00:00"/>
    <x v="0"/>
    <s v="China"/>
    <s v="Rahul Gupta"/>
    <x v="2"/>
    <s v="Blender"/>
    <n v="37"/>
    <n v="5000"/>
    <n v="0"/>
    <n v="185000"/>
    <n v="92500"/>
    <n v="92500"/>
    <s v="Enterprise"/>
    <s v="Cash"/>
    <s v="No"/>
    <s v="Nov"/>
    <n v="2022"/>
    <n v="0.5"/>
    <s v="Small"/>
    <s v="Medium Profit"/>
    <x v="9"/>
    <x v="9"/>
  </r>
  <r>
    <s v="ORD-0904"/>
    <d v="2024-08-22T00:00:00"/>
    <x v="1"/>
    <s v="USA"/>
    <s v="Pooja Patel"/>
    <x v="3"/>
    <s v="Football"/>
    <n v="50"/>
    <n v="900"/>
    <n v="15"/>
    <n v="38250"/>
    <n v="17212.5"/>
    <n v="21037.5"/>
    <s v="Enterprise"/>
    <s v="Net Banking"/>
    <s v="No"/>
    <s v="Aug"/>
    <n v="2024"/>
    <n v="0.55000000000000004"/>
    <s v="Small"/>
    <s v="Medium Profit"/>
    <x v="12"/>
    <x v="12"/>
  </r>
  <r>
    <s v="ORD-0905"/>
    <d v="2023-02-06T00:00:00"/>
    <x v="1"/>
    <s v="USA"/>
    <s v="Neha Sharma"/>
    <x v="0"/>
    <s v="Cap"/>
    <n v="45"/>
    <n v="600"/>
    <n v="0"/>
    <n v="27000"/>
    <n v="10800"/>
    <n v="16200"/>
    <s v="B2C"/>
    <s v="Wallet"/>
    <s v="Yes"/>
    <s v="Feb"/>
    <n v="2023"/>
    <n v="0.6"/>
    <s v="Small"/>
    <s v="High Profit"/>
    <x v="6"/>
    <x v="6"/>
  </r>
  <r>
    <s v="ORD-0906"/>
    <d v="2024-10-09T00:00:00"/>
    <x v="0"/>
    <s v="India"/>
    <s v="Vikram Nair"/>
    <x v="2"/>
    <s v="Rug"/>
    <n v="8"/>
    <n v="4000"/>
    <n v="5"/>
    <n v="30400"/>
    <n v="15200"/>
    <n v="15200"/>
    <s v="B2B"/>
    <s v="Wallet"/>
    <s v="No"/>
    <s v="Oct"/>
    <n v="2024"/>
    <n v="0.5"/>
    <s v="Small"/>
    <s v="Medium Profit"/>
    <x v="31"/>
    <x v="31"/>
  </r>
  <r>
    <s v="ORD-0907"/>
    <d v="2023-04-10T00:00:00"/>
    <x v="1"/>
    <s v="USA"/>
    <s v="Vikram Nair"/>
    <x v="0"/>
    <s v="T-Shirt"/>
    <n v="4"/>
    <n v="800"/>
    <n v="5"/>
    <n v="3040"/>
    <n v="1216"/>
    <n v="1824"/>
    <s v="Enterprise"/>
    <s v="Credit Card"/>
    <s v="No"/>
    <s v="Apr"/>
    <n v="2023"/>
    <n v="0.6"/>
    <s v="Small"/>
    <s v="High Profit"/>
    <x v="26"/>
    <x v="26"/>
  </r>
  <r>
    <s v="ORD-0908"/>
    <d v="2022-01-21T00:00:00"/>
    <x v="0"/>
    <s v="China"/>
    <s v="Neha Sharma"/>
    <x v="2"/>
    <s v="Sofa"/>
    <n v="6"/>
    <n v="25000"/>
    <n v="20"/>
    <n v="120000"/>
    <n v="60000"/>
    <n v="60000"/>
    <s v="Enterprise"/>
    <s v="UPI"/>
    <s v="No"/>
    <s v="Jan"/>
    <n v="2022"/>
    <n v="0.5"/>
    <s v="Small"/>
    <s v="Medium Profit"/>
    <x v="10"/>
    <x v="10"/>
  </r>
  <r>
    <s v="ORD-0909"/>
    <d v="2024-03-20T00:00:00"/>
    <x v="0"/>
    <s v="Japan"/>
    <s v="Aarav Shah"/>
    <x v="1"/>
    <s v="Tablet"/>
    <n v="15"/>
    <n v="35000"/>
    <n v="10"/>
    <n v="472500"/>
    <n v="259875"/>
    <n v="212625"/>
    <s v="B2C"/>
    <s v="Credit Card"/>
    <s v="No"/>
    <s v="Mar"/>
    <n v="2024"/>
    <n v="0.45"/>
    <s v="Medium"/>
    <s v="Low Profit"/>
    <x v="27"/>
    <x v="27"/>
  </r>
  <r>
    <s v="ORD-0910"/>
    <d v="2024-11-22T00:00:00"/>
    <x v="1"/>
    <s v="Canada"/>
    <s v="Vikram Nair"/>
    <x v="0"/>
    <s v="Jeans"/>
    <n v="15"/>
    <n v="2500"/>
    <n v="10"/>
    <n v="33750"/>
    <n v="13500"/>
    <n v="20250"/>
    <s v="B2B"/>
    <s v="Wallet"/>
    <s v="No"/>
    <s v="Nov"/>
    <n v="2024"/>
    <n v="0.6"/>
    <s v="Small"/>
    <s v="High Profit"/>
    <x v="18"/>
    <x v="18"/>
  </r>
  <r>
    <s v="ORD-0911"/>
    <d v="2024-02-05T00:00:00"/>
    <x v="3"/>
    <s v="UK"/>
    <s v="Rohan Joshi"/>
    <x v="2"/>
    <s v="Air Fryer"/>
    <n v="31"/>
    <n v="8500"/>
    <n v="0"/>
    <n v="263500"/>
    <n v="131750"/>
    <n v="131750"/>
    <s v="B2B"/>
    <s v="Cash"/>
    <s v="No"/>
    <s v="Feb"/>
    <n v="2024"/>
    <n v="0.5"/>
    <s v="Small"/>
    <s v="Medium Profit"/>
    <x v="23"/>
    <x v="23"/>
  </r>
  <r>
    <s v="ORD-0912"/>
    <d v="2022-12-27T00:00:00"/>
    <x v="2"/>
    <s v="Brazil"/>
    <s v="Neha Sharma"/>
    <x v="3"/>
    <s v="Dumbbell"/>
    <n v="42"/>
    <n v="3000"/>
    <n v="10"/>
    <n v="113400"/>
    <n v="51030"/>
    <n v="62370"/>
    <s v="B2C"/>
    <s v="UPI"/>
    <s v="No"/>
    <s v="Dec"/>
    <n v="2022"/>
    <n v="0.55000000000000004"/>
    <s v="Small"/>
    <s v="Medium Profit"/>
    <x v="24"/>
    <x v="24"/>
  </r>
  <r>
    <s v="ORD-0913"/>
    <d v="2022-12-27T00:00:00"/>
    <x v="3"/>
    <s v="France"/>
    <s v="Neha Sharma"/>
    <x v="0"/>
    <s v="Jacket"/>
    <n v="10"/>
    <n v="3500"/>
    <n v="0"/>
    <n v="35000"/>
    <n v="14000"/>
    <n v="21000"/>
    <s v="B2B"/>
    <s v="Cash"/>
    <s v="No"/>
    <s v="Dec"/>
    <n v="2022"/>
    <n v="0.6"/>
    <s v="Small"/>
    <s v="High Profit"/>
    <x v="24"/>
    <x v="24"/>
  </r>
  <r>
    <s v="ORD-0914"/>
    <d v="2024-02-04T00:00:00"/>
    <x v="2"/>
    <s v="Brazil"/>
    <s v="Neha Sharma"/>
    <x v="1"/>
    <s v="Headphones"/>
    <n v="25"/>
    <n v="8000"/>
    <n v="0"/>
    <n v="200000"/>
    <n v="110000"/>
    <n v="90000"/>
    <s v="B2B"/>
    <s v="Credit Card"/>
    <s v="No"/>
    <s v="Feb"/>
    <n v="2024"/>
    <n v="0.45"/>
    <s v="Small"/>
    <s v="Low Profit"/>
    <x v="23"/>
    <x v="23"/>
  </r>
  <r>
    <s v="ORD-0915"/>
    <d v="2022-09-08T00:00:00"/>
    <x v="1"/>
    <s v="Canada"/>
    <s v="Rahul Gupta"/>
    <x v="1"/>
    <s v="Laptop"/>
    <n v="7"/>
    <n v="75000"/>
    <n v="20"/>
    <n v="420000"/>
    <n v="231000"/>
    <n v="189000"/>
    <s v="Enterprise"/>
    <s v="Credit Card"/>
    <s v="No"/>
    <s v="Sep"/>
    <n v="2022"/>
    <n v="0.45"/>
    <s v="Medium"/>
    <s v="Low Profit"/>
    <x v="17"/>
    <x v="17"/>
  </r>
  <r>
    <s v="ORD-0916"/>
    <d v="2023-01-05T00:00:00"/>
    <x v="3"/>
    <s v="France"/>
    <s v="Pooja Patel"/>
    <x v="0"/>
    <s v="T-Shirt"/>
    <n v="22"/>
    <n v="800"/>
    <n v="15"/>
    <n v="14960"/>
    <n v="5984"/>
    <n v="8976"/>
    <s v="B2B"/>
    <s v="Credit Card"/>
    <s v="No"/>
    <s v="Jan"/>
    <n v="2023"/>
    <n v="0.6"/>
    <s v="Small"/>
    <s v="High Profit"/>
    <x v="35"/>
    <x v="35"/>
  </r>
  <r>
    <s v="ORD-0917"/>
    <d v="2024-11-23T00:00:00"/>
    <x v="0"/>
    <s v="China"/>
    <s v="Amit Kumar"/>
    <x v="1"/>
    <s v="Laptop"/>
    <n v="3"/>
    <n v="75000"/>
    <n v="0"/>
    <n v="225000"/>
    <n v="123750"/>
    <n v="101250"/>
    <s v="B2C"/>
    <s v="Credit Card"/>
    <s v="Yes"/>
    <s v="Nov"/>
    <n v="2024"/>
    <n v="0.45"/>
    <s v="Small"/>
    <s v="Low Profit"/>
    <x v="18"/>
    <x v="18"/>
  </r>
  <r>
    <s v="ORD-0918"/>
    <d v="2024-09-27T00:00:00"/>
    <x v="3"/>
    <s v="UK"/>
    <s v="Aarav Shah"/>
    <x v="0"/>
    <s v="Jacket"/>
    <n v="15"/>
    <n v="3500"/>
    <n v="15"/>
    <n v="44625"/>
    <n v="17850"/>
    <n v="26775"/>
    <s v="B2B"/>
    <s v="Net Banking"/>
    <s v="No"/>
    <s v="Sep"/>
    <n v="2024"/>
    <n v="0.6"/>
    <s v="Small"/>
    <s v="High Profit"/>
    <x v="11"/>
    <x v="11"/>
  </r>
  <r>
    <s v="ORD-0919"/>
    <d v="2023-07-08T00:00:00"/>
    <x v="3"/>
    <s v="France"/>
    <s v="Priya Mehta"/>
    <x v="3"/>
    <s v="Dumbbell"/>
    <n v="8"/>
    <n v="3000"/>
    <n v="5"/>
    <n v="22800"/>
    <n v="10260"/>
    <n v="12540"/>
    <s v="B2C"/>
    <s v="Net Banking"/>
    <s v="No"/>
    <s v="Jul"/>
    <n v="2023"/>
    <n v="0.55000000000000004"/>
    <s v="Small"/>
    <s v="Medium Profit"/>
    <x v="5"/>
    <x v="5"/>
  </r>
  <r>
    <s v="ORD-0920"/>
    <d v="2022-05-20T00:00:00"/>
    <x v="0"/>
    <s v="India"/>
    <s v="Anjali Singh"/>
    <x v="1"/>
    <s v="Laptop"/>
    <n v="39"/>
    <n v="75000"/>
    <n v="5"/>
    <n v="2778750"/>
    <n v="1528312.5"/>
    <n v="1250437.5"/>
    <s v="B2C"/>
    <s v="Wallet"/>
    <s v="No"/>
    <s v="May"/>
    <n v="2022"/>
    <n v="0.45"/>
    <s v="Large"/>
    <s v="Low Profit"/>
    <x v="13"/>
    <x v="13"/>
  </r>
  <r>
    <s v="ORD-0921"/>
    <d v="2023-10-20T00:00:00"/>
    <x v="2"/>
    <s v="Argentina"/>
    <s v="Rahul Gupta"/>
    <x v="2"/>
    <s v="Rug"/>
    <n v="19"/>
    <n v="4000"/>
    <n v="10"/>
    <n v="68400"/>
    <n v="34200"/>
    <n v="34200"/>
    <s v="B2C"/>
    <s v="Cash"/>
    <s v="No"/>
    <s v="Oct"/>
    <n v="2023"/>
    <n v="0.5"/>
    <s v="Small"/>
    <s v="Medium Profit"/>
    <x v="14"/>
    <x v="14"/>
  </r>
  <r>
    <s v="ORD-0922"/>
    <d v="2023-12-09T00:00:00"/>
    <x v="1"/>
    <s v="USA"/>
    <s v="Rahul Gupta"/>
    <x v="0"/>
    <s v="T-Shirt"/>
    <n v="10"/>
    <n v="800"/>
    <n v="15"/>
    <n v="6800"/>
    <n v="2720"/>
    <n v="4080"/>
    <s v="Enterprise"/>
    <s v="Cash"/>
    <s v="No"/>
    <s v="Dec"/>
    <n v="2023"/>
    <n v="0.6"/>
    <s v="Small"/>
    <s v="High Profit"/>
    <x v="30"/>
    <x v="30"/>
  </r>
  <r>
    <s v="ORD-0923"/>
    <d v="2022-05-04T00:00:00"/>
    <x v="3"/>
    <s v="France"/>
    <s v="Vikram Nair"/>
    <x v="0"/>
    <s v="Jacket"/>
    <n v="21"/>
    <n v="3500"/>
    <n v="5"/>
    <n v="69825"/>
    <n v="27930"/>
    <n v="41895"/>
    <s v="B2C"/>
    <s v="Net Banking"/>
    <s v="No"/>
    <s v="May"/>
    <n v="2022"/>
    <n v="0.6"/>
    <s v="Small"/>
    <s v="High Profit"/>
    <x v="13"/>
    <x v="13"/>
  </r>
  <r>
    <s v="ORD-0924"/>
    <d v="2023-09-16T00:00:00"/>
    <x v="3"/>
    <s v="Germany"/>
    <s v="Rohan Joshi"/>
    <x v="2"/>
    <s v="Air Fryer"/>
    <n v="42"/>
    <n v="8500"/>
    <n v="5"/>
    <n v="339150"/>
    <n v="169575"/>
    <n v="169575"/>
    <s v="B2C"/>
    <s v="Wallet"/>
    <s v="No"/>
    <s v="Sep"/>
    <n v="2023"/>
    <n v="0.5"/>
    <s v="Medium"/>
    <s v="Medium Profit"/>
    <x v="7"/>
    <x v="7"/>
  </r>
  <r>
    <s v="ORD-0925"/>
    <d v="2024-08-18T00:00:00"/>
    <x v="3"/>
    <s v="France"/>
    <s v="Amit Kumar"/>
    <x v="0"/>
    <s v="Jeans"/>
    <n v="6"/>
    <n v="2500"/>
    <n v="20"/>
    <n v="12000"/>
    <n v="4800"/>
    <n v="7200"/>
    <s v="Enterprise"/>
    <s v="Wallet"/>
    <s v="No"/>
    <s v="Aug"/>
    <n v="2024"/>
    <n v="0.6"/>
    <s v="Small"/>
    <s v="High Profit"/>
    <x v="12"/>
    <x v="12"/>
  </r>
  <r>
    <s v="ORD-0926"/>
    <d v="2023-03-23T00:00:00"/>
    <x v="1"/>
    <s v="USA"/>
    <s v="Anjali Singh"/>
    <x v="1"/>
    <s v="Smartphone"/>
    <n v="2"/>
    <n v="45000"/>
    <n v="10"/>
    <n v="81000"/>
    <n v="44550"/>
    <n v="36450"/>
    <s v="B2C"/>
    <s v="UPI"/>
    <s v="Yes"/>
    <s v="Mar"/>
    <n v="2023"/>
    <n v="0.45"/>
    <s v="Small"/>
    <s v="Low Profit"/>
    <x v="22"/>
    <x v="22"/>
  </r>
  <r>
    <s v="ORD-0927"/>
    <d v="2022-08-02T00:00:00"/>
    <x v="0"/>
    <s v="Japan"/>
    <s v="Rahul Gupta"/>
    <x v="2"/>
    <s v="Lamp"/>
    <n v="10"/>
    <n v="1500"/>
    <n v="20"/>
    <n v="12000"/>
    <n v="6000"/>
    <n v="6000"/>
    <s v="B2B"/>
    <s v="UPI"/>
    <s v="No"/>
    <s v="Aug"/>
    <n v="2022"/>
    <n v="0.5"/>
    <s v="Small"/>
    <s v="Medium Profit"/>
    <x v="0"/>
    <x v="0"/>
  </r>
  <r>
    <s v="ORD-0928"/>
    <d v="2023-03-02T00:00:00"/>
    <x v="2"/>
    <s v="Brazil"/>
    <s v="Rahul Gupta"/>
    <x v="3"/>
    <s v="Yoga Mat"/>
    <n v="45"/>
    <n v="1200"/>
    <n v="15"/>
    <n v="45900"/>
    <n v="20655"/>
    <n v="25245"/>
    <s v="B2B"/>
    <s v="Credit Card"/>
    <s v="No"/>
    <s v="Mar"/>
    <n v="2023"/>
    <n v="0.55000000000000004"/>
    <s v="Small"/>
    <s v="Medium Profit"/>
    <x v="22"/>
    <x v="22"/>
  </r>
  <r>
    <s v="ORD-0929"/>
    <d v="2022-05-16T00:00:00"/>
    <x v="2"/>
    <s v="Brazil"/>
    <s v="Rahul Gupta"/>
    <x v="2"/>
    <s v="Air Fryer"/>
    <n v="6"/>
    <n v="8500"/>
    <n v="5"/>
    <n v="48450"/>
    <n v="24225"/>
    <n v="24225"/>
    <s v="B2B"/>
    <s v="Wallet"/>
    <s v="No"/>
    <s v="May"/>
    <n v="2022"/>
    <n v="0.5"/>
    <s v="Small"/>
    <s v="Medium Profit"/>
    <x v="13"/>
    <x v="13"/>
  </r>
  <r>
    <s v="ORD-0930"/>
    <d v="2024-03-05T00:00:00"/>
    <x v="2"/>
    <s v="Argentina"/>
    <s v="Rahul Gupta"/>
    <x v="2"/>
    <s v="Lamp"/>
    <n v="27"/>
    <n v="1500"/>
    <n v="10"/>
    <n v="36450"/>
    <n v="18225"/>
    <n v="18225"/>
    <s v="Enterprise"/>
    <s v="Credit Card"/>
    <s v="No"/>
    <s v="Mar"/>
    <n v="2024"/>
    <n v="0.5"/>
    <s v="Small"/>
    <s v="Medium Profit"/>
    <x v="27"/>
    <x v="27"/>
  </r>
  <r>
    <s v="ORD-0931"/>
    <d v="2023-07-04T00:00:00"/>
    <x v="2"/>
    <s v="Brazil"/>
    <s v="Aarav Shah"/>
    <x v="0"/>
    <s v="Cap"/>
    <n v="11"/>
    <n v="600"/>
    <n v="0"/>
    <n v="6600"/>
    <n v="2640"/>
    <n v="3960"/>
    <s v="B2C"/>
    <s v="Cash"/>
    <s v="No"/>
    <s v="Jul"/>
    <n v="2023"/>
    <n v="0.6"/>
    <s v="Small"/>
    <s v="High Profit"/>
    <x v="5"/>
    <x v="5"/>
  </r>
  <r>
    <s v="ORD-0932"/>
    <d v="2024-12-23T00:00:00"/>
    <x v="0"/>
    <s v="China"/>
    <s v="Amit Kumar"/>
    <x v="2"/>
    <s v="Air Fryer"/>
    <n v="28"/>
    <n v="8500"/>
    <n v="5"/>
    <n v="226100"/>
    <n v="113050"/>
    <n v="113050"/>
    <s v="B2B"/>
    <s v="Wallet"/>
    <s v="No"/>
    <s v="Dec"/>
    <n v="2024"/>
    <n v="0.5"/>
    <s v="Small"/>
    <s v="Medium Profit"/>
    <x v="20"/>
    <x v="20"/>
  </r>
  <r>
    <s v="ORD-0933"/>
    <d v="2024-01-05T00:00:00"/>
    <x v="2"/>
    <s v="Argentina"/>
    <s v="Neha Sharma"/>
    <x v="1"/>
    <s v="Smartphone"/>
    <n v="26"/>
    <n v="45000"/>
    <n v="5"/>
    <n v="1111500"/>
    <n v="611325"/>
    <n v="500175"/>
    <s v="Enterprise"/>
    <s v="Credit Card"/>
    <s v="Yes"/>
    <s v="Jan"/>
    <n v="2024"/>
    <n v="0.45"/>
    <s v="Large"/>
    <s v="Low Profit"/>
    <x v="3"/>
    <x v="3"/>
  </r>
  <r>
    <s v="ORD-0934"/>
    <d v="2024-06-16T00:00:00"/>
    <x v="0"/>
    <s v="China"/>
    <s v="Rohan Joshi"/>
    <x v="3"/>
    <s v="Dumbbell"/>
    <n v="4"/>
    <n v="3000"/>
    <n v="10"/>
    <n v="10800"/>
    <n v="4860"/>
    <n v="5940"/>
    <s v="B2B"/>
    <s v="Net Banking"/>
    <s v="No"/>
    <s v="Jun"/>
    <n v="2024"/>
    <n v="0.55000000000000004"/>
    <s v="Small"/>
    <s v="Medium Profit"/>
    <x v="25"/>
    <x v="25"/>
  </r>
  <r>
    <s v="ORD-0935"/>
    <d v="2022-07-04T00:00:00"/>
    <x v="1"/>
    <s v="Canada"/>
    <s v="Neha Sharma"/>
    <x v="2"/>
    <s v="Blender"/>
    <n v="16"/>
    <n v="5000"/>
    <n v="10"/>
    <n v="72000"/>
    <n v="36000"/>
    <n v="36000"/>
    <s v="Enterprise"/>
    <s v="Credit Card"/>
    <s v="No"/>
    <s v="Jul"/>
    <n v="2022"/>
    <n v="0.5"/>
    <s v="Small"/>
    <s v="Medium Profit"/>
    <x v="16"/>
    <x v="16"/>
  </r>
  <r>
    <s v="ORD-0936"/>
    <d v="2022-05-07T00:00:00"/>
    <x v="1"/>
    <s v="Canada"/>
    <s v="Sneha Iyer"/>
    <x v="0"/>
    <s v="Jacket"/>
    <n v="16"/>
    <n v="3500"/>
    <n v="10"/>
    <n v="50400"/>
    <n v="20160"/>
    <n v="30240"/>
    <s v="Enterprise"/>
    <s v="Wallet"/>
    <s v="No"/>
    <s v="May"/>
    <n v="2022"/>
    <n v="0.6"/>
    <s v="Small"/>
    <s v="High Profit"/>
    <x v="13"/>
    <x v="13"/>
  </r>
  <r>
    <s v="ORD-0937"/>
    <d v="2022-03-19T00:00:00"/>
    <x v="3"/>
    <s v="UK"/>
    <s v="Aarav Shah"/>
    <x v="2"/>
    <s v="Blender"/>
    <n v="20"/>
    <n v="5000"/>
    <n v="0"/>
    <n v="100000"/>
    <n v="50000"/>
    <n v="50000"/>
    <s v="B2C"/>
    <s v="Cash"/>
    <s v="No"/>
    <s v="Mar"/>
    <n v="2022"/>
    <n v="0.5"/>
    <s v="Small"/>
    <s v="Medium Profit"/>
    <x v="1"/>
    <x v="1"/>
  </r>
  <r>
    <s v="ORD-0938"/>
    <d v="2024-09-07T00:00:00"/>
    <x v="0"/>
    <s v="Japan"/>
    <s v="Anjali Singh"/>
    <x v="0"/>
    <s v="Jacket"/>
    <n v="22"/>
    <n v="3500"/>
    <n v="15"/>
    <n v="65450"/>
    <n v="26180"/>
    <n v="39270"/>
    <s v="B2B"/>
    <s v="Wallet"/>
    <s v="Yes"/>
    <s v="Sep"/>
    <n v="2024"/>
    <n v="0.6"/>
    <s v="Small"/>
    <s v="High Profit"/>
    <x v="11"/>
    <x v="11"/>
  </r>
  <r>
    <s v="ORD-0939"/>
    <d v="2022-10-01T00:00:00"/>
    <x v="3"/>
    <s v="Germany"/>
    <s v="Neha Sharma"/>
    <x v="1"/>
    <s v="Tablet"/>
    <n v="11"/>
    <n v="35000"/>
    <n v="5"/>
    <n v="365750"/>
    <n v="201162.5"/>
    <n v="164587.5"/>
    <s v="B2B"/>
    <s v="Credit Card"/>
    <s v="No"/>
    <s v="Oct"/>
    <n v="2022"/>
    <n v="0.45"/>
    <s v="Medium"/>
    <s v="Low Profit"/>
    <x v="21"/>
    <x v="21"/>
  </r>
  <r>
    <s v="ORD-0940"/>
    <d v="2023-03-07T00:00:00"/>
    <x v="2"/>
    <s v="Brazil"/>
    <s v="Amit Kumar"/>
    <x v="2"/>
    <s v="Lamp"/>
    <n v="9"/>
    <n v="1500"/>
    <n v="10"/>
    <n v="12150"/>
    <n v="6075"/>
    <n v="6075"/>
    <s v="B2C"/>
    <s v="Wallet"/>
    <s v="No"/>
    <s v="Mar"/>
    <n v="2023"/>
    <n v="0.5"/>
    <s v="Small"/>
    <s v="Medium Profit"/>
    <x v="22"/>
    <x v="22"/>
  </r>
  <r>
    <s v="ORD-0941"/>
    <d v="2024-04-02T00:00:00"/>
    <x v="3"/>
    <s v="UK"/>
    <s v="Sneha Iyer"/>
    <x v="1"/>
    <s v="Smartphone"/>
    <n v="37"/>
    <n v="45000"/>
    <n v="15"/>
    <n v="1415250"/>
    <n v="778387.5"/>
    <n v="636862.5"/>
    <s v="B2B"/>
    <s v="UPI"/>
    <s v="No"/>
    <s v="Apr"/>
    <n v="2024"/>
    <n v="0.45"/>
    <s v="Large"/>
    <s v="Low Profit"/>
    <x v="8"/>
    <x v="8"/>
  </r>
  <r>
    <s v="ORD-0942"/>
    <d v="2023-08-18T00:00:00"/>
    <x v="1"/>
    <s v="Canada"/>
    <s v="Priya Mehta"/>
    <x v="3"/>
    <s v="Cycle"/>
    <n v="11"/>
    <n v="18000"/>
    <n v="10"/>
    <n v="178200"/>
    <n v="80190"/>
    <n v="98010"/>
    <s v="B2B"/>
    <s v="Net Banking"/>
    <s v="No"/>
    <s v="Aug"/>
    <n v="2023"/>
    <n v="0.55000000000000004"/>
    <s v="Small"/>
    <s v="Medium Profit"/>
    <x v="19"/>
    <x v="19"/>
  </r>
  <r>
    <s v="ORD-0943"/>
    <d v="2023-12-12T00:00:00"/>
    <x v="1"/>
    <s v="USA"/>
    <s v="Rahul Gupta"/>
    <x v="3"/>
    <s v="Cycle"/>
    <n v="31"/>
    <n v="18000"/>
    <n v="10"/>
    <n v="502200"/>
    <n v="225990"/>
    <n v="276210"/>
    <s v="Enterprise"/>
    <s v="UPI"/>
    <s v="No"/>
    <s v="Dec"/>
    <n v="2023"/>
    <n v="0.55000000000000004"/>
    <s v="Medium"/>
    <s v="Medium Profit"/>
    <x v="30"/>
    <x v="30"/>
  </r>
  <r>
    <s v="ORD-0944"/>
    <d v="2022-08-19T00:00:00"/>
    <x v="3"/>
    <s v="UK"/>
    <s v="Anjali Singh"/>
    <x v="2"/>
    <s v="Lamp"/>
    <n v="27"/>
    <n v="1500"/>
    <n v="20"/>
    <n v="32400"/>
    <n v="16200"/>
    <n v="16200"/>
    <s v="B2C"/>
    <s v="Net Banking"/>
    <s v="No"/>
    <s v="Aug"/>
    <n v="2022"/>
    <n v="0.5"/>
    <s v="Small"/>
    <s v="Medium Profit"/>
    <x v="0"/>
    <x v="0"/>
  </r>
  <r>
    <s v="ORD-0945"/>
    <d v="2024-09-28T00:00:00"/>
    <x v="0"/>
    <s v="Japan"/>
    <s v="Priya Mehta"/>
    <x v="3"/>
    <s v="Football"/>
    <n v="29"/>
    <n v="900"/>
    <n v="10"/>
    <n v="23490"/>
    <n v="10570.5"/>
    <n v="12919.5"/>
    <s v="Enterprise"/>
    <s v="Credit Card"/>
    <s v="No"/>
    <s v="Sep"/>
    <n v="2024"/>
    <n v="0.55000000000000004"/>
    <s v="Small"/>
    <s v="Medium Profit"/>
    <x v="11"/>
    <x v="11"/>
  </r>
  <r>
    <s v="ORD-0946"/>
    <d v="2023-04-23T00:00:00"/>
    <x v="1"/>
    <s v="USA"/>
    <s v="Priya Mehta"/>
    <x v="2"/>
    <s v="Lamp"/>
    <n v="11"/>
    <n v="1500"/>
    <n v="20"/>
    <n v="13200"/>
    <n v="6600"/>
    <n v="6600"/>
    <s v="B2B"/>
    <s v="UPI"/>
    <s v="No"/>
    <s v="Apr"/>
    <n v="2023"/>
    <n v="0.5"/>
    <s v="Small"/>
    <s v="Medium Profit"/>
    <x v="26"/>
    <x v="26"/>
  </r>
  <r>
    <s v="ORD-0947"/>
    <d v="2024-01-28T00:00:00"/>
    <x v="3"/>
    <s v="France"/>
    <s v="Priya Mehta"/>
    <x v="2"/>
    <s v="Lamp"/>
    <n v="30"/>
    <n v="1500"/>
    <n v="20"/>
    <n v="36000"/>
    <n v="18000"/>
    <n v="18000"/>
    <s v="B2B"/>
    <s v="Credit Card"/>
    <s v="No"/>
    <s v="Jan"/>
    <n v="2024"/>
    <n v="0.5"/>
    <s v="Small"/>
    <s v="Medium Profit"/>
    <x v="3"/>
    <x v="3"/>
  </r>
  <r>
    <s v="ORD-0948"/>
    <d v="2022-12-24T00:00:00"/>
    <x v="1"/>
    <s v="Canada"/>
    <s v="Rohan Joshi"/>
    <x v="0"/>
    <s v="Jeans"/>
    <n v="22"/>
    <n v="2500"/>
    <n v="0"/>
    <n v="55000"/>
    <n v="22000"/>
    <n v="33000"/>
    <s v="B2C"/>
    <s v="Wallet"/>
    <s v="No"/>
    <s v="Dec"/>
    <n v="2022"/>
    <n v="0.6"/>
    <s v="Small"/>
    <s v="High Profit"/>
    <x v="24"/>
    <x v="24"/>
  </r>
  <r>
    <s v="ORD-0949"/>
    <d v="2024-08-07T00:00:00"/>
    <x v="3"/>
    <s v="UK"/>
    <s v="Vikram Nair"/>
    <x v="3"/>
    <s v="Yoga Mat"/>
    <n v="35"/>
    <n v="1200"/>
    <n v="5"/>
    <n v="39900"/>
    <n v="17955"/>
    <n v="21945"/>
    <s v="B2B"/>
    <s v="UPI"/>
    <s v="No"/>
    <s v="Aug"/>
    <n v="2024"/>
    <n v="0.55000000000000004"/>
    <s v="Small"/>
    <s v="Medium Profit"/>
    <x v="12"/>
    <x v="12"/>
  </r>
  <r>
    <s v="ORD-0950"/>
    <d v="2023-09-19T00:00:00"/>
    <x v="1"/>
    <s v="Canada"/>
    <s v="Aarav Shah"/>
    <x v="2"/>
    <s v="Lamp"/>
    <n v="31"/>
    <n v="1500"/>
    <n v="5"/>
    <n v="44175"/>
    <n v="22087.5"/>
    <n v="22087.5"/>
    <s v="B2B"/>
    <s v="Credit Card"/>
    <s v="No"/>
    <s v="Sep"/>
    <n v="2023"/>
    <n v="0.5"/>
    <s v="Small"/>
    <s v="Medium Profit"/>
    <x v="7"/>
    <x v="7"/>
  </r>
  <r>
    <s v="ORD-0951"/>
    <d v="2024-04-09T00:00:00"/>
    <x v="0"/>
    <s v="China"/>
    <s v="Rahul Gupta"/>
    <x v="1"/>
    <s v="Smartphone"/>
    <n v="5"/>
    <n v="45000"/>
    <n v="10"/>
    <n v="202500"/>
    <n v="111375"/>
    <n v="91125"/>
    <s v="B2B"/>
    <s v="Net Banking"/>
    <s v="No"/>
    <s v="Apr"/>
    <n v="2024"/>
    <n v="0.45"/>
    <s v="Small"/>
    <s v="Low Profit"/>
    <x v="8"/>
    <x v="8"/>
  </r>
  <r>
    <s v="ORD-0952"/>
    <d v="2024-05-28T00:00:00"/>
    <x v="3"/>
    <s v="France"/>
    <s v="Sneha Iyer"/>
    <x v="2"/>
    <s v="Air Fryer"/>
    <n v="4"/>
    <n v="8500"/>
    <n v="0"/>
    <n v="34000"/>
    <n v="17000"/>
    <n v="17000"/>
    <s v="B2C"/>
    <s v="Net Banking"/>
    <s v="No"/>
    <s v="May"/>
    <n v="2024"/>
    <n v="0.5"/>
    <s v="Small"/>
    <s v="Medium Profit"/>
    <x v="34"/>
    <x v="34"/>
  </r>
  <r>
    <s v="ORD-0953"/>
    <d v="2022-11-07T00:00:00"/>
    <x v="0"/>
    <s v="Japan"/>
    <s v="Pooja Patel"/>
    <x v="3"/>
    <s v="Football"/>
    <n v="45"/>
    <n v="900"/>
    <n v="5"/>
    <n v="38475"/>
    <n v="17313.75"/>
    <n v="21161.25"/>
    <s v="B2C"/>
    <s v="Wallet"/>
    <s v="No"/>
    <s v="Nov"/>
    <n v="2022"/>
    <n v="0.55000000000000004"/>
    <s v="Small"/>
    <s v="Medium Profit"/>
    <x v="9"/>
    <x v="9"/>
  </r>
  <r>
    <s v="ORD-0954"/>
    <d v="2024-01-27T00:00:00"/>
    <x v="1"/>
    <s v="USA"/>
    <s v="Priya Mehta"/>
    <x v="0"/>
    <s v="T-Shirt"/>
    <n v="43"/>
    <n v="800"/>
    <n v="10"/>
    <n v="30960"/>
    <n v="12384"/>
    <n v="18576"/>
    <s v="B2B"/>
    <s v="Cash"/>
    <s v="No"/>
    <s v="Jan"/>
    <n v="2024"/>
    <n v="0.6"/>
    <s v="Small"/>
    <s v="High Profit"/>
    <x v="3"/>
    <x v="3"/>
  </r>
  <r>
    <s v="ORD-0955"/>
    <d v="2022-10-16T00:00:00"/>
    <x v="0"/>
    <s v="India"/>
    <s v="Rohan Joshi"/>
    <x v="2"/>
    <s v="Rug"/>
    <n v="47"/>
    <n v="4000"/>
    <n v="0"/>
    <n v="188000"/>
    <n v="94000"/>
    <n v="94000"/>
    <s v="B2B"/>
    <s v="Cash"/>
    <s v="No"/>
    <s v="Oct"/>
    <n v="2022"/>
    <n v="0.5"/>
    <s v="Small"/>
    <s v="Medium Profit"/>
    <x v="21"/>
    <x v="21"/>
  </r>
  <r>
    <s v="ORD-0956"/>
    <d v="2022-07-02T00:00:00"/>
    <x v="2"/>
    <s v="Brazil"/>
    <s v="Rohan Joshi"/>
    <x v="0"/>
    <s v="Cap"/>
    <n v="25"/>
    <n v="600"/>
    <n v="5"/>
    <n v="14250"/>
    <n v="5700"/>
    <n v="8550"/>
    <s v="B2B"/>
    <s v="UPI"/>
    <s v="No"/>
    <s v="Jul"/>
    <n v="2022"/>
    <n v="0.6"/>
    <s v="Small"/>
    <s v="High Profit"/>
    <x v="16"/>
    <x v="16"/>
  </r>
  <r>
    <s v="ORD-0957"/>
    <d v="2022-01-12T00:00:00"/>
    <x v="0"/>
    <s v="India"/>
    <s v="Vikram Nair"/>
    <x v="2"/>
    <s v="Rug"/>
    <n v="8"/>
    <n v="4000"/>
    <n v="15"/>
    <n v="27200"/>
    <n v="13600"/>
    <n v="13600"/>
    <s v="B2C"/>
    <s v="Cash"/>
    <s v="No"/>
    <s v="Jan"/>
    <n v="2022"/>
    <n v="0.5"/>
    <s v="Small"/>
    <s v="Medium Profit"/>
    <x v="10"/>
    <x v="10"/>
  </r>
  <r>
    <s v="ORD-0958"/>
    <d v="2023-11-12T00:00:00"/>
    <x v="3"/>
    <s v="France"/>
    <s v="Anjali Singh"/>
    <x v="1"/>
    <s v="Smartphone"/>
    <n v="30"/>
    <n v="45000"/>
    <n v="15"/>
    <n v="1147500"/>
    <n v="631125"/>
    <n v="516375"/>
    <s v="B2B"/>
    <s v="Wallet"/>
    <s v="No"/>
    <s v="Nov"/>
    <n v="2023"/>
    <n v="0.45"/>
    <s v="Large"/>
    <s v="Low Profit"/>
    <x v="32"/>
    <x v="32"/>
  </r>
  <r>
    <s v="ORD-0959"/>
    <d v="2022-11-18T00:00:00"/>
    <x v="3"/>
    <s v="Germany"/>
    <s v="Vikram Nair"/>
    <x v="3"/>
    <s v="Cycle"/>
    <n v="45"/>
    <n v="18000"/>
    <n v="20"/>
    <n v="648000"/>
    <n v="291600"/>
    <n v="356400"/>
    <s v="B2B"/>
    <s v="Credit Card"/>
    <s v="No"/>
    <s v="Nov"/>
    <n v="2022"/>
    <n v="0.55000000000000004"/>
    <s v="Medium"/>
    <s v="Medium Profit"/>
    <x v="9"/>
    <x v="9"/>
  </r>
  <r>
    <s v="ORD-0960"/>
    <d v="2022-06-21T00:00:00"/>
    <x v="1"/>
    <s v="Canada"/>
    <s v="Priya Mehta"/>
    <x v="3"/>
    <s v="Football"/>
    <n v="35"/>
    <n v="900"/>
    <n v="0"/>
    <n v="31500"/>
    <n v="14175"/>
    <n v="17325"/>
    <s v="Enterprise"/>
    <s v="Wallet"/>
    <s v="No"/>
    <s v="Jun"/>
    <n v="2022"/>
    <n v="0.55000000000000004"/>
    <s v="Small"/>
    <s v="Medium Profit"/>
    <x v="4"/>
    <x v="4"/>
  </r>
  <r>
    <s v="ORD-0961"/>
    <d v="2022-03-22T00:00:00"/>
    <x v="0"/>
    <s v="Japan"/>
    <s v="Sneha Iyer"/>
    <x v="0"/>
    <s v="Jeans"/>
    <n v="36"/>
    <n v="2500"/>
    <n v="15"/>
    <n v="76500"/>
    <n v="30600"/>
    <n v="45900"/>
    <s v="B2B"/>
    <s v="Cash"/>
    <s v="No"/>
    <s v="Mar"/>
    <n v="2022"/>
    <n v="0.6"/>
    <s v="Small"/>
    <s v="High Profit"/>
    <x v="1"/>
    <x v="1"/>
  </r>
  <r>
    <s v="ORD-0962"/>
    <d v="2022-08-12T00:00:00"/>
    <x v="3"/>
    <s v="Germany"/>
    <s v="Rohan Joshi"/>
    <x v="1"/>
    <s v="Tablet"/>
    <n v="15"/>
    <n v="35000"/>
    <n v="20"/>
    <n v="420000"/>
    <n v="231000"/>
    <n v="189000"/>
    <s v="B2C"/>
    <s v="Net Banking"/>
    <s v="No"/>
    <s v="Aug"/>
    <n v="2022"/>
    <n v="0.45"/>
    <s v="Medium"/>
    <s v="Low Profit"/>
    <x v="0"/>
    <x v="0"/>
  </r>
  <r>
    <s v="ORD-0963"/>
    <d v="2023-08-27T00:00:00"/>
    <x v="3"/>
    <s v="France"/>
    <s v="Sneha Iyer"/>
    <x v="1"/>
    <s v="Headphones"/>
    <n v="3"/>
    <n v="8000"/>
    <n v="0"/>
    <n v="24000"/>
    <n v="13200"/>
    <n v="10800"/>
    <s v="B2B"/>
    <s v="Net Banking"/>
    <s v="No"/>
    <s v="Aug"/>
    <n v="2023"/>
    <n v="0.45"/>
    <s v="Small"/>
    <s v="Low Profit"/>
    <x v="19"/>
    <x v="19"/>
  </r>
  <r>
    <s v="ORD-0964"/>
    <d v="2024-10-27T00:00:00"/>
    <x v="0"/>
    <s v="Japan"/>
    <s v="Rahul Gupta"/>
    <x v="3"/>
    <s v="Dumbbell"/>
    <n v="36"/>
    <n v="3000"/>
    <n v="15"/>
    <n v="91800"/>
    <n v="41310"/>
    <n v="50490"/>
    <s v="Enterprise"/>
    <s v="Cash"/>
    <s v="No"/>
    <s v="Oct"/>
    <n v="2024"/>
    <n v="0.55000000000000004"/>
    <s v="Small"/>
    <s v="Medium Profit"/>
    <x v="31"/>
    <x v="31"/>
  </r>
  <r>
    <s v="ORD-0965"/>
    <d v="2022-04-26T00:00:00"/>
    <x v="3"/>
    <s v="UK"/>
    <s v="Rohan Joshi"/>
    <x v="0"/>
    <s v="Jeans"/>
    <n v="21"/>
    <n v="2500"/>
    <n v="20"/>
    <n v="42000"/>
    <n v="16800"/>
    <n v="25200"/>
    <s v="B2C"/>
    <s v="UPI"/>
    <s v="No"/>
    <s v="Apr"/>
    <n v="2022"/>
    <n v="0.6"/>
    <s v="Small"/>
    <s v="High Profit"/>
    <x v="28"/>
    <x v="28"/>
  </r>
  <r>
    <s v="ORD-0966"/>
    <d v="2022-07-23T00:00:00"/>
    <x v="2"/>
    <s v="Brazil"/>
    <s v="Neha Sharma"/>
    <x v="3"/>
    <s v="Cycle"/>
    <n v="36"/>
    <n v="18000"/>
    <n v="5"/>
    <n v="615600"/>
    <n v="277020"/>
    <n v="338580"/>
    <s v="B2B"/>
    <s v="Credit Card"/>
    <s v="No"/>
    <s v="Jul"/>
    <n v="2022"/>
    <n v="0.55000000000000004"/>
    <s v="Medium"/>
    <s v="Medium Profit"/>
    <x v="16"/>
    <x v="16"/>
  </r>
  <r>
    <s v="ORD-0967"/>
    <d v="2022-06-01T00:00:00"/>
    <x v="3"/>
    <s v="UK"/>
    <s v="Neha Sharma"/>
    <x v="0"/>
    <s v="Jacket"/>
    <n v="40"/>
    <n v="3500"/>
    <n v="20"/>
    <n v="112000"/>
    <n v="44800"/>
    <n v="67200"/>
    <s v="Enterprise"/>
    <s v="Cash"/>
    <s v="No"/>
    <s v="Jun"/>
    <n v="2022"/>
    <n v="0.6"/>
    <s v="Small"/>
    <s v="High Profit"/>
    <x v="4"/>
    <x v="4"/>
  </r>
  <r>
    <s v="ORD-0968"/>
    <d v="2022-02-24T00:00:00"/>
    <x v="2"/>
    <s v="Argentina"/>
    <s v="Anjali Singh"/>
    <x v="0"/>
    <s v="Sneakers"/>
    <n v="42"/>
    <n v="4200"/>
    <n v="5"/>
    <n v="167580"/>
    <n v="67032"/>
    <n v="100548"/>
    <s v="B2B"/>
    <s v="Wallet"/>
    <s v="No"/>
    <s v="Feb"/>
    <n v="2022"/>
    <n v="0.6"/>
    <s v="Small"/>
    <s v="High Profit"/>
    <x v="29"/>
    <x v="29"/>
  </r>
  <r>
    <s v="ORD-0969"/>
    <d v="2023-04-24T00:00:00"/>
    <x v="3"/>
    <s v="Germany"/>
    <s v="Aarav Shah"/>
    <x v="2"/>
    <s v="Blender"/>
    <n v="10"/>
    <n v="5000"/>
    <n v="0"/>
    <n v="50000"/>
    <n v="25000"/>
    <n v="25000"/>
    <s v="B2B"/>
    <s v="Credit Card"/>
    <s v="Yes"/>
    <s v="Apr"/>
    <n v="2023"/>
    <n v="0.5"/>
    <s v="Small"/>
    <s v="Medium Profit"/>
    <x v="26"/>
    <x v="26"/>
  </r>
  <r>
    <s v="ORD-0970"/>
    <d v="2024-06-20T00:00:00"/>
    <x v="1"/>
    <s v="USA"/>
    <s v="Rahul Gupta"/>
    <x v="2"/>
    <s v="Sofa"/>
    <n v="12"/>
    <n v="25000"/>
    <n v="0"/>
    <n v="300000"/>
    <n v="150000"/>
    <n v="150000"/>
    <s v="B2C"/>
    <s v="Net Banking"/>
    <s v="No"/>
    <s v="Jun"/>
    <n v="2024"/>
    <n v="0.5"/>
    <s v="Medium"/>
    <s v="Medium Profit"/>
    <x v="25"/>
    <x v="25"/>
  </r>
  <r>
    <s v="ORD-0971"/>
    <d v="2023-02-13T00:00:00"/>
    <x v="1"/>
    <s v="Canada"/>
    <s v="Aarav Shah"/>
    <x v="3"/>
    <s v="Yoga Mat"/>
    <n v="32"/>
    <n v="1200"/>
    <n v="0"/>
    <n v="38400"/>
    <n v="17280"/>
    <n v="21120"/>
    <s v="Enterprise"/>
    <s v="Cash"/>
    <s v="No"/>
    <s v="Feb"/>
    <n v="2023"/>
    <n v="0.55000000000000004"/>
    <s v="Small"/>
    <s v="Medium Profit"/>
    <x v="6"/>
    <x v="6"/>
  </r>
  <r>
    <s v="ORD-0972"/>
    <d v="2024-01-11T00:00:00"/>
    <x v="3"/>
    <s v="UK"/>
    <s v="Rahul Gupta"/>
    <x v="2"/>
    <s v="Blender"/>
    <n v="12"/>
    <n v="5000"/>
    <n v="20"/>
    <n v="48000"/>
    <n v="24000"/>
    <n v="24000"/>
    <s v="B2B"/>
    <s v="Credit Card"/>
    <s v="Yes"/>
    <s v="Jan"/>
    <n v="2024"/>
    <n v="0.5"/>
    <s v="Small"/>
    <s v="Medium Profit"/>
    <x v="3"/>
    <x v="3"/>
  </r>
  <r>
    <s v="ORD-0973"/>
    <d v="2023-10-12T00:00:00"/>
    <x v="3"/>
    <s v="France"/>
    <s v="Neha Sharma"/>
    <x v="1"/>
    <s v="Smartphone"/>
    <n v="34"/>
    <n v="45000"/>
    <n v="10"/>
    <n v="1377000"/>
    <n v="757350"/>
    <n v="619650"/>
    <s v="B2B"/>
    <s v="Wallet"/>
    <s v="No"/>
    <s v="Oct"/>
    <n v="2023"/>
    <n v="0.45"/>
    <s v="Large"/>
    <s v="Low Profit"/>
    <x v="14"/>
    <x v="14"/>
  </r>
  <r>
    <s v="ORD-0974"/>
    <d v="2022-02-18T00:00:00"/>
    <x v="1"/>
    <s v="USA"/>
    <s v="Sneha Iyer"/>
    <x v="2"/>
    <s v="Blender"/>
    <n v="14"/>
    <n v="5000"/>
    <n v="0"/>
    <n v="70000"/>
    <n v="35000"/>
    <n v="35000"/>
    <s v="B2B"/>
    <s v="UPI"/>
    <s v="No"/>
    <s v="Feb"/>
    <n v="2022"/>
    <n v="0.5"/>
    <s v="Small"/>
    <s v="Medium Profit"/>
    <x v="29"/>
    <x v="29"/>
  </r>
  <r>
    <s v="ORD-0975"/>
    <d v="2022-06-24T00:00:00"/>
    <x v="2"/>
    <s v="Argentina"/>
    <s v="Vikram Nair"/>
    <x v="3"/>
    <s v="Dumbbell"/>
    <n v="6"/>
    <n v="3000"/>
    <n v="10"/>
    <n v="16200"/>
    <n v="7290"/>
    <n v="8910"/>
    <s v="Enterprise"/>
    <s v="Net Banking"/>
    <s v="Yes"/>
    <s v="Jun"/>
    <n v="2022"/>
    <n v="0.55000000000000004"/>
    <s v="Small"/>
    <s v="Medium Profit"/>
    <x v="4"/>
    <x v="4"/>
  </r>
  <r>
    <s v="ORD-0976"/>
    <d v="2024-06-24T00:00:00"/>
    <x v="3"/>
    <s v="Germany"/>
    <s v="Amit Kumar"/>
    <x v="3"/>
    <s v="Dumbbell"/>
    <n v="17"/>
    <n v="3000"/>
    <n v="5"/>
    <n v="48450"/>
    <n v="21802.5"/>
    <n v="26647.5"/>
    <s v="Enterprise"/>
    <s v="Net Banking"/>
    <s v="No"/>
    <s v="Jun"/>
    <n v="2024"/>
    <n v="0.55000000000000004"/>
    <s v="Small"/>
    <s v="Medium Profit"/>
    <x v="25"/>
    <x v="25"/>
  </r>
  <r>
    <s v="ORD-0977"/>
    <d v="2024-02-04T00:00:00"/>
    <x v="0"/>
    <s v="India"/>
    <s v="Sneha Iyer"/>
    <x v="3"/>
    <s v="Tennis Racket"/>
    <n v="29"/>
    <n v="5500"/>
    <n v="15"/>
    <n v="135575"/>
    <n v="61008.75"/>
    <n v="74566.25"/>
    <s v="Enterprise"/>
    <s v="Net Banking"/>
    <s v="Yes"/>
    <s v="Feb"/>
    <n v="2024"/>
    <n v="0.55000000000000004"/>
    <s v="Small"/>
    <s v="Medium Profit"/>
    <x v="23"/>
    <x v="23"/>
  </r>
  <r>
    <s v="ORD-0978"/>
    <d v="2023-09-20T00:00:00"/>
    <x v="1"/>
    <s v="Canada"/>
    <s v="Rohan Joshi"/>
    <x v="0"/>
    <s v="Cap"/>
    <n v="23"/>
    <n v="600"/>
    <n v="10"/>
    <n v="12420"/>
    <n v="4968"/>
    <n v="7452"/>
    <s v="B2C"/>
    <s v="UPI"/>
    <s v="No"/>
    <s v="Sep"/>
    <n v="2023"/>
    <n v="0.6"/>
    <s v="Small"/>
    <s v="High Profit"/>
    <x v="7"/>
    <x v="7"/>
  </r>
  <r>
    <s v="ORD-0979"/>
    <d v="2022-03-17T00:00:00"/>
    <x v="0"/>
    <s v="China"/>
    <s v="Rohan Joshi"/>
    <x v="2"/>
    <s v="Rug"/>
    <n v="42"/>
    <n v="4000"/>
    <n v="20"/>
    <n v="134400"/>
    <n v="67200"/>
    <n v="67200"/>
    <s v="B2C"/>
    <s v="Credit Card"/>
    <s v="No"/>
    <s v="Mar"/>
    <n v="2022"/>
    <n v="0.5"/>
    <s v="Small"/>
    <s v="Medium Profit"/>
    <x v="1"/>
    <x v="1"/>
  </r>
  <r>
    <s v="ORD-0980"/>
    <d v="2022-08-06T00:00:00"/>
    <x v="0"/>
    <s v="Japan"/>
    <s v="Rahul Gupta"/>
    <x v="2"/>
    <s v="Air Fryer"/>
    <n v="5"/>
    <n v="8500"/>
    <n v="5"/>
    <n v="40375"/>
    <n v="20187.5"/>
    <n v="20187.5"/>
    <s v="B2C"/>
    <s v="UPI"/>
    <s v="No"/>
    <s v="Aug"/>
    <n v="2022"/>
    <n v="0.5"/>
    <s v="Small"/>
    <s v="Medium Profit"/>
    <x v="0"/>
    <x v="0"/>
  </r>
  <r>
    <s v="ORD-0981"/>
    <d v="2023-09-04T00:00:00"/>
    <x v="1"/>
    <s v="Canada"/>
    <s v="Aarav Shah"/>
    <x v="2"/>
    <s v="Air Fryer"/>
    <n v="30"/>
    <n v="8500"/>
    <n v="20"/>
    <n v="204000"/>
    <n v="102000"/>
    <n v="102000"/>
    <s v="B2B"/>
    <s v="Wallet"/>
    <s v="No"/>
    <s v="Sep"/>
    <n v="2023"/>
    <n v="0.5"/>
    <s v="Small"/>
    <s v="Medium Profit"/>
    <x v="7"/>
    <x v="7"/>
  </r>
  <r>
    <s v="ORD-0982"/>
    <d v="2022-05-13T00:00:00"/>
    <x v="0"/>
    <s v="China"/>
    <s v="Sneha Iyer"/>
    <x v="0"/>
    <s v="Jacket"/>
    <n v="36"/>
    <n v="3500"/>
    <n v="10"/>
    <n v="113400"/>
    <n v="45360"/>
    <n v="68040"/>
    <s v="Enterprise"/>
    <s v="Credit Card"/>
    <s v="Yes"/>
    <s v="May"/>
    <n v="2022"/>
    <n v="0.6"/>
    <s v="Small"/>
    <s v="High Profit"/>
    <x v="13"/>
    <x v="13"/>
  </r>
  <r>
    <s v="ORD-0983"/>
    <d v="2024-03-22T00:00:00"/>
    <x v="3"/>
    <s v="Germany"/>
    <s v="Anjali Singh"/>
    <x v="0"/>
    <s v="Sneakers"/>
    <n v="4"/>
    <n v="4200"/>
    <n v="15"/>
    <n v="14280"/>
    <n v="5712"/>
    <n v="8568"/>
    <s v="B2B"/>
    <s v="Net Banking"/>
    <s v="No"/>
    <s v="Mar"/>
    <n v="2024"/>
    <n v="0.6"/>
    <s v="Small"/>
    <s v="High Profit"/>
    <x v="27"/>
    <x v="27"/>
  </r>
  <r>
    <s v="ORD-0984"/>
    <d v="2024-03-04T00:00:00"/>
    <x v="1"/>
    <s v="Canada"/>
    <s v="Rahul Gupta"/>
    <x v="2"/>
    <s v="Rug"/>
    <n v="25"/>
    <n v="4000"/>
    <n v="5"/>
    <n v="95000"/>
    <n v="47500"/>
    <n v="47500"/>
    <s v="B2B"/>
    <s v="Net Banking"/>
    <s v="Yes"/>
    <s v="Mar"/>
    <n v="2024"/>
    <n v="0.5"/>
    <s v="Small"/>
    <s v="Medium Profit"/>
    <x v="27"/>
    <x v="27"/>
  </r>
  <r>
    <s v="ORD-0985"/>
    <d v="2022-02-21T00:00:00"/>
    <x v="1"/>
    <s v="Canada"/>
    <s v="Vikram Nair"/>
    <x v="0"/>
    <s v="Jeans"/>
    <n v="3"/>
    <n v="2500"/>
    <n v="20"/>
    <n v="6000"/>
    <n v="2400"/>
    <n v="3600"/>
    <s v="B2B"/>
    <s v="Net Banking"/>
    <s v="Yes"/>
    <s v="Feb"/>
    <n v="2022"/>
    <n v="0.6"/>
    <s v="Small"/>
    <s v="High Profit"/>
    <x v="29"/>
    <x v="29"/>
  </r>
  <r>
    <s v="ORD-0986"/>
    <d v="2022-02-03T00:00:00"/>
    <x v="3"/>
    <s v="UK"/>
    <s v="Rohan Joshi"/>
    <x v="2"/>
    <s v="Sofa"/>
    <n v="21"/>
    <n v="25000"/>
    <n v="10"/>
    <n v="472500"/>
    <n v="236250"/>
    <n v="236250"/>
    <s v="B2B"/>
    <s v="Wallet"/>
    <s v="No"/>
    <s v="Feb"/>
    <n v="2022"/>
    <n v="0.5"/>
    <s v="Medium"/>
    <s v="Medium Profit"/>
    <x v="29"/>
    <x v="29"/>
  </r>
  <r>
    <s v="ORD-0987"/>
    <d v="2023-09-16T00:00:00"/>
    <x v="1"/>
    <s v="Canada"/>
    <s v="Vikram Nair"/>
    <x v="3"/>
    <s v="Tennis Racket"/>
    <n v="42"/>
    <n v="5500"/>
    <n v="0"/>
    <n v="231000"/>
    <n v="103950"/>
    <n v="127050"/>
    <s v="Enterprise"/>
    <s v="Credit Card"/>
    <s v="No"/>
    <s v="Sep"/>
    <n v="2023"/>
    <n v="0.55000000000000004"/>
    <s v="Small"/>
    <s v="Medium Profit"/>
    <x v="7"/>
    <x v="7"/>
  </r>
  <r>
    <s v="ORD-0988"/>
    <d v="2022-02-08T00:00:00"/>
    <x v="1"/>
    <s v="USA"/>
    <s v="Rahul Gupta"/>
    <x v="1"/>
    <s v="Tablet"/>
    <n v="45"/>
    <n v="35000"/>
    <n v="15"/>
    <n v="1338750"/>
    <n v="736312.5"/>
    <n v="602437.5"/>
    <s v="B2B"/>
    <s v="Credit Card"/>
    <s v="No"/>
    <s v="Feb"/>
    <n v="2022"/>
    <n v="0.45"/>
    <s v="Large"/>
    <s v="Low Profit"/>
    <x v="29"/>
    <x v="29"/>
  </r>
  <r>
    <s v="ORD-0989"/>
    <d v="2023-01-24T00:00:00"/>
    <x v="0"/>
    <s v="China"/>
    <s v="Aarav Shah"/>
    <x v="1"/>
    <s v="Tablet"/>
    <n v="3"/>
    <n v="35000"/>
    <n v="0"/>
    <n v="105000"/>
    <n v="57750"/>
    <n v="47250"/>
    <s v="B2C"/>
    <s v="Credit Card"/>
    <s v="No"/>
    <s v="Jan"/>
    <n v="2023"/>
    <n v="0.45"/>
    <s v="Small"/>
    <s v="Low Profit"/>
    <x v="35"/>
    <x v="35"/>
  </r>
  <r>
    <s v="ORD-0990"/>
    <d v="2023-05-11T00:00:00"/>
    <x v="3"/>
    <s v="Germany"/>
    <s v="Rahul Gupta"/>
    <x v="0"/>
    <s v="Cap"/>
    <n v="30"/>
    <n v="600"/>
    <n v="0"/>
    <n v="18000"/>
    <n v="7200"/>
    <n v="10800"/>
    <s v="B2C"/>
    <s v="UPI"/>
    <s v="No"/>
    <s v="May"/>
    <n v="2023"/>
    <n v="0.6"/>
    <s v="Small"/>
    <s v="High Profit"/>
    <x v="33"/>
    <x v="33"/>
  </r>
  <r>
    <s v="ORD-0991"/>
    <d v="2024-03-21T00:00:00"/>
    <x v="3"/>
    <s v="France"/>
    <s v="Priya Mehta"/>
    <x v="0"/>
    <s v="Cap"/>
    <n v="31"/>
    <n v="600"/>
    <n v="15"/>
    <n v="15810"/>
    <n v="6324"/>
    <n v="9486"/>
    <s v="B2C"/>
    <s v="Cash"/>
    <s v="No"/>
    <s v="Mar"/>
    <n v="2024"/>
    <n v="0.6"/>
    <s v="Small"/>
    <s v="High Profit"/>
    <x v="27"/>
    <x v="27"/>
  </r>
  <r>
    <s v="ORD-0992"/>
    <d v="2023-03-03T00:00:00"/>
    <x v="0"/>
    <s v="Japan"/>
    <s v="Priya Mehta"/>
    <x v="2"/>
    <s v="Rug"/>
    <n v="16"/>
    <n v="4000"/>
    <n v="5"/>
    <n v="60800"/>
    <n v="30400"/>
    <n v="30400"/>
    <s v="B2B"/>
    <s v="Cash"/>
    <s v="No"/>
    <s v="Mar"/>
    <n v="2023"/>
    <n v="0.5"/>
    <s v="Small"/>
    <s v="Medium Profit"/>
    <x v="22"/>
    <x v="22"/>
  </r>
  <r>
    <s v="ORD-0993"/>
    <d v="2022-04-07T00:00:00"/>
    <x v="1"/>
    <s v="USA"/>
    <s v="Pooja Patel"/>
    <x v="3"/>
    <s v="Dumbbell"/>
    <n v="32"/>
    <n v="3000"/>
    <n v="0"/>
    <n v="96000"/>
    <n v="43200"/>
    <n v="52800"/>
    <s v="B2B"/>
    <s v="Wallet"/>
    <s v="No"/>
    <s v="Apr"/>
    <n v="2022"/>
    <n v="0.55000000000000004"/>
    <s v="Small"/>
    <s v="Medium Profit"/>
    <x v="28"/>
    <x v="28"/>
  </r>
  <r>
    <s v="ORD-0994"/>
    <d v="2024-10-17T00:00:00"/>
    <x v="0"/>
    <s v="Japan"/>
    <s v="Pooja Patel"/>
    <x v="0"/>
    <s v="Cap"/>
    <n v="7"/>
    <n v="600"/>
    <n v="5"/>
    <n v="3990"/>
    <n v="1596"/>
    <n v="2394"/>
    <s v="B2C"/>
    <s v="Cash"/>
    <s v="No"/>
    <s v="Oct"/>
    <n v="2024"/>
    <n v="0.6"/>
    <s v="Small"/>
    <s v="High Profit"/>
    <x v="31"/>
    <x v="31"/>
  </r>
  <r>
    <s v="ORD-0995"/>
    <d v="2024-05-28T00:00:00"/>
    <x v="2"/>
    <s v="Argentina"/>
    <s v="Sneha Iyer"/>
    <x v="1"/>
    <s v="Tablet"/>
    <n v="28"/>
    <n v="35000"/>
    <n v="5"/>
    <n v="931000"/>
    <n v="512050"/>
    <n v="418950"/>
    <s v="Enterprise"/>
    <s v="Credit Card"/>
    <s v="No"/>
    <s v="May"/>
    <n v="2024"/>
    <n v="0.45"/>
    <s v="Large"/>
    <s v="Low Profit"/>
    <x v="34"/>
    <x v="34"/>
  </r>
  <r>
    <s v="ORD-0996"/>
    <d v="2022-10-15T00:00:00"/>
    <x v="1"/>
    <s v="USA"/>
    <s v="Sneha Iyer"/>
    <x v="1"/>
    <s v="Headphones"/>
    <n v="12"/>
    <n v="8000"/>
    <n v="10"/>
    <n v="86400"/>
    <n v="47520"/>
    <n v="38880"/>
    <s v="B2C"/>
    <s v="Wallet"/>
    <s v="No"/>
    <s v="Oct"/>
    <n v="2022"/>
    <n v="0.45"/>
    <s v="Small"/>
    <s v="Low Profit"/>
    <x v="21"/>
    <x v="21"/>
  </r>
  <r>
    <s v="ORD-0997"/>
    <d v="2024-05-12T00:00:00"/>
    <x v="0"/>
    <s v="India"/>
    <s v="Amit Kumar"/>
    <x v="1"/>
    <s v="Tablet"/>
    <n v="28"/>
    <n v="35000"/>
    <n v="5"/>
    <n v="931000"/>
    <n v="512050"/>
    <n v="418950"/>
    <s v="B2C"/>
    <s v="Wallet"/>
    <s v="No"/>
    <s v="May"/>
    <n v="2024"/>
    <n v="0.45"/>
    <s v="Large"/>
    <s v="Low Profit"/>
    <x v="34"/>
    <x v="34"/>
  </r>
  <r>
    <s v="ORD-0998"/>
    <d v="2024-04-17T00:00:00"/>
    <x v="0"/>
    <s v="India"/>
    <s v="Pooja Patel"/>
    <x v="2"/>
    <s v="Sofa"/>
    <n v="7"/>
    <n v="25000"/>
    <n v="0"/>
    <n v="175000"/>
    <n v="87500"/>
    <n v="87500"/>
    <s v="Enterprise"/>
    <s v="Cash"/>
    <s v="No"/>
    <s v="Apr"/>
    <n v="2024"/>
    <n v="0.5"/>
    <s v="Small"/>
    <s v="Medium Profit"/>
    <x v="8"/>
    <x v="8"/>
  </r>
  <r>
    <s v="ORD-0999"/>
    <d v="2023-01-10T00:00:00"/>
    <x v="2"/>
    <s v="Argentina"/>
    <s v="Rahul Gupta"/>
    <x v="2"/>
    <s v="Rug"/>
    <n v="39"/>
    <n v="4000"/>
    <n v="15"/>
    <n v="132600"/>
    <n v="66300"/>
    <n v="66300"/>
    <s v="B2C"/>
    <s v="Credit Card"/>
    <s v="Yes"/>
    <s v="Jan"/>
    <n v="2023"/>
    <n v="0.5"/>
    <s v="Small"/>
    <s v="Medium Profit"/>
    <x v="35"/>
    <x v="35"/>
  </r>
  <r>
    <s v="ORD-1000"/>
    <d v="2022-04-21T00:00:00"/>
    <x v="2"/>
    <s v="Brazil"/>
    <s v="Sneha Iyer"/>
    <x v="1"/>
    <s v="Laptop"/>
    <n v="3"/>
    <n v="75000"/>
    <n v="20"/>
    <n v="180000"/>
    <n v="99000"/>
    <n v="81000"/>
    <s v="B2B"/>
    <s v="Credit Card"/>
    <s v="No"/>
    <s v="Apr"/>
    <n v="2022"/>
    <n v="0.45"/>
    <s v="Small"/>
    <s v="Low Profit"/>
    <x v="28"/>
    <x v="28"/>
  </r>
  <r>
    <s v="ORD-1001"/>
    <d v="2024-11-04T00:00:00"/>
    <x v="0"/>
    <s v="India"/>
    <s v="Neha Sharma"/>
    <x v="3"/>
    <s v="Tennis Racket"/>
    <n v="26"/>
    <n v="5500"/>
    <n v="0"/>
    <n v="143000"/>
    <n v="64350"/>
    <n v="78650"/>
    <s v="Enterprise"/>
    <s v="Net Banking"/>
    <s v="No"/>
    <s v="Nov"/>
    <n v="2024"/>
    <n v="0.55000000000000004"/>
    <s v="Small"/>
    <s v="Medium Profit"/>
    <x v="18"/>
    <x v="18"/>
  </r>
  <r>
    <s v="ORD-1002"/>
    <d v="2024-08-07T00:00:00"/>
    <x v="2"/>
    <s v="Brazil"/>
    <s v="Anjali Singh"/>
    <x v="2"/>
    <s v="Rug"/>
    <n v="19"/>
    <n v="4000"/>
    <n v="0"/>
    <n v="76000"/>
    <n v="38000"/>
    <n v="38000"/>
    <s v="B2B"/>
    <s v="Wallet"/>
    <s v="No"/>
    <s v="Aug"/>
    <n v="2024"/>
    <n v="0.5"/>
    <s v="Small"/>
    <s v="Medium Profit"/>
    <x v="12"/>
    <x v="12"/>
  </r>
  <r>
    <s v="ORD-1003"/>
    <d v="2024-07-24T00:00:00"/>
    <x v="0"/>
    <s v="China"/>
    <s v="Sneha Iyer"/>
    <x v="0"/>
    <s v="T-Shirt"/>
    <n v="44"/>
    <n v="800"/>
    <n v="0"/>
    <n v="35200"/>
    <n v="14080"/>
    <n v="21120"/>
    <s v="B2B"/>
    <s v="Net Banking"/>
    <s v="No"/>
    <s v="Jul"/>
    <n v="2024"/>
    <n v="0.6"/>
    <s v="Small"/>
    <s v="High Profit"/>
    <x v="15"/>
    <x v="15"/>
  </r>
  <r>
    <s v="ORD-1004"/>
    <d v="2024-06-05T00:00:00"/>
    <x v="1"/>
    <s v="Canada"/>
    <s v="Rohan Joshi"/>
    <x v="2"/>
    <s v="Blender"/>
    <n v="12"/>
    <n v="5000"/>
    <n v="10"/>
    <n v="54000"/>
    <n v="27000"/>
    <n v="27000"/>
    <s v="B2B"/>
    <s v="Credit Card"/>
    <s v="No"/>
    <s v="Jun"/>
    <n v="2024"/>
    <n v="0.5"/>
    <s v="Small"/>
    <s v="Medium Profit"/>
    <x v="25"/>
    <x v="25"/>
  </r>
  <r>
    <s v="ORD-1005"/>
    <d v="2023-11-16T00:00:00"/>
    <x v="1"/>
    <s v="Canada"/>
    <s v="Sneha Iyer"/>
    <x v="3"/>
    <s v="Yoga Mat"/>
    <n v="3"/>
    <n v="1200"/>
    <n v="0"/>
    <n v="3600"/>
    <n v="1620"/>
    <n v="1980"/>
    <s v="Enterprise"/>
    <s v="Net Banking"/>
    <s v="Yes"/>
    <s v="Nov"/>
    <n v="2023"/>
    <n v="0.55000000000000004"/>
    <s v="Small"/>
    <s v="Medium Profit"/>
    <x v="32"/>
    <x v="32"/>
  </r>
  <r>
    <s v="ORD-1006"/>
    <d v="2023-03-17T00:00:00"/>
    <x v="2"/>
    <s v="Brazil"/>
    <s v="Priya Mehta"/>
    <x v="1"/>
    <s v="Tablet"/>
    <n v="48"/>
    <n v="35000"/>
    <n v="10"/>
    <n v="1512000"/>
    <n v="831600"/>
    <n v="680400"/>
    <s v="B2C"/>
    <s v="Net Banking"/>
    <s v="No"/>
    <s v="Mar"/>
    <n v="2023"/>
    <n v="0.45"/>
    <s v="Large"/>
    <s v="Low Profit"/>
    <x v="22"/>
    <x v="22"/>
  </r>
  <r>
    <s v="ORD-1007"/>
    <d v="2024-11-09T00:00:00"/>
    <x v="3"/>
    <s v="Germany"/>
    <s v="Anjali Singh"/>
    <x v="3"/>
    <s v="Yoga Mat"/>
    <n v="23"/>
    <n v="1200"/>
    <n v="10"/>
    <n v="24840"/>
    <n v="11178"/>
    <n v="13662"/>
    <s v="Enterprise"/>
    <s v="Wallet"/>
    <s v="No"/>
    <s v="Nov"/>
    <n v="2024"/>
    <n v="0.55000000000000004"/>
    <s v="Small"/>
    <s v="Medium Profit"/>
    <x v="18"/>
    <x v="18"/>
  </r>
  <r>
    <s v="ORD-1008"/>
    <d v="2024-07-04T00:00:00"/>
    <x v="0"/>
    <s v="China"/>
    <s v="Amit Kumar"/>
    <x v="1"/>
    <s v="Smartphone"/>
    <n v="27"/>
    <n v="45000"/>
    <n v="5"/>
    <n v="1154250"/>
    <n v="634837.5"/>
    <n v="519412.5"/>
    <s v="B2C"/>
    <s v="Cash"/>
    <s v="No"/>
    <s v="Jul"/>
    <n v="2024"/>
    <n v="0.45"/>
    <s v="Large"/>
    <s v="Low Profit"/>
    <x v="15"/>
    <x v="15"/>
  </r>
  <r>
    <s v="ORD-1009"/>
    <d v="2022-02-08T00:00:00"/>
    <x v="3"/>
    <s v="Germany"/>
    <s v="Sneha Iyer"/>
    <x v="1"/>
    <s v="Smartphone"/>
    <n v="25"/>
    <n v="45000"/>
    <n v="0"/>
    <n v="1125000"/>
    <n v="618750"/>
    <n v="506250"/>
    <s v="Enterprise"/>
    <s v="Wallet"/>
    <s v="No"/>
    <s v="Feb"/>
    <n v="2022"/>
    <n v="0.45"/>
    <s v="Large"/>
    <s v="Low Profit"/>
    <x v="29"/>
    <x v="29"/>
  </r>
  <r>
    <s v="ORD-1010"/>
    <d v="2024-05-17T00:00:00"/>
    <x v="2"/>
    <s v="Argentina"/>
    <s v="Anjali Singh"/>
    <x v="2"/>
    <s v="Lamp"/>
    <n v="38"/>
    <n v="1500"/>
    <n v="15"/>
    <n v="48450"/>
    <n v="24225"/>
    <n v="24225"/>
    <s v="B2C"/>
    <s v="UPI"/>
    <s v="No"/>
    <s v="May"/>
    <n v="2024"/>
    <n v="0.5"/>
    <s v="Small"/>
    <s v="Medium Profit"/>
    <x v="34"/>
    <x v="34"/>
  </r>
  <r>
    <s v="ORD-1011"/>
    <d v="2022-03-19T00:00:00"/>
    <x v="0"/>
    <s v="China"/>
    <s v="Priya Mehta"/>
    <x v="3"/>
    <s v="Tennis Racket"/>
    <n v="37"/>
    <n v="5500"/>
    <n v="10"/>
    <n v="183150"/>
    <n v="82417.5"/>
    <n v="100732.5"/>
    <s v="B2B"/>
    <s v="Credit Card"/>
    <s v="No"/>
    <s v="Mar"/>
    <n v="2022"/>
    <n v="0.55000000000000004"/>
    <s v="Small"/>
    <s v="Medium Profit"/>
    <x v="1"/>
    <x v="1"/>
  </r>
  <r>
    <s v="ORD-1012"/>
    <d v="2024-08-22T00:00:00"/>
    <x v="2"/>
    <s v="Argentina"/>
    <s v="Rahul Gupta"/>
    <x v="2"/>
    <s v="Rug"/>
    <n v="36"/>
    <n v="4000"/>
    <n v="5"/>
    <n v="136800"/>
    <n v="68400"/>
    <n v="68400"/>
    <s v="B2C"/>
    <s v="Net Banking"/>
    <s v="No"/>
    <s v="Aug"/>
    <n v="2024"/>
    <n v="0.5"/>
    <s v="Small"/>
    <s v="Medium Profit"/>
    <x v="12"/>
    <x v="12"/>
  </r>
  <r>
    <s v="ORD-1013"/>
    <d v="2022-05-26T00:00:00"/>
    <x v="0"/>
    <s v="India"/>
    <s v="Pooja Patel"/>
    <x v="1"/>
    <s v="Smartphone"/>
    <n v="19"/>
    <n v="45000"/>
    <n v="20"/>
    <n v="684000"/>
    <n v="376200"/>
    <n v="307800"/>
    <s v="B2B"/>
    <s v="Cash"/>
    <s v="No"/>
    <s v="May"/>
    <n v="2022"/>
    <n v="0.45"/>
    <s v="Medium"/>
    <s v="Low Profit"/>
    <x v="13"/>
    <x v="13"/>
  </r>
  <r>
    <s v="ORD-1014"/>
    <d v="2023-08-01T00:00:00"/>
    <x v="3"/>
    <s v="Germany"/>
    <s v="Aarav Shah"/>
    <x v="1"/>
    <s v="Tablet"/>
    <n v="9"/>
    <n v="35000"/>
    <n v="10"/>
    <n v="283500"/>
    <n v="155925"/>
    <n v="127575"/>
    <s v="Enterprise"/>
    <s v="Wallet"/>
    <s v="No"/>
    <s v="Aug"/>
    <n v="2023"/>
    <n v="0.45"/>
    <s v="Small"/>
    <s v="Low Profit"/>
    <x v="19"/>
    <x v="19"/>
  </r>
  <r>
    <s v="ORD-1015"/>
    <d v="2022-10-03T00:00:00"/>
    <x v="0"/>
    <s v="India"/>
    <s v="Sneha Iyer"/>
    <x v="3"/>
    <s v="Football"/>
    <n v="6"/>
    <n v="900"/>
    <n v="10"/>
    <n v="4860"/>
    <n v="2187"/>
    <n v="2673"/>
    <s v="B2B"/>
    <s v="Cash"/>
    <s v="No"/>
    <s v="Oct"/>
    <n v="2022"/>
    <n v="0.55000000000000004"/>
    <s v="Small"/>
    <s v="Medium Profit"/>
    <x v="21"/>
    <x v="21"/>
  </r>
  <r>
    <s v="ORD-1016"/>
    <d v="2023-11-08T00:00:00"/>
    <x v="3"/>
    <s v="Germany"/>
    <s v="Rohan Joshi"/>
    <x v="1"/>
    <s v="Tablet"/>
    <n v="20"/>
    <n v="35000"/>
    <n v="20"/>
    <n v="560000"/>
    <n v="308000"/>
    <n v="252000"/>
    <s v="B2B"/>
    <s v="Wallet"/>
    <s v="No"/>
    <s v="Nov"/>
    <n v="2023"/>
    <n v="0.45"/>
    <s v="Medium"/>
    <s v="Low Profit"/>
    <x v="32"/>
    <x v="32"/>
  </r>
  <r>
    <s v="ORD-1017"/>
    <d v="2024-04-22T00:00:00"/>
    <x v="0"/>
    <s v="China"/>
    <s v="Rahul Gupta"/>
    <x v="0"/>
    <s v="T-Shirt"/>
    <n v="9"/>
    <n v="800"/>
    <n v="15"/>
    <n v="6120"/>
    <n v="2448"/>
    <n v="3672"/>
    <s v="B2B"/>
    <s v="Net Banking"/>
    <s v="Yes"/>
    <s v="Apr"/>
    <n v="2024"/>
    <n v="0.6"/>
    <s v="Small"/>
    <s v="High Profit"/>
    <x v="8"/>
    <x v="8"/>
  </r>
  <r>
    <s v="ORD-1018"/>
    <d v="2023-08-03T00:00:00"/>
    <x v="0"/>
    <s v="China"/>
    <s v="Pooja Patel"/>
    <x v="0"/>
    <s v="Jeans"/>
    <n v="28"/>
    <n v="2500"/>
    <n v="0"/>
    <n v="70000"/>
    <n v="28000"/>
    <n v="42000"/>
    <s v="Enterprise"/>
    <s v="Cash"/>
    <s v="No"/>
    <s v="Aug"/>
    <n v="2023"/>
    <n v="0.6"/>
    <s v="Small"/>
    <s v="High Profit"/>
    <x v="19"/>
    <x v="19"/>
  </r>
  <r>
    <s v="ORD-1019"/>
    <d v="2023-09-17T00:00:00"/>
    <x v="0"/>
    <s v="Japan"/>
    <s v="Anjali Singh"/>
    <x v="3"/>
    <s v="Tennis Racket"/>
    <n v="27"/>
    <n v="5500"/>
    <n v="15"/>
    <n v="126225"/>
    <n v="56801.25"/>
    <n v="69423.75"/>
    <s v="B2B"/>
    <s v="Wallet"/>
    <s v="No"/>
    <s v="Sep"/>
    <n v="2023"/>
    <n v="0.55000000000000004"/>
    <s v="Small"/>
    <s v="Medium Profit"/>
    <x v="7"/>
    <x v="7"/>
  </r>
  <r>
    <s v="ORD-1020"/>
    <d v="2022-02-25T00:00:00"/>
    <x v="3"/>
    <s v="UK"/>
    <s v="Rahul Gupta"/>
    <x v="2"/>
    <s v="Air Fryer"/>
    <n v="38"/>
    <n v="8500"/>
    <n v="20"/>
    <n v="258400"/>
    <n v="129200"/>
    <n v="129200"/>
    <s v="B2B"/>
    <s v="Wallet"/>
    <s v="No"/>
    <s v="Feb"/>
    <n v="2022"/>
    <n v="0.5"/>
    <s v="Small"/>
    <s v="Medium Profit"/>
    <x v="29"/>
    <x v="29"/>
  </r>
  <r>
    <s v="ORD-1021"/>
    <d v="2024-11-19T00:00:00"/>
    <x v="0"/>
    <s v="India"/>
    <s v="Rohan Joshi"/>
    <x v="0"/>
    <s v="Jeans"/>
    <n v="43"/>
    <n v="2500"/>
    <n v="0"/>
    <n v="107500"/>
    <n v="43000"/>
    <n v="64500"/>
    <s v="Enterprise"/>
    <s v="Cash"/>
    <s v="No"/>
    <s v="Nov"/>
    <n v="2024"/>
    <n v="0.6"/>
    <s v="Small"/>
    <s v="High Profit"/>
    <x v="18"/>
    <x v="18"/>
  </r>
  <r>
    <s v="ORD-1022"/>
    <d v="2022-04-03T00:00:00"/>
    <x v="1"/>
    <s v="Canada"/>
    <s v="Priya Mehta"/>
    <x v="2"/>
    <s v="Rug"/>
    <n v="7"/>
    <n v="4000"/>
    <n v="10"/>
    <n v="25200"/>
    <n v="12600"/>
    <n v="12600"/>
    <s v="B2C"/>
    <s v="Net Banking"/>
    <s v="Yes"/>
    <s v="Apr"/>
    <n v="2022"/>
    <n v="0.5"/>
    <s v="Small"/>
    <s v="Medium Profit"/>
    <x v="28"/>
    <x v="28"/>
  </r>
  <r>
    <s v="ORD-1023"/>
    <d v="2022-04-04T00:00:00"/>
    <x v="1"/>
    <s v="USA"/>
    <s v="Amit Kumar"/>
    <x v="0"/>
    <s v="Cap"/>
    <n v="48"/>
    <n v="600"/>
    <n v="15"/>
    <n v="24480"/>
    <n v="9792"/>
    <n v="14688"/>
    <s v="B2B"/>
    <s v="UPI"/>
    <s v="No"/>
    <s v="Apr"/>
    <n v="2022"/>
    <n v="0.6"/>
    <s v="Small"/>
    <s v="High Profit"/>
    <x v="28"/>
    <x v="28"/>
  </r>
  <r>
    <s v="ORD-1024"/>
    <d v="2023-08-21T00:00:00"/>
    <x v="0"/>
    <s v="China"/>
    <s v="Aarav Shah"/>
    <x v="3"/>
    <s v="Football"/>
    <n v="45"/>
    <n v="900"/>
    <n v="5"/>
    <n v="38475"/>
    <n v="17313.75"/>
    <n v="21161.25"/>
    <s v="B2B"/>
    <s v="Credit Card"/>
    <s v="No"/>
    <s v="Aug"/>
    <n v="2023"/>
    <n v="0.55000000000000004"/>
    <s v="Small"/>
    <s v="Medium Profit"/>
    <x v="19"/>
    <x v="19"/>
  </r>
  <r>
    <s v="ORD-1025"/>
    <d v="2022-10-20T00:00:00"/>
    <x v="1"/>
    <s v="USA"/>
    <s v="Sneha Iyer"/>
    <x v="0"/>
    <s v="Jacket"/>
    <n v="31"/>
    <n v="3500"/>
    <n v="0"/>
    <n v="108500"/>
    <n v="43400"/>
    <n v="65100"/>
    <s v="B2C"/>
    <s v="Cash"/>
    <s v="Yes"/>
    <s v="Oct"/>
    <n v="2022"/>
    <n v="0.6"/>
    <s v="Small"/>
    <s v="High Profit"/>
    <x v="21"/>
    <x v="21"/>
  </r>
  <r>
    <s v="ORD-1026"/>
    <d v="2022-04-04T00:00:00"/>
    <x v="0"/>
    <s v="Japan"/>
    <s v="Pooja Patel"/>
    <x v="0"/>
    <s v="Sneakers"/>
    <n v="35"/>
    <n v="4200"/>
    <n v="10"/>
    <n v="132300"/>
    <n v="52920"/>
    <n v="79380"/>
    <s v="Enterprise"/>
    <s v="Cash"/>
    <s v="Yes"/>
    <s v="Apr"/>
    <n v="2022"/>
    <n v="0.6"/>
    <s v="Small"/>
    <s v="High Profit"/>
    <x v="28"/>
    <x v="28"/>
  </r>
  <r>
    <s v="ORD-1027"/>
    <d v="2022-08-14T00:00:00"/>
    <x v="2"/>
    <s v="Brazil"/>
    <s v="Rahul Gupta"/>
    <x v="0"/>
    <s v="Sneakers"/>
    <n v="11"/>
    <n v="4200"/>
    <n v="20"/>
    <n v="36960"/>
    <n v="14784"/>
    <n v="22176"/>
    <s v="B2B"/>
    <s v="Cash"/>
    <s v="Yes"/>
    <s v="Aug"/>
    <n v="2022"/>
    <n v="0.6"/>
    <s v="Small"/>
    <s v="High Profit"/>
    <x v="0"/>
    <x v="0"/>
  </r>
  <r>
    <s v="ORD-1028"/>
    <d v="2024-07-10T00:00:00"/>
    <x v="0"/>
    <s v="China"/>
    <s v="Priya Mehta"/>
    <x v="3"/>
    <s v="Cycle"/>
    <n v="43"/>
    <n v="18000"/>
    <n v="10"/>
    <n v="696600"/>
    <n v="313470"/>
    <n v="383130"/>
    <s v="B2C"/>
    <s v="Credit Card"/>
    <s v="No"/>
    <s v="Jul"/>
    <n v="2024"/>
    <n v="0.55000000000000004"/>
    <s v="Medium"/>
    <s v="Medium Profit"/>
    <x v="15"/>
    <x v="15"/>
  </r>
  <r>
    <s v="ORD-1029"/>
    <d v="2024-06-14T00:00:00"/>
    <x v="3"/>
    <s v="UK"/>
    <s v="Aarav Shah"/>
    <x v="2"/>
    <s v="Lamp"/>
    <n v="8"/>
    <n v="1500"/>
    <n v="20"/>
    <n v="9600"/>
    <n v="4800"/>
    <n v="4800"/>
    <s v="B2B"/>
    <s v="Wallet"/>
    <s v="No"/>
    <s v="Jun"/>
    <n v="2024"/>
    <n v="0.5"/>
    <s v="Small"/>
    <s v="Medium Profit"/>
    <x v="25"/>
    <x v="25"/>
  </r>
  <r>
    <s v="ORD-1030"/>
    <d v="2023-08-02T00:00:00"/>
    <x v="3"/>
    <s v="UK"/>
    <s v="Anjali Singh"/>
    <x v="0"/>
    <s v="Jeans"/>
    <n v="47"/>
    <n v="2500"/>
    <n v="15"/>
    <n v="99875"/>
    <n v="39950"/>
    <n v="59925"/>
    <s v="B2B"/>
    <s v="UPI"/>
    <s v="No"/>
    <s v="Aug"/>
    <n v="2023"/>
    <n v="0.6"/>
    <s v="Small"/>
    <s v="High Profit"/>
    <x v="19"/>
    <x v="19"/>
  </r>
  <r>
    <s v="ORD-1031"/>
    <d v="2023-11-17T00:00:00"/>
    <x v="2"/>
    <s v="Argentina"/>
    <s v="Amit Kumar"/>
    <x v="3"/>
    <s v="Football"/>
    <n v="5"/>
    <n v="900"/>
    <n v="5"/>
    <n v="4275"/>
    <n v="1923.75"/>
    <n v="2351.25"/>
    <s v="B2C"/>
    <s v="Wallet"/>
    <s v="No"/>
    <s v="Nov"/>
    <n v="2023"/>
    <n v="0.55000000000000004"/>
    <s v="Small"/>
    <s v="Medium Profit"/>
    <x v="32"/>
    <x v="32"/>
  </r>
  <r>
    <s v="ORD-1032"/>
    <d v="2023-10-15T00:00:00"/>
    <x v="2"/>
    <s v="Argentina"/>
    <s v="Vikram Nair"/>
    <x v="3"/>
    <s v="Yoga Mat"/>
    <n v="42"/>
    <n v="1200"/>
    <n v="15"/>
    <n v="42840"/>
    <n v="19278"/>
    <n v="23562"/>
    <s v="B2C"/>
    <s v="Wallet"/>
    <s v="No"/>
    <s v="Oct"/>
    <n v="2023"/>
    <n v="0.55000000000000004"/>
    <s v="Small"/>
    <s v="Medium Profit"/>
    <x v="14"/>
    <x v="14"/>
  </r>
  <r>
    <s v="ORD-1033"/>
    <d v="2022-12-19T00:00:00"/>
    <x v="0"/>
    <s v="India"/>
    <s v="Anjali Singh"/>
    <x v="2"/>
    <s v="Rug"/>
    <n v="40"/>
    <n v="4000"/>
    <n v="15"/>
    <n v="136000"/>
    <n v="68000"/>
    <n v="68000"/>
    <s v="B2B"/>
    <s v="Credit Card"/>
    <s v="No"/>
    <s v="Dec"/>
    <n v="2022"/>
    <n v="0.5"/>
    <s v="Small"/>
    <s v="Medium Profit"/>
    <x v="24"/>
    <x v="24"/>
  </r>
  <r>
    <s v="ORD-1034"/>
    <d v="2022-11-08T00:00:00"/>
    <x v="1"/>
    <s v="USA"/>
    <s v="Pooja Patel"/>
    <x v="3"/>
    <s v="Cycle"/>
    <n v="49"/>
    <n v="18000"/>
    <n v="5"/>
    <n v="837900"/>
    <n v="377055"/>
    <n v="460845"/>
    <s v="B2B"/>
    <s v="UPI"/>
    <s v="No"/>
    <s v="Nov"/>
    <n v="2022"/>
    <n v="0.55000000000000004"/>
    <s v="Large"/>
    <s v="Medium Profit"/>
    <x v="9"/>
    <x v="9"/>
  </r>
  <r>
    <s v="ORD-1035"/>
    <d v="2024-01-25T00:00:00"/>
    <x v="3"/>
    <s v="UK"/>
    <s v="Aarav Shah"/>
    <x v="2"/>
    <s v="Blender"/>
    <n v="3"/>
    <n v="5000"/>
    <n v="0"/>
    <n v="15000"/>
    <n v="7500"/>
    <n v="7500"/>
    <s v="B2C"/>
    <s v="Wallet"/>
    <s v="No"/>
    <s v="Jan"/>
    <n v="2024"/>
    <n v="0.5"/>
    <s v="Small"/>
    <s v="Medium Profit"/>
    <x v="3"/>
    <x v="3"/>
  </r>
  <r>
    <s v="ORD-1036"/>
    <d v="2022-02-06T00:00:00"/>
    <x v="0"/>
    <s v="India"/>
    <s v="Pooja Patel"/>
    <x v="3"/>
    <s v="Dumbbell"/>
    <n v="41"/>
    <n v="3000"/>
    <n v="20"/>
    <n v="98400"/>
    <n v="44280"/>
    <n v="54120"/>
    <s v="B2B"/>
    <s v="UPI"/>
    <s v="Yes"/>
    <s v="Feb"/>
    <n v="2022"/>
    <n v="0.55000000000000004"/>
    <s v="Small"/>
    <s v="Medium Profit"/>
    <x v="29"/>
    <x v="29"/>
  </r>
  <r>
    <s v="ORD-1037"/>
    <d v="2023-05-16T00:00:00"/>
    <x v="3"/>
    <s v="France"/>
    <s v="Vikram Nair"/>
    <x v="0"/>
    <s v="Sneakers"/>
    <n v="48"/>
    <n v="4200"/>
    <n v="5"/>
    <n v="191520"/>
    <n v="76608"/>
    <n v="114912"/>
    <s v="Enterprise"/>
    <s v="UPI"/>
    <s v="No"/>
    <s v="May"/>
    <n v="2023"/>
    <n v="0.6"/>
    <s v="Small"/>
    <s v="High Profit"/>
    <x v="33"/>
    <x v="33"/>
  </r>
  <r>
    <s v="ORD-1038"/>
    <d v="2022-06-19T00:00:00"/>
    <x v="1"/>
    <s v="USA"/>
    <s v="Sneha Iyer"/>
    <x v="1"/>
    <s v="Smartphone"/>
    <n v="1"/>
    <n v="45000"/>
    <n v="10"/>
    <n v="40500"/>
    <n v="22275"/>
    <n v="18225"/>
    <s v="Enterprise"/>
    <s v="Wallet"/>
    <s v="No"/>
    <s v="Jun"/>
    <n v="2022"/>
    <n v="0.45"/>
    <s v="Small"/>
    <s v="Low Profit"/>
    <x v="4"/>
    <x v="4"/>
  </r>
  <r>
    <s v="ORD-1039"/>
    <d v="2022-05-11T00:00:00"/>
    <x v="2"/>
    <s v="Argentina"/>
    <s v="Sneha Iyer"/>
    <x v="0"/>
    <s v="Cap"/>
    <n v="31"/>
    <n v="600"/>
    <n v="20"/>
    <n v="14880"/>
    <n v="5952"/>
    <n v="8928"/>
    <s v="B2C"/>
    <s v="Wallet"/>
    <s v="No"/>
    <s v="May"/>
    <n v="2022"/>
    <n v="0.6"/>
    <s v="Small"/>
    <s v="High Profit"/>
    <x v="13"/>
    <x v="13"/>
  </r>
  <r>
    <s v="ORD-1040"/>
    <d v="2024-12-28T00:00:00"/>
    <x v="2"/>
    <s v="Brazil"/>
    <s v="Pooja Patel"/>
    <x v="3"/>
    <s v="Tennis Racket"/>
    <n v="5"/>
    <n v="5500"/>
    <n v="20"/>
    <n v="22000"/>
    <n v="9900"/>
    <n v="12100"/>
    <s v="B2B"/>
    <s v="Wallet"/>
    <s v="No"/>
    <s v="Dec"/>
    <n v="2024"/>
    <n v="0.55000000000000004"/>
    <s v="Small"/>
    <s v="Medium Profit"/>
    <x v="20"/>
    <x v="20"/>
  </r>
  <r>
    <s v="ORD-1041"/>
    <d v="2023-08-04T00:00:00"/>
    <x v="1"/>
    <s v="Canada"/>
    <s v="Sneha Iyer"/>
    <x v="1"/>
    <s v="Smartwatch"/>
    <n v="35"/>
    <n v="15000"/>
    <n v="10"/>
    <n v="472500"/>
    <n v="259875"/>
    <n v="212625"/>
    <s v="B2B"/>
    <s v="Net Banking"/>
    <s v="No"/>
    <s v="Aug"/>
    <n v="2023"/>
    <n v="0.45"/>
    <s v="Medium"/>
    <s v="Low Profit"/>
    <x v="19"/>
    <x v="19"/>
  </r>
  <r>
    <s v="ORD-1042"/>
    <d v="2023-05-13T00:00:00"/>
    <x v="0"/>
    <s v="India"/>
    <s v="Rahul Gupta"/>
    <x v="2"/>
    <s v="Blender"/>
    <n v="35"/>
    <n v="5000"/>
    <n v="20"/>
    <n v="140000"/>
    <n v="70000"/>
    <n v="70000"/>
    <s v="Enterprise"/>
    <s v="Wallet"/>
    <s v="No"/>
    <s v="May"/>
    <n v="2023"/>
    <n v="0.5"/>
    <s v="Small"/>
    <s v="Medium Profit"/>
    <x v="33"/>
    <x v="33"/>
  </r>
  <r>
    <s v="ORD-1043"/>
    <d v="2024-09-10T00:00:00"/>
    <x v="3"/>
    <s v="France"/>
    <s v="Aarav Shah"/>
    <x v="1"/>
    <s v="Smartwatch"/>
    <n v="31"/>
    <n v="15000"/>
    <n v="10"/>
    <n v="418500"/>
    <n v="230175"/>
    <n v="188325"/>
    <s v="B2B"/>
    <s v="Net Banking"/>
    <s v="No"/>
    <s v="Sep"/>
    <n v="2024"/>
    <n v="0.45"/>
    <s v="Medium"/>
    <s v="Low Profit"/>
    <x v="11"/>
    <x v="11"/>
  </r>
  <r>
    <s v="ORD-1044"/>
    <d v="2024-03-09T00:00:00"/>
    <x v="2"/>
    <s v="Argentina"/>
    <s v="Aarav Shah"/>
    <x v="0"/>
    <s v="Sneakers"/>
    <n v="36"/>
    <n v="4200"/>
    <n v="10"/>
    <n v="136080"/>
    <n v="54432"/>
    <n v="81648"/>
    <s v="B2B"/>
    <s v="Cash"/>
    <s v="No"/>
    <s v="Mar"/>
    <n v="2024"/>
    <n v="0.6"/>
    <s v="Small"/>
    <s v="High Profit"/>
    <x v="27"/>
    <x v="27"/>
  </r>
  <r>
    <s v="ORD-1045"/>
    <d v="2022-05-26T00:00:00"/>
    <x v="1"/>
    <s v="Canada"/>
    <s v="Priya Mehta"/>
    <x v="3"/>
    <s v="Football"/>
    <n v="48"/>
    <n v="900"/>
    <n v="20"/>
    <n v="34560"/>
    <n v="15552"/>
    <n v="19008"/>
    <s v="Enterprise"/>
    <s v="Cash"/>
    <s v="No"/>
    <s v="May"/>
    <n v="2022"/>
    <n v="0.55000000000000004"/>
    <s v="Small"/>
    <s v="Medium Profit"/>
    <x v="13"/>
    <x v="13"/>
  </r>
  <r>
    <s v="ORD-1046"/>
    <d v="2022-09-09T00:00:00"/>
    <x v="1"/>
    <s v="USA"/>
    <s v="Aarav Shah"/>
    <x v="3"/>
    <s v="Football"/>
    <n v="15"/>
    <n v="900"/>
    <n v="10"/>
    <n v="12150"/>
    <n v="5467.5"/>
    <n v="6682.5"/>
    <s v="B2C"/>
    <s v="Net Banking"/>
    <s v="No"/>
    <s v="Sep"/>
    <n v="2022"/>
    <n v="0.55000000000000004"/>
    <s v="Small"/>
    <s v="Medium Profit"/>
    <x v="17"/>
    <x v="17"/>
  </r>
  <r>
    <s v="ORD-1047"/>
    <d v="2023-03-01T00:00:00"/>
    <x v="1"/>
    <s v="USA"/>
    <s v="Sneha Iyer"/>
    <x v="3"/>
    <s v="Yoga Mat"/>
    <n v="36"/>
    <n v="1200"/>
    <n v="15"/>
    <n v="36720"/>
    <n v="16524"/>
    <n v="20196"/>
    <s v="B2C"/>
    <s v="Cash"/>
    <s v="No"/>
    <s v="Mar"/>
    <n v="2023"/>
    <n v="0.55000000000000004"/>
    <s v="Small"/>
    <s v="Medium Profit"/>
    <x v="22"/>
    <x v="22"/>
  </r>
  <r>
    <s v="ORD-1048"/>
    <d v="2022-09-14T00:00:00"/>
    <x v="3"/>
    <s v="France"/>
    <s v="Rahul Gupta"/>
    <x v="1"/>
    <s v="Headphones"/>
    <n v="8"/>
    <n v="8000"/>
    <n v="20"/>
    <n v="51200"/>
    <n v="28160"/>
    <n v="23040"/>
    <s v="B2C"/>
    <s v="UPI"/>
    <s v="No"/>
    <s v="Sep"/>
    <n v="2022"/>
    <n v="0.45"/>
    <s v="Small"/>
    <s v="Low Profit"/>
    <x v="17"/>
    <x v="17"/>
  </r>
  <r>
    <s v="ORD-1049"/>
    <d v="2023-10-14T00:00:00"/>
    <x v="1"/>
    <s v="USA"/>
    <s v="Sneha Iyer"/>
    <x v="1"/>
    <s v="Smartwatch"/>
    <n v="1"/>
    <n v="15000"/>
    <n v="5"/>
    <n v="14250"/>
    <n v="7837.5"/>
    <n v="6412.5"/>
    <s v="Enterprise"/>
    <s v="Wallet"/>
    <s v="No"/>
    <s v="Oct"/>
    <n v="2023"/>
    <n v="0.45"/>
    <s v="Small"/>
    <s v="Low Profit"/>
    <x v="14"/>
    <x v="14"/>
  </r>
  <r>
    <s v="ORD-1050"/>
    <d v="2022-03-26T00:00:00"/>
    <x v="1"/>
    <s v="USA"/>
    <s v="Aarav Shah"/>
    <x v="1"/>
    <s v="Laptop"/>
    <n v="9"/>
    <n v="75000"/>
    <n v="15"/>
    <n v="573750"/>
    <n v="315562.5"/>
    <n v="258187.5"/>
    <s v="B2C"/>
    <s v="Credit Card"/>
    <s v="No"/>
    <s v="Mar"/>
    <n v="2022"/>
    <n v="0.45"/>
    <s v="Medium"/>
    <s v="Low Profit"/>
    <x v="1"/>
    <x v="1"/>
  </r>
  <r>
    <s v="ORD-1051"/>
    <d v="2023-09-12T00:00:00"/>
    <x v="2"/>
    <s v="Argentina"/>
    <s v="Rahul Gupta"/>
    <x v="3"/>
    <s v="Tennis Racket"/>
    <n v="43"/>
    <n v="5500"/>
    <n v="0"/>
    <n v="236500"/>
    <n v="106425"/>
    <n v="130075"/>
    <s v="B2B"/>
    <s v="Net Banking"/>
    <s v="No"/>
    <s v="Sep"/>
    <n v="2023"/>
    <n v="0.55000000000000004"/>
    <s v="Small"/>
    <s v="Medium Profit"/>
    <x v="7"/>
    <x v="7"/>
  </r>
  <r>
    <s v="ORD-1052"/>
    <d v="2024-11-07T00:00:00"/>
    <x v="3"/>
    <s v="France"/>
    <s v="Anjali Singh"/>
    <x v="0"/>
    <s v="Jeans"/>
    <n v="46"/>
    <n v="2500"/>
    <n v="10"/>
    <n v="103500"/>
    <n v="41400"/>
    <n v="62100"/>
    <s v="Enterprise"/>
    <s v="Net Banking"/>
    <s v="No"/>
    <s v="Nov"/>
    <n v="2024"/>
    <n v="0.6"/>
    <s v="Small"/>
    <s v="High Profit"/>
    <x v="18"/>
    <x v="18"/>
  </r>
  <r>
    <s v="ORD-1053"/>
    <d v="2023-04-17T00:00:00"/>
    <x v="0"/>
    <s v="Japan"/>
    <s v="Amit Kumar"/>
    <x v="1"/>
    <s v="Laptop"/>
    <n v="23"/>
    <n v="75000"/>
    <n v="15"/>
    <n v="1466250"/>
    <n v="806437.5"/>
    <n v="659812.5"/>
    <s v="B2C"/>
    <s v="Net Banking"/>
    <s v="Yes"/>
    <s v="Apr"/>
    <n v="2023"/>
    <n v="0.45"/>
    <s v="Large"/>
    <s v="Low Profit"/>
    <x v="26"/>
    <x v="26"/>
  </r>
  <r>
    <s v="ORD-1054"/>
    <d v="2022-06-07T00:00:00"/>
    <x v="2"/>
    <s v="Brazil"/>
    <s v="Vikram Nair"/>
    <x v="0"/>
    <s v="Jacket"/>
    <n v="24"/>
    <n v="3500"/>
    <n v="5"/>
    <n v="79800"/>
    <n v="31920"/>
    <n v="47880"/>
    <s v="B2B"/>
    <s v="Cash"/>
    <s v="No"/>
    <s v="Jun"/>
    <n v="2022"/>
    <n v="0.6"/>
    <s v="Small"/>
    <s v="High Profit"/>
    <x v="4"/>
    <x v="4"/>
  </r>
  <r>
    <s v="ORD-1055"/>
    <d v="2024-06-04T00:00:00"/>
    <x v="1"/>
    <s v="Canada"/>
    <s v="Aarav Shah"/>
    <x v="2"/>
    <s v="Sofa"/>
    <n v="38"/>
    <n v="25000"/>
    <n v="15"/>
    <n v="807500"/>
    <n v="403750"/>
    <n v="403750"/>
    <s v="B2B"/>
    <s v="Credit Card"/>
    <s v="No"/>
    <s v="Jun"/>
    <n v="2024"/>
    <n v="0.5"/>
    <s v="Large"/>
    <s v="Medium Profit"/>
    <x v="25"/>
    <x v="25"/>
  </r>
  <r>
    <s v="ORD-1056"/>
    <d v="2023-06-28T00:00:00"/>
    <x v="3"/>
    <s v="Germany"/>
    <s v="Aarav Shah"/>
    <x v="3"/>
    <s v="Tennis Racket"/>
    <n v="29"/>
    <n v="5500"/>
    <n v="0"/>
    <n v="159500"/>
    <n v="71775"/>
    <n v="87725"/>
    <s v="B2B"/>
    <s v="Cash"/>
    <s v="No"/>
    <s v="Jun"/>
    <n v="2023"/>
    <n v="0.55000000000000004"/>
    <s v="Small"/>
    <s v="Medium Profit"/>
    <x v="2"/>
    <x v="2"/>
  </r>
  <r>
    <s v="ORD-1057"/>
    <d v="2022-12-22T00:00:00"/>
    <x v="3"/>
    <s v="France"/>
    <s v="Aarav Shah"/>
    <x v="2"/>
    <s v="Blender"/>
    <n v="35"/>
    <n v="5000"/>
    <n v="10"/>
    <n v="157500"/>
    <n v="78750"/>
    <n v="78750"/>
    <s v="Enterprise"/>
    <s v="Net Banking"/>
    <s v="No"/>
    <s v="Dec"/>
    <n v="2022"/>
    <n v="0.5"/>
    <s v="Small"/>
    <s v="Medium Profit"/>
    <x v="24"/>
    <x v="24"/>
  </r>
  <r>
    <s v="ORD-1058"/>
    <d v="2023-05-26T00:00:00"/>
    <x v="2"/>
    <s v="Brazil"/>
    <s v="Anjali Singh"/>
    <x v="3"/>
    <s v="Tennis Racket"/>
    <n v="47"/>
    <n v="5500"/>
    <n v="0"/>
    <n v="258500"/>
    <n v="116325"/>
    <n v="142175"/>
    <s v="Enterprise"/>
    <s v="Cash"/>
    <s v="No"/>
    <s v="May"/>
    <n v="2023"/>
    <n v="0.55000000000000004"/>
    <s v="Small"/>
    <s v="Medium Profit"/>
    <x v="33"/>
    <x v="33"/>
  </r>
  <r>
    <s v="ORD-1059"/>
    <d v="2023-07-28T00:00:00"/>
    <x v="3"/>
    <s v="Germany"/>
    <s v="Neha Sharma"/>
    <x v="2"/>
    <s v="Air Fryer"/>
    <n v="25"/>
    <n v="8500"/>
    <n v="15"/>
    <n v="180625"/>
    <n v="90312.5"/>
    <n v="90312.5"/>
    <s v="B2B"/>
    <s v="Credit Card"/>
    <s v="No"/>
    <s v="Jul"/>
    <n v="2023"/>
    <n v="0.5"/>
    <s v="Small"/>
    <s v="Medium Profit"/>
    <x v="5"/>
    <x v="5"/>
  </r>
  <r>
    <s v="ORD-1060"/>
    <d v="2023-06-26T00:00:00"/>
    <x v="0"/>
    <s v="India"/>
    <s v="Sneha Iyer"/>
    <x v="2"/>
    <s v="Sofa"/>
    <n v="37"/>
    <n v="25000"/>
    <n v="15"/>
    <n v="786250"/>
    <n v="393125"/>
    <n v="393125"/>
    <s v="Enterprise"/>
    <s v="Net Banking"/>
    <s v="No"/>
    <s v="Jun"/>
    <n v="2023"/>
    <n v="0.5"/>
    <s v="Large"/>
    <s v="Medium Profit"/>
    <x v="2"/>
    <x v="2"/>
  </r>
  <r>
    <s v="ORD-1061"/>
    <d v="2023-12-09T00:00:00"/>
    <x v="0"/>
    <s v="China"/>
    <s v="Neha Sharma"/>
    <x v="1"/>
    <s v="Laptop"/>
    <n v="20"/>
    <n v="75000"/>
    <n v="20"/>
    <n v="1200000"/>
    <n v="660000"/>
    <n v="540000"/>
    <s v="B2C"/>
    <s v="UPI"/>
    <s v="No"/>
    <s v="Dec"/>
    <n v="2023"/>
    <n v="0.45"/>
    <s v="Large"/>
    <s v="Low Profit"/>
    <x v="30"/>
    <x v="30"/>
  </r>
  <r>
    <s v="ORD-1062"/>
    <d v="2024-05-15T00:00:00"/>
    <x v="1"/>
    <s v="Canada"/>
    <s v="Aarav Shah"/>
    <x v="3"/>
    <s v="Yoga Mat"/>
    <n v="23"/>
    <n v="1200"/>
    <n v="15"/>
    <n v="23460"/>
    <n v="10557"/>
    <n v="12903"/>
    <s v="B2B"/>
    <s v="Cash"/>
    <s v="Yes"/>
    <s v="May"/>
    <n v="2024"/>
    <n v="0.55000000000000004"/>
    <s v="Small"/>
    <s v="Medium Profit"/>
    <x v="34"/>
    <x v="34"/>
  </r>
  <r>
    <s v="ORD-1063"/>
    <d v="2022-04-19T00:00:00"/>
    <x v="1"/>
    <s v="Canada"/>
    <s v="Neha Sharma"/>
    <x v="2"/>
    <s v="Blender"/>
    <n v="29"/>
    <n v="5000"/>
    <n v="5"/>
    <n v="137750"/>
    <n v="68875"/>
    <n v="68875"/>
    <s v="B2C"/>
    <s v="Net Banking"/>
    <s v="No"/>
    <s v="Apr"/>
    <n v="2022"/>
    <n v="0.5"/>
    <s v="Small"/>
    <s v="Medium Profit"/>
    <x v="28"/>
    <x v="28"/>
  </r>
  <r>
    <s v="ORD-1064"/>
    <d v="2024-08-05T00:00:00"/>
    <x v="2"/>
    <s v="Brazil"/>
    <s v="Rahul Gupta"/>
    <x v="1"/>
    <s v="Smartphone"/>
    <n v="8"/>
    <n v="45000"/>
    <n v="0"/>
    <n v="360000"/>
    <n v="198000"/>
    <n v="162000"/>
    <s v="Enterprise"/>
    <s v="Wallet"/>
    <s v="No"/>
    <s v="Aug"/>
    <n v="2024"/>
    <n v="0.45"/>
    <s v="Medium"/>
    <s v="Low Profit"/>
    <x v="12"/>
    <x v="12"/>
  </r>
  <r>
    <s v="ORD-1065"/>
    <d v="2024-05-19T00:00:00"/>
    <x v="0"/>
    <s v="India"/>
    <s v="Amit Kumar"/>
    <x v="0"/>
    <s v="Jacket"/>
    <n v="46"/>
    <n v="3500"/>
    <n v="10"/>
    <n v="144900"/>
    <n v="57960"/>
    <n v="86940"/>
    <s v="B2B"/>
    <s v="Net Banking"/>
    <s v="No"/>
    <s v="May"/>
    <n v="2024"/>
    <n v="0.6"/>
    <s v="Small"/>
    <s v="High Profit"/>
    <x v="34"/>
    <x v="34"/>
  </r>
  <r>
    <s v="ORD-1066"/>
    <d v="2024-11-23T00:00:00"/>
    <x v="1"/>
    <s v="USA"/>
    <s v="Anjali Singh"/>
    <x v="1"/>
    <s v="Laptop"/>
    <n v="33"/>
    <n v="75000"/>
    <n v="15"/>
    <n v="2103750"/>
    <n v="1157062.5"/>
    <n v="946687.5"/>
    <s v="Enterprise"/>
    <s v="Credit Card"/>
    <s v="No"/>
    <s v="Nov"/>
    <n v="2024"/>
    <n v="0.45"/>
    <s v="Large"/>
    <s v="Low Profit"/>
    <x v="18"/>
    <x v="18"/>
  </r>
  <r>
    <s v="ORD-1067"/>
    <d v="2023-04-07T00:00:00"/>
    <x v="0"/>
    <s v="China"/>
    <s v="Anjali Singh"/>
    <x v="3"/>
    <s v="Yoga Mat"/>
    <n v="42"/>
    <n v="1200"/>
    <n v="15"/>
    <n v="42840"/>
    <n v="19278"/>
    <n v="23562"/>
    <s v="B2B"/>
    <s v="Credit Card"/>
    <s v="No"/>
    <s v="Apr"/>
    <n v="2023"/>
    <n v="0.55000000000000004"/>
    <s v="Small"/>
    <s v="Medium Profit"/>
    <x v="26"/>
    <x v="26"/>
  </r>
  <r>
    <s v="ORD-1068"/>
    <d v="2023-09-20T00:00:00"/>
    <x v="0"/>
    <s v="Japan"/>
    <s v="Rohan Joshi"/>
    <x v="2"/>
    <s v="Lamp"/>
    <n v="19"/>
    <n v="1500"/>
    <n v="20"/>
    <n v="22800"/>
    <n v="11400"/>
    <n v="11400"/>
    <s v="B2B"/>
    <s v="Net Banking"/>
    <s v="No"/>
    <s v="Sep"/>
    <n v="2023"/>
    <n v="0.5"/>
    <s v="Small"/>
    <s v="Medium Profit"/>
    <x v="7"/>
    <x v="7"/>
  </r>
  <r>
    <s v="ORD-1069"/>
    <d v="2022-03-10T00:00:00"/>
    <x v="2"/>
    <s v="Brazil"/>
    <s v="Priya Mehta"/>
    <x v="0"/>
    <s v="T-Shirt"/>
    <n v="33"/>
    <n v="800"/>
    <n v="20"/>
    <n v="21120"/>
    <n v="8448"/>
    <n v="12672"/>
    <s v="Enterprise"/>
    <s v="Net Banking"/>
    <s v="Yes"/>
    <s v="Mar"/>
    <n v="2022"/>
    <n v="0.6"/>
    <s v="Small"/>
    <s v="High Profit"/>
    <x v="1"/>
    <x v="1"/>
  </r>
  <r>
    <s v="ORD-1070"/>
    <d v="2023-02-13T00:00:00"/>
    <x v="1"/>
    <s v="USA"/>
    <s v="Rohan Joshi"/>
    <x v="1"/>
    <s v="Laptop"/>
    <n v="15"/>
    <n v="75000"/>
    <n v="20"/>
    <n v="900000"/>
    <n v="495000"/>
    <n v="405000"/>
    <s v="Enterprise"/>
    <s v="Wallet"/>
    <s v="Yes"/>
    <s v="Feb"/>
    <n v="2023"/>
    <n v="0.45"/>
    <s v="Large"/>
    <s v="Low Profit"/>
    <x v="6"/>
    <x v="6"/>
  </r>
  <r>
    <s v="ORD-1071"/>
    <d v="2024-03-18T00:00:00"/>
    <x v="1"/>
    <s v="USA"/>
    <s v="Neha Sharma"/>
    <x v="3"/>
    <s v="Football"/>
    <n v="34"/>
    <n v="900"/>
    <n v="15"/>
    <n v="26010"/>
    <n v="11704.5"/>
    <n v="14305.5"/>
    <s v="B2C"/>
    <s v="UPI"/>
    <s v="No"/>
    <s v="Mar"/>
    <n v="2024"/>
    <n v="0.55000000000000004"/>
    <s v="Small"/>
    <s v="Medium Profit"/>
    <x v="27"/>
    <x v="27"/>
  </r>
  <r>
    <s v="ORD-1072"/>
    <d v="2023-07-08T00:00:00"/>
    <x v="0"/>
    <s v="India"/>
    <s v="Anjali Singh"/>
    <x v="0"/>
    <s v="Jeans"/>
    <n v="21"/>
    <n v="2500"/>
    <n v="0"/>
    <n v="52500"/>
    <n v="21000"/>
    <n v="31500"/>
    <s v="B2C"/>
    <s v="Cash"/>
    <s v="No"/>
    <s v="Jul"/>
    <n v="2023"/>
    <n v="0.6"/>
    <s v="Small"/>
    <s v="High Profit"/>
    <x v="5"/>
    <x v="5"/>
  </r>
  <r>
    <s v="ORD-1073"/>
    <d v="2023-12-03T00:00:00"/>
    <x v="0"/>
    <s v="China"/>
    <s v="Amit Kumar"/>
    <x v="1"/>
    <s v="Tablet"/>
    <n v="42"/>
    <n v="35000"/>
    <n v="15"/>
    <n v="1249500"/>
    <n v="687225"/>
    <n v="562275"/>
    <s v="B2B"/>
    <s v="Cash"/>
    <s v="Yes"/>
    <s v="Dec"/>
    <n v="2023"/>
    <n v="0.45"/>
    <s v="Large"/>
    <s v="Low Profit"/>
    <x v="30"/>
    <x v="30"/>
  </r>
  <r>
    <s v="ORD-1074"/>
    <d v="2024-03-08T00:00:00"/>
    <x v="2"/>
    <s v="Brazil"/>
    <s v="Rohan Joshi"/>
    <x v="0"/>
    <s v="Cap"/>
    <n v="17"/>
    <n v="600"/>
    <n v="10"/>
    <n v="9180"/>
    <n v="3672"/>
    <n v="5508"/>
    <s v="B2C"/>
    <s v="Credit Card"/>
    <s v="No"/>
    <s v="Mar"/>
    <n v="2024"/>
    <n v="0.6"/>
    <s v="Small"/>
    <s v="High Profit"/>
    <x v="27"/>
    <x v="27"/>
  </r>
  <r>
    <s v="ORD-1075"/>
    <d v="2022-06-14T00:00:00"/>
    <x v="3"/>
    <s v="France"/>
    <s v="Rahul Gupta"/>
    <x v="3"/>
    <s v="Dumbbell"/>
    <n v="12"/>
    <n v="3000"/>
    <n v="15"/>
    <n v="30600"/>
    <n v="13770"/>
    <n v="16830"/>
    <s v="B2B"/>
    <s v="Credit Card"/>
    <s v="No"/>
    <s v="Jun"/>
    <n v="2022"/>
    <n v="0.55000000000000004"/>
    <s v="Small"/>
    <s v="Medium Profit"/>
    <x v="4"/>
    <x v="4"/>
  </r>
  <r>
    <s v="ORD-1076"/>
    <d v="2024-03-09T00:00:00"/>
    <x v="3"/>
    <s v="France"/>
    <s v="Priya Mehta"/>
    <x v="0"/>
    <s v="Jacket"/>
    <n v="28"/>
    <n v="3500"/>
    <n v="0"/>
    <n v="98000"/>
    <n v="39200"/>
    <n v="58800"/>
    <s v="B2B"/>
    <s v="UPI"/>
    <s v="No"/>
    <s v="Mar"/>
    <n v="2024"/>
    <n v="0.6"/>
    <s v="Small"/>
    <s v="High Profit"/>
    <x v="27"/>
    <x v="27"/>
  </r>
  <r>
    <s v="ORD-1077"/>
    <d v="2024-09-28T00:00:00"/>
    <x v="3"/>
    <s v="Germany"/>
    <s v="Anjali Singh"/>
    <x v="0"/>
    <s v="Jeans"/>
    <n v="45"/>
    <n v="2500"/>
    <n v="20"/>
    <n v="90000"/>
    <n v="36000"/>
    <n v="54000"/>
    <s v="Enterprise"/>
    <s v="Net Banking"/>
    <s v="No"/>
    <s v="Sep"/>
    <n v="2024"/>
    <n v="0.6"/>
    <s v="Small"/>
    <s v="High Profit"/>
    <x v="11"/>
    <x v="11"/>
  </r>
  <r>
    <s v="ORD-1078"/>
    <d v="2022-08-11T00:00:00"/>
    <x v="0"/>
    <s v="China"/>
    <s v="Neha Sharma"/>
    <x v="1"/>
    <s v="Laptop"/>
    <n v="5"/>
    <n v="75000"/>
    <n v="10"/>
    <n v="337500"/>
    <n v="185625"/>
    <n v="151875"/>
    <s v="B2C"/>
    <s v="Cash"/>
    <s v="No"/>
    <s v="Aug"/>
    <n v="2022"/>
    <n v="0.45"/>
    <s v="Medium"/>
    <s v="Low Profit"/>
    <x v="0"/>
    <x v="0"/>
  </r>
  <r>
    <s v="ORD-1079"/>
    <d v="2024-04-10T00:00:00"/>
    <x v="3"/>
    <s v="France"/>
    <s v="Rahul Gupta"/>
    <x v="0"/>
    <s v="Cap"/>
    <n v="33"/>
    <n v="600"/>
    <n v="0"/>
    <n v="19800"/>
    <n v="7920"/>
    <n v="11880"/>
    <s v="B2B"/>
    <s v="Wallet"/>
    <s v="No"/>
    <s v="Apr"/>
    <n v="2024"/>
    <n v="0.6"/>
    <s v="Small"/>
    <s v="High Profit"/>
    <x v="8"/>
    <x v="8"/>
  </r>
  <r>
    <s v="ORD-1080"/>
    <d v="2023-12-22T00:00:00"/>
    <x v="3"/>
    <s v="Germany"/>
    <s v="Anjali Singh"/>
    <x v="3"/>
    <s v="Dumbbell"/>
    <n v="33"/>
    <n v="3000"/>
    <n v="20"/>
    <n v="79200"/>
    <n v="35640"/>
    <n v="43560"/>
    <s v="B2B"/>
    <s v="UPI"/>
    <s v="No"/>
    <s v="Dec"/>
    <n v="2023"/>
    <n v="0.55000000000000004"/>
    <s v="Small"/>
    <s v="Medium Profit"/>
    <x v="30"/>
    <x v="30"/>
  </r>
  <r>
    <s v="ORD-1081"/>
    <d v="2023-08-16T00:00:00"/>
    <x v="0"/>
    <s v="India"/>
    <s v="Neha Sharma"/>
    <x v="3"/>
    <s v="Cycle"/>
    <n v="21"/>
    <n v="18000"/>
    <n v="15"/>
    <n v="321300"/>
    <n v="144585"/>
    <n v="176715"/>
    <s v="B2B"/>
    <s v="UPI"/>
    <s v="No"/>
    <s v="Aug"/>
    <n v="2023"/>
    <n v="0.55000000000000004"/>
    <s v="Medium"/>
    <s v="Medium Profit"/>
    <x v="19"/>
    <x v="19"/>
  </r>
  <r>
    <s v="ORD-1082"/>
    <d v="2022-03-27T00:00:00"/>
    <x v="2"/>
    <s v="Argentina"/>
    <s v="Amit Kumar"/>
    <x v="2"/>
    <s v="Rug"/>
    <n v="40"/>
    <n v="4000"/>
    <n v="10"/>
    <n v="144000"/>
    <n v="72000"/>
    <n v="72000"/>
    <s v="B2C"/>
    <s v="Net Banking"/>
    <s v="No"/>
    <s v="Mar"/>
    <n v="2022"/>
    <n v="0.5"/>
    <s v="Small"/>
    <s v="Medium Profit"/>
    <x v="1"/>
    <x v="1"/>
  </r>
  <r>
    <s v="ORD-1083"/>
    <d v="2022-11-04T00:00:00"/>
    <x v="0"/>
    <s v="Japan"/>
    <s v="Pooja Patel"/>
    <x v="3"/>
    <s v="Dumbbell"/>
    <n v="11"/>
    <n v="3000"/>
    <n v="10"/>
    <n v="29700"/>
    <n v="13365"/>
    <n v="16335"/>
    <s v="Enterprise"/>
    <s v="Credit Card"/>
    <s v="No"/>
    <s v="Nov"/>
    <n v="2022"/>
    <n v="0.55000000000000004"/>
    <s v="Small"/>
    <s v="Medium Profit"/>
    <x v="9"/>
    <x v="9"/>
  </r>
  <r>
    <s v="ORD-1084"/>
    <d v="2023-03-22T00:00:00"/>
    <x v="0"/>
    <s v="India"/>
    <s v="Priya Mehta"/>
    <x v="0"/>
    <s v="Cap"/>
    <n v="33"/>
    <n v="600"/>
    <n v="5"/>
    <n v="18810"/>
    <n v="7524"/>
    <n v="11286"/>
    <s v="Enterprise"/>
    <s v="Credit Card"/>
    <s v="No"/>
    <s v="Mar"/>
    <n v="2023"/>
    <n v="0.6"/>
    <s v="Small"/>
    <s v="High Profit"/>
    <x v="22"/>
    <x v="22"/>
  </r>
  <r>
    <s v="ORD-1085"/>
    <d v="2024-11-18T00:00:00"/>
    <x v="2"/>
    <s v="Brazil"/>
    <s v="Pooja Patel"/>
    <x v="1"/>
    <s v="Tablet"/>
    <n v="14"/>
    <n v="35000"/>
    <n v="10"/>
    <n v="441000"/>
    <n v="242550"/>
    <n v="198450"/>
    <s v="B2C"/>
    <s v="Cash"/>
    <s v="Yes"/>
    <s v="Nov"/>
    <n v="2024"/>
    <n v="0.45"/>
    <s v="Medium"/>
    <s v="Low Profit"/>
    <x v="18"/>
    <x v="18"/>
  </r>
  <r>
    <s v="ORD-1086"/>
    <d v="2024-10-05T00:00:00"/>
    <x v="3"/>
    <s v="Germany"/>
    <s v="Priya Mehta"/>
    <x v="1"/>
    <s v="Headphones"/>
    <n v="28"/>
    <n v="8000"/>
    <n v="15"/>
    <n v="190400"/>
    <n v="104720"/>
    <n v="85680"/>
    <s v="B2B"/>
    <s v="UPI"/>
    <s v="No"/>
    <s v="Oct"/>
    <n v="2024"/>
    <n v="0.45"/>
    <s v="Small"/>
    <s v="Low Profit"/>
    <x v="31"/>
    <x v="31"/>
  </r>
  <r>
    <s v="ORD-1087"/>
    <d v="2023-06-24T00:00:00"/>
    <x v="1"/>
    <s v="Canada"/>
    <s v="Priya Mehta"/>
    <x v="0"/>
    <s v="Jacket"/>
    <n v="21"/>
    <n v="3500"/>
    <n v="5"/>
    <n v="69825"/>
    <n v="27930"/>
    <n v="41895"/>
    <s v="B2C"/>
    <s v="Net Banking"/>
    <s v="Yes"/>
    <s v="Jun"/>
    <n v="2023"/>
    <n v="0.6"/>
    <s v="Small"/>
    <s v="High Profit"/>
    <x v="2"/>
    <x v="2"/>
  </r>
  <r>
    <s v="ORD-1088"/>
    <d v="2024-06-21T00:00:00"/>
    <x v="1"/>
    <s v="Canada"/>
    <s v="Aarav Shah"/>
    <x v="3"/>
    <s v="Yoga Mat"/>
    <n v="46"/>
    <n v="1200"/>
    <n v="20"/>
    <n v="44160"/>
    <n v="19872"/>
    <n v="24288"/>
    <s v="B2B"/>
    <s v="Wallet"/>
    <s v="No"/>
    <s v="Jun"/>
    <n v="2024"/>
    <n v="0.55000000000000004"/>
    <s v="Small"/>
    <s v="Medium Profit"/>
    <x v="25"/>
    <x v="25"/>
  </r>
  <r>
    <s v="ORD-1089"/>
    <d v="2022-03-21T00:00:00"/>
    <x v="1"/>
    <s v="USA"/>
    <s v="Rahul Gupta"/>
    <x v="3"/>
    <s v="Dumbbell"/>
    <n v="44"/>
    <n v="3000"/>
    <n v="5"/>
    <n v="125400"/>
    <n v="56430"/>
    <n v="68970"/>
    <s v="B2C"/>
    <s v="UPI"/>
    <s v="No"/>
    <s v="Mar"/>
    <n v="2022"/>
    <n v="0.55000000000000004"/>
    <s v="Small"/>
    <s v="Medium Profit"/>
    <x v="1"/>
    <x v="1"/>
  </r>
  <r>
    <s v="ORD-1090"/>
    <d v="2024-08-27T00:00:00"/>
    <x v="2"/>
    <s v="Argentina"/>
    <s v="Vikram Nair"/>
    <x v="0"/>
    <s v="Sneakers"/>
    <n v="41"/>
    <n v="4200"/>
    <n v="0"/>
    <n v="172200"/>
    <n v="68880"/>
    <n v="103320"/>
    <s v="Enterprise"/>
    <s v="UPI"/>
    <s v="Yes"/>
    <s v="Aug"/>
    <n v="2024"/>
    <n v="0.6"/>
    <s v="Small"/>
    <s v="High Profit"/>
    <x v="12"/>
    <x v="12"/>
  </r>
  <r>
    <s v="ORD-1091"/>
    <d v="2022-01-14T00:00:00"/>
    <x v="1"/>
    <s v="Canada"/>
    <s v="Amit Kumar"/>
    <x v="0"/>
    <s v="Sneakers"/>
    <n v="3"/>
    <n v="4200"/>
    <n v="15"/>
    <n v="10710"/>
    <n v="4284"/>
    <n v="6426"/>
    <s v="Enterprise"/>
    <s v="Cash"/>
    <s v="No"/>
    <s v="Jan"/>
    <n v="2022"/>
    <n v="0.6"/>
    <s v="Small"/>
    <s v="High Profit"/>
    <x v="10"/>
    <x v="10"/>
  </r>
  <r>
    <s v="ORD-1092"/>
    <d v="2023-04-21T00:00:00"/>
    <x v="0"/>
    <s v="Japan"/>
    <s v="Amit Kumar"/>
    <x v="0"/>
    <s v="T-Shirt"/>
    <n v="15"/>
    <n v="800"/>
    <n v="10"/>
    <n v="10800"/>
    <n v="4320"/>
    <n v="6480"/>
    <s v="B2C"/>
    <s v="Cash"/>
    <s v="No"/>
    <s v="Apr"/>
    <n v="2023"/>
    <n v="0.6"/>
    <s v="Small"/>
    <s v="High Profit"/>
    <x v="26"/>
    <x v="26"/>
  </r>
  <r>
    <s v="ORD-1093"/>
    <d v="2023-11-18T00:00:00"/>
    <x v="3"/>
    <s v="Germany"/>
    <s v="Priya Mehta"/>
    <x v="0"/>
    <s v="Jacket"/>
    <n v="49"/>
    <n v="3500"/>
    <n v="10"/>
    <n v="154350"/>
    <n v="61740"/>
    <n v="92610"/>
    <s v="B2C"/>
    <s v="Net Banking"/>
    <s v="No"/>
    <s v="Nov"/>
    <n v="2023"/>
    <n v="0.6"/>
    <s v="Small"/>
    <s v="High Profit"/>
    <x v="32"/>
    <x v="32"/>
  </r>
  <r>
    <s v="ORD-1094"/>
    <d v="2023-04-22T00:00:00"/>
    <x v="3"/>
    <s v="UK"/>
    <s v="Rahul Gupta"/>
    <x v="3"/>
    <s v="Cycle"/>
    <n v="43"/>
    <n v="18000"/>
    <n v="0"/>
    <n v="774000"/>
    <n v="348300"/>
    <n v="425700"/>
    <s v="Enterprise"/>
    <s v="Cash"/>
    <s v="No"/>
    <s v="Apr"/>
    <n v="2023"/>
    <n v="0.55000000000000004"/>
    <s v="Large"/>
    <s v="Medium Profit"/>
    <x v="26"/>
    <x v="26"/>
  </r>
  <r>
    <s v="ORD-1095"/>
    <d v="2022-09-25T00:00:00"/>
    <x v="3"/>
    <s v="Germany"/>
    <s v="Neha Sharma"/>
    <x v="3"/>
    <s v="Dumbbell"/>
    <n v="2"/>
    <n v="3000"/>
    <n v="10"/>
    <n v="5400"/>
    <n v="2430"/>
    <n v="2970"/>
    <s v="Enterprise"/>
    <s v="UPI"/>
    <s v="No"/>
    <s v="Sep"/>
    <n v="2022"/>
    <n v="0.55000000000000004"/>
    <s v="Small"/>
    <s v="Medium Profit"/>
    <x v="17"/>
    <x v="17"/>
  </r>
  <r>
    <s v="ORD-1096"/>
    <d v="2024-03-02T00:00:00"/>
    <x v="0"/>
    <s v="Japan"/>
    <s v="Anjali Singh"/>
    <x v="3"/>
    <s v="Tennis Racket"/>
    <n v="29"/>
    <n v="5500"/>
    <n v="15"/>
    <n v="135575"/>
    <n v="61008.75"/>
    <n v="74566.25"/>
    <s v="B2C"/>
    <s v="Credit Card"/>
    <s v="No"/>
    <s v="Mar"/>
    <n v="2024"/>
    <n v="0.55000000000000004"/>
    <s v="Small"/>
    <s v="Medium Profit"/>
    <x v="27"/>
    <x v="27"/>
  </r>
  <r>
    <s v="ORD-1097"/>
    <d v="2023-06-16T00:00:00"/>
    <x v="2"/>
    <s v="Argentina"/>
    <s v="Aarav Shah"/>
    <x v="2"/>
    <s v="Lamp"/>
    <n v="27"/>
    <n v="1500"/>
    <n v="5"/>
    <n v="38475"/>
    <n v="19237.5"/>
    <n v="19237.5"/>
    <s v="B2B"/>
    <s v="Wallet"/>
    <s v="Yes"/>
    <s v="Jun"/>
    <n v="2023"/>
    <n v="0.5"/>
    <s v="Small"/>
    <s v="Medium Profit"/>
    <x v="2"/>
    <x v="2"/>
  </r>
  <r>
    <s v="ORD-1098"/>
    <d v="2023-02-25T00:00:00"/>
    <x v="1"/>
    <s v="Canada"/>
    <s v="Rahul Gupta"/>
    <x v="1"/>
    <s v="Laptop"/>
    <n v="25"/>
    <n v="75000"/>
    <n v="0"/>
    <n v="1875000"/>
    <n v="1031250"/>
    <n v="843750"/>
    <s v="B2C"/>
    <s v="Wallet"/>
    <s v="No"/>
    <s v="Feb"/>
    <n v="2023"/>
    <n v="0.45"/>
    <s v="Large"/>
    <s v="Low Profit"/>
    <x v="6"/>
    <x v="6"/>
  </r>
  <r>
    <s v="ORD-1099"/>
    <d v="2022-05-21T00:00:00"/>
    <x v="1"/>
    <s v="USA"/>
    <s v="Anjali Singh"/>
    <x v="0"/>
    <s v="Sneakers"/>
    <n v="35"/>
    <n v="4200"/>
    <n v="15"/>
    <n v="124950"/>
    <n v="49980"/>
    <n v="74970"/>
    <s v="B2C"/>
    <s v="UPI"/>
    <s v="No"/>
    <s v="May"/>
    <n v="2022"/>
    <n v="0.6"/>
    <s v="Small"/>
    <s v="High Profit"/>
    <x v="13"/>
    <x v="13"/>
  </r>
  <r>
    <s v="ORD-1100"/>
    <d v="2023-12-11T00:00:00"/>
    <x v="3"/>
    <s v="UK"/>
    <s v="Amit Kumar"/>
    <x v="0"/>
    <s v="Jacket"/>
    <n v="3"/>
    <n v="3500"/>
    <n v="0"/>
    <n v="10500"/>
    <n v="4200"/>
    <n v="6300"/>
    <s v="B2B"/>
    <s v="Wallet"/>
    <s v="Yes"/>
    <s v="Dec"/>
    <n v="2023"/>
    <n v="0.6"/>
    <s v="Small"/>
    <s v="High Profit"/>
    <x v="30"/>
    <x v="30"/>
  </r>
  <r>
    <s v="ORD-1101"/>
    <d v="2024-02-26T00:00:00"/>
    <x v="3"/>
    <s v="UK"/>
    <s v="Rahul Gupta"/>
    <x v="2"/>
    <s v="Sofa"/>
    <n v="2"/>
    <n v="25000"/>
    <n v="5"/>
    <n v="47500"/>
    <n v="23750"/>
    <n v="23750"/>
    <s v="B2B"/>
    <s v="Net Banking"/>
    <s v="No"/>
    <s v="Feb"/>
    <n v="2024"/>
    <n v="0.5"/>
    <s v="Small"/>
    <s v="Medium Profit"/>
    <x v="23"/>
    <x v="23"/>
  </r>
  <r>
    <s v="ORD-1102"/>
    <d v="2022-08-27T00:00:00"/>
    <x v="3"/>
    <s v="France"/>
    <s v="Rohan Joshi"/>
    <x v="0"/>
    <s v="T-Shirt"/>
    <n v="6"/>
    <n v="800"/>
    <n v="0"/>
    <n v="4800"/>
    <n v="1920"/>
    <n v="2880"/>
    <s v="Enterprise"/>
    <s v="Cash"/>
    <s v="No"/>
    <s v="Aug"/>
    <n v="2022"/>
    <n v="0.6"/>
    <s v="Small"/>
    <s v="High Profit"/>
    <x v="0"/>
    <x v="0"/>
  </r>
  <r>
    <s v="ORD-1103"/>
    <d v="2022-02-01T00:00:00"/>
    <x v="2"/>
    <s v="Brazil"/>
    <s v="Neha Sharma"/>
    <x v="3"/>
    <s v="Dumbbell"/>
    <n v="39"/>
    <n v="3000"/>
    <n v="10"/>
    <n v="105300"/>
    <n v="47385"/>
    <n v="57915"/>
    <s v="B2C"/>
    <s v="Wallet"/>
    <s v="No"/>
    <s v="Feb"/>
    <n v="2022"/>
    <n v="0.55000000000000004"/>
    <s v="Small"/>
    <s v="Medium Profit"/>
    <x v="29"/>
    <x v="29"/>
  </r>
  <r>
    <s v="ORD-1104"/>
    <d v="2022-02-10T00:00:00"/>
    <x v="0"/>
    <s v="Japan"/>
    <s v="Sneha Iyer"/>
    <x v="1"/>
    <s v="Tablet"/>
    <n v="42"/>
    <n v="35000"/>
    <n v="20"/>
    <n v="1176000"/>
    <n v="646800"/>
    <n v="529200"/>
    <s v="B2C"/>
    <s v="Net Banking"/>
    <s v="No"/>
    <s v="Feb"/>
    <n v="2022"/>
    <n v="0.45"/>
    <s v="Large"/>
    <s v="Low Profit"/>
    <x v="29"/>
    <x v="29"/>
  </r>
  <r>
    <s v="ORD-1105"/>
    <d v="2024-04-03T00:00:00"/>
    <x v="2"/>
    <s v="Argentina"/>
    <s v="Amit Kumar"/>
    <x v="2"/>
    <s v="Lamp"/>
    <n v="19"/>
    <n v="1500"/>
    <n v="20"/>
    <n v="22800"/>
    <n v="11400"/>
    <n v="11400"/>
    <s v="B2B"/>
    <s v="Cash"/>
    <s v="Yes"/>
    <s v="Apr"/>
    <n v="2024"/>
    <n v="0.5"/>
    <s v="Small"/>
    <s v="Medium Profit"/>
    <x v="8"/>
    <x v="8"/>
  </r>
  <r>
    <s v="ORD-1106"/>
    <d v="2022-02-16T00:00:00"/>
    <x v="3"/>
    <s v="Germany"/>
    <s v="Amit Kumar"/>
    <x v="1"/>
    <s v="Headphones"/>
    <n v="15"/>
    <n v="8000"/>
    <n v="20"/>
    <n v="96000"/>
    <n v="52800"/>
    <n v="43200"/>
    <s v="B2C"/>
    <s v="UPI"/>
    <s v="No"/>
    <s v="Feb"/>
    <n v="2022"/>
    <n v="0.45"/>
    <s v="Small"/>
    <s v="Low Profit"/>
    <x v="29"/>
    <x v="29"/>
  </r>
  <r>
    <s v="ORD-1107"/>
    <d v="2024-05-12T00:00:00"/>
    <x v="3"/>
    <s v="France"/>
    <s v="Priya Mehta"/>
    <x v="2"/>
    <s v="Sofa"/>
    <n v="10"/>
    <n v="25000"/>
    <n v="0"/>
    <n v="250000"/>
    <n v="125000"/>
    <n v="125000"/>
    <s v="Enterprise"/>
    <s v="UPI"/>
    <s v="No"/>
    <s v="May"/>
    <n v="2024"/>
    <n v="0.5"/>
    <s v="Small"/>
    <s v="Medium Profit"/>
    <x v="34"/>
    <x v="34"/>
  </r>
  <r>
    <s v="ORD-1108"/>
    <d v="2023-02-28T00:00:00"/>
    <x v="3"/>
    <s v="France"/>
    <s v="Sneha Iyer"/>
    <x v="1"/>
    <s v="Smartphone"/>
    <n v="26"/>
    <n v="45000"/>
    <n v="20"/>
    <n v="936000"/>
    <n v="514800"/>
    <n v="421200"/>
    <s v="Enterprise"/>
    <s v="Wallet"/>
    <s v="No"/>
    <s v="Feb"/>
    <n v="2023"/>
    <n v="0.45"/>
    <s v="Large"/>
    <s v="Low Profit"/>
    <x v="6"/>
    <x v="6"/>
  </r>
  <r>
    <s v="ORD-1109"/>
    <d v="2023-03-02T00:00:00"/>
    <x v="3"/>
    <s v="Germany"/>
    <s v="Rohan Joshi"/>
    <x v="2"/>
    <s v="Sofa"/>
    <n v="10"/>
    <n v="25000"/>
    <n v="0"/>
    <n v="250000"/>
    <n v="125000"/>
    <n v="125000"/>
    <s v="Enterprise"/>
    <s v="Wallet"/>
    <s v="No"/>
    <s v="Mar"/>
    <n v="2023"/>
    <n v="0.5"/>
    <s v="Small"/>
    <s v="Medium Profit"/>
    <x v="22"/>
    <x v="22"/>
  </r>
  <r>
    <s v="ORD-1110"/>
    <d v="2024-03-28T00:00:00"/>
    <x v="1"/>
    <s v="Canada"/>
    <s v="Sneha Iyer"/>
    <x v="3"/>
    <s v="Football"/>
    <n v="32"/>
    <n v="900"/>
    <n v="10"/>
    <n v="25920"/>
    <n v="11664"/>
    <n v="14256"/>
    <s v="B2C"/>
    <s v="Cash"/>
    <s v="No"/>
    <s v="Mar"/>
    <n v="2024"/>
    <n v="0.55000000000000004"/>
    <s v="Small"/>
    <s v="Medium Profit"/>
    <x v="27"/>
    <x v="27"/>
  </r>
  <r>
    <s v="ORD-1111"/>
    <d v="2024-07-17T00:00:00"/>
    <x v="1"/>
    <s v="USA"/>
    <s v="Rohan Joshi"/>
    <x v="1"/>
    <s v="Headphones"/>
    <n v="9"/>
    <n v="8000"/>
    <n v="0"/>
    <n v="72000"/>
    <n v="39600"/>
    <n v="32400"/>
    <s v="Enterprise"/>
    <s v="Credit Card"/>
    <s v="No"/>
    <s v="Jul"/>
    <n v="2024"/>
    <n v="0.45"/>
    <s v="Small"/>
    <s v="Low Profit"/>
    <x v="15"/>
    <x v="15"/>
  </r>
  <r>
    <s v="ORD-1112"/>
    <d v="2022-11-07T00:00:00"/>
    <x v="3"/>
    <s v="UK"/>
    <s v="Aarav Shah"/>
    <x v="3"/>
    <s v="Tennis Racket"/>
    <n v="11"/>
    <n v="5500"/>
    <n v="20"/>
    <n v="48400"/>
    <n v="21780"/>
    <n v="26620"/>
    <s v="B2B"/>
    <s v="Wallet"/>
    <s v="No"/>
    <s v="Nov"/>
    <n v="2022"/>
    <n v="0.55000000000000004"/>
    <s v="Small"/>
    <s v="Medium Profit"/>
    <x v="9"/>
    <x v="9"/>
  </r>
  <r>
    <s v="ORD-1113"/>
    <d v="2024-03-13T00:00:00"/>
    <x v="1"/>
    <s v="Canada"/>
    <s v="Priya Mehta"/>
    <x v="3"/>
    <s v="Cycle"/>
    <n v="47"/>
    <n v="18000"/>
    <n v="10"/>
    <n v="761400"/>
    <n v="342630"/>
    <n v="418770"/>
    <s v="B2C"/>
    <s v="Wallet"/>
    <s v="Yes"/>
    <s v="Mar"/>
    <n v="2024"/>
    <n v="0.55000000000000004"/>
    <s v="Large"/>
    <s v="Medium Profit"/>
    <x v="27"/>
    <x v="27"/>
  </r>
  <r>
    <s v="ORD-1114"/>
    <d v="2023-12-19T00:00:00"/>
    <x v="2"/>
    <s v="Brazil"/>
    <s v="Vikram Nair"/>
    <x v="0"/>
    <s v="Cap"/>
    <n v="46"/>
    <n v="600"/>
    <n v="10"/>
    <n v="24840"/>
    <n v="9936"/>
    <n v="14904"/>
    <s v="Enterprise"/>
    <s v="Net Banking"/>
    <s v="Yes"/>
    <s v="Dec"/>
    <n v="2023"/>
    <n v="0.6"/>
    <s v="Small"/>
    <s v="High Profit"/>
    <x v="30"/>
    <x v="30"/>
  </r>
  <r>
    <s v="ORD-1115"/>
    <d v="2024-07-15T00:00:00"/>
    <x v="2"/>
    <s v="Argentina"/>
    <s v="Rahul Gupta"/>
    <x v="0"/>
    <s v="Cap"/>
    <n v="46"/>
    <n v="600"/>
    <n v="15"/>
    <n v="23460"/>
    <n v="9384"/>
    <n v="14076"/>
    <s v="B2C"/>
    <s v="Cash"/>
    <s v="No"/>
    <s v="Jul"/>
    <n v="2024"/>
    <n v="0.6"/>
    <s v="Small"/>
    <s v="High Profit"/>
    <x v="15"/>
    <x v="15"/>
  </r>
  <r>
    <s v="ORD-1116"/>
    <d v="2022-12-05T00:00:00"/>
    <x v="3"/>
    <s v="UK"/>
    <s v="Aarav Shah"/>
    <x v="2"/>
    <s v="Air Fryer"/>
    <n v="13"/>
    <n v="8500"/>
    <n v="0"/>
    <n v="110500"/>
    <n v="55250"/>
    <n v="55250"/>
    <s v="B2C"/>
    <s v="Net Banking"/>
    <s v="Yes"/>
    <s v="Dec"/>
    <n v="2022"/>
    <n v="0.5"/>
    <s v="Small"/>
    <s v="Medium Profit"/>
    <x v="24"/>
    <x v="24"/>
  </r>
  <r>
    <s v="ORD-1117"/>
    <d v="2022-07-02T00:00:00"/>
    <x v="3"/>
    <s v="France"/>
    <s v="Rahul Gupta"/>
    <x v="1"/>
    <s v="Tablet"/>
    <n v="41"/>
    <n v="35000"/>
    <n v="20"/>
    <n v="1148000"/>
    <n v="631400"/>
    <n v="516600"/>
    <s v="B2C"/>
    <s v="Credit Card"/>
    <s v="No"/>
    <s v="Jul"/>
    <n v="2022"/>
    <n v="0.45"/>
    <s v="Large"/>
    <s v="Low Profit"/>
    <x v="16"/>
    <x v="16"/>
  </r>
  <r>
    <s v="ORD-1118"/>
    <d v="2023-01-09T00:00:00"/>
    <x v="0"/>
    <s v="Japan"/>
    <s v="Neha Sharma"/>
    <x v="2"/>
    <s v="Sofa"/>
    <n v="40"/>
    <n v="25000"/>
    <n v="15"/>
    <n v="850000"/>
    <n v="425000"/>
    <n v="425000"/>
    <s v="Enterprise"/>
    <s v="Wallet"/>
    <s v="No"/>
    <s v="Jan"/>
    <n v="2023"/>
    <n v="0.5"/>
    <s v="Large"/>
    <s v="Medium Profit"/>
    <x v="35"/>
    <x v="35"/>
  </r>
  <r>
    <s v="ORD-1119"/>
    <d v="2023-01-03T00:00:00"/>
    <x v="2"/>
    <s v="Brazil"/>
    <s v="Sneha Iyer"/>
    <x v="2"/>
    <s v="Air Fryer"/>
    <n v="17"/>
    <n v="8500"/>
    <n v="20"/>
    <n v="115600"/>
    <n v="57800"/>
    <n v="57800"/>
    <s v="B2B"/>
    <s v="Wallet"/>
    <s v="No"/>
    <s v="Jan"/>
    <n v="2023"/>
    <n v="0.5"/>
    <s v="Small"/>
    <s v="Medium Profit"/>
    <x v="35"/>
    <x v="35"/>
  </r>
  <r>
    <s v="ORD-1120"/>
    <d v="2024-01-11T00:00:00"/>
    <x v="0"/>
    <s v="China"/>
    <s v="Neha Sharma"/>
    <x v="3"/>
    <s v="Dumbbell"/>
    <n v="11"/>
    <n v="3000"/>
    <n v="0"/>
    <n v="33000"/>
    <n v="14850"/>
    <n v="18150"/>
    <s v="B2B"/>
    <s v="Credit Card"/>
    <s v="No"/>
    <s v="Jan"/>
    <n v="2024"/>
    <n v="0.55000000000000004"/>
    <s v="Small"/>
    <s v="Medium Profit"/>
    <x v="3"/>
    <x v="3"/>
  </r>
  <r>
    <s v="ORD-1121"/>
    <d v="2022-10-05T00:00:00"/>
    <x v="2"/>
    <s v="Argentina"/>
    <s v="Aarav Shah"/>
    <x v="2"/>
    <s v="Blender"/>
    <n v="4"/>
    <n v="5000"/>
    <n v="5"/>
    <n v="19000"/>
    <n v="9500"/>
    <n v="9500"/>
    <s v="B2C"/>
    <s v="Cash"/>
    <s v="Yes"/>
    <s v="Oct"/>
    <n v="2022"/>
    <n v="0.5"/>
    <s v="Small"/>
    <s v="Medium Profit"/>
    <x v="21"/>
    <x v="21"/>
  </r>
  <r>
    <s v="ORD-1122"/>
    <d v="2024-07-11T00:00:00"/>
    <x v="0"/>
    <s v="China"/>
    <s v="Priya Mehta"/>
    <x v="0"/>
    <s v="Cap"/>
    <n v="26"/>
    <n v="600"/>
    <n v="15"/>
    <n v="13260"/>
    <n v="5304"/>
    <n v="7956"/>
    <s v="Enterprise"/>
    <s v="Cash"/>
    <s v="No"/>
    <s v="Jul"/>
    <n v="2024"/>
    <n v="0.6"/>
    <s v="Small"/>
    <s v="High Profit"/>
    <x v="15"/>
    <x v="15"/>
  </r>
  <r>
    <s v="ORD-1123"/>
    <d v="2023-11-10T00:00:00"/>
    <x v="0"/>
    <s v="China"/>
    <s v="Priya Mehta"/>
    <x v="0"/>
    <s v="Sneakers"/>
    <n v="41"/>
    <n v="4200"/>
    <n v="10"/>
    <n v="154980"/>
    <n v="61992"/>
    <n v="92988"/>
    <s v="B2C"/>
    <s v="Wallet"/>
    <s v="No"/>
    <s v="Nov"/>
    <n v="2023"/>
    <n v="0.6"/>
    <s v="Small"/>
    <s v="High Profit"/>
    <x v="32"/>
    <x v="32"/>
  </r>
  <r>
    <s v="ORD-1124"/>
    <d v="2024-05-16T00:00:00"/>
    <x v="0"/>
    <s v="China"/>
    <s v="Priya Mehta"/>
    <x v="3"/>
    <s v="Cycle"/>
    <n v="12"/>
    <n v="18000"/>
    <n v="0"/>
    <n v="216000"/>
    <n v="97200"/>
    <n v="118800"/>
    <s v="B2C"/>
    <s v="Net Banking"/>
    <s v="No"/>
    <s v="May"/>
    <n v="2024"/>
    <n v="0.55000000000000004"/>
    <s v="Small"/>
    <s v="Medium Profit"/>
    <x v="34"/>
    <x v="34"/>
  </r>
  <r>
    <s v="ORD-1125"/>
    <d v="2024-04-07T00:00:00"/>
    <x v="2"/>
    <s v="Argentina"/>
    <s v="Anjali Singh"/>
    <x v="0"/>
    <s v="Jacket"/>
    <n v="13"/>
    <n v="3500"/>
    <n v="15"/>
    <n v="38675"/>
    <n v="15470"/>
    <n v="23205"/>
    <s v="Enterprise"/>
    <s v="UPI"/>
    <s v="No"/>
    <s v="Apr"/>
    <n v="2024"/>
    <n v="0.6"/>
    <s v="Small"/>
    <s v="High Profit"/>
    <x v="8"/>
    <x v="8"/>
  </r>
  <r>
    <s v="ORD-1126"/>
    <d v="2022-01-19T00:00:00"/>
    <x v="0"/>
    <s v="Japan"/>
    <s v="Priya Mehta"/>
    <x v="2"/>
    <s v="Sofa"/>
    <n v="33"/>
    <n v="25000"/>
    <n v="0"/>
    <n v="825000"/>
    <n v="412500"/>
    <n v="412500"/>
    <s v="B2C"/>
    <s v="Credit Card"/>
    <s v="Yes"/>
    <s v="Jan"/>
    <n v="2022"/>
    <n v="0.5"/>
    <s v="Large"/>
    <s v="Medium Profit"/>
    <x v="10"/>
    <x v="10"/>
  </r>
  <r>
    <s v="ORD-1127"/>
    <d v="2023-06-21T00:00:00"/>
    <x v="3"/>
    <s v="Germany"/>
    <s v="Aarav Shah"/>
    <x v="2"/>
    <s v="Sofa"/>
    <n v="41"/>
    <n v="25000"/>
    <n v="0"/>
    <n v="1025000"/>
    <n v="512500"/>
    <n v="512500"/>
    <s v="B2B"/>
    <s v="Cash"/>
    <s v="Yes"/>
    <s v="Jun"/>
    <n v="2023"/>
    <n v="0.5"/>
    <s v="Large"/>
    <s v="Medium Profit"/>
    <x v="2"/>
    <x v="2"/>
  </r>
  <r>
    <s v="ORD-1128"/>
    <d v="2024-06-16T00:00:00"/>
    <x v="2"/>
    <s v="Argentina"/>
    <s v="Amit Kumar"/>
    <x v="1"/>
    <s v="Laptop"/>
    <n v="24"/>
    <n v="75000"/>
    <n v="0"/>
    <n v="1800000"/>
    <n v="990000"/>
    <n v="810000"/>
    <s v="Enterprise"/>
    <s v="UPI"/>
    <s v="Yes"/>
    <s v="Jun"/>
    <n v="2024"/>
    <n v="0.45"/>
    <s v="Large"/>
    <s v="Low Profit"/>
    <x v="25"/>
    <x v="25"/>
  </r>
  <r>
    <s v="ORD-1129"/>
    <d v="2022-12-28T00:00:00"/>
    <x v="2"/>
    <s v="Brazil"/>
    <s v="Rohan Joshi"/>
    <x v="1"/>
    <s v="Laptop"/>
    <n v="29"/>
    <n v="75000"/>
    <n v="0"/>
    <n v="2175000"/>
    <n v="1196250"/>
    <n v="978750"/>
    <s v="B2B"/>
    <s v="Wallet"/>
    <s v="No"/>
    <s v="Dec"/>
    <n v="2022"/>
    <n v="0.45"/>
    <s v="Large"/>
    <s v="Low Profit"/>
    <x v="24"/>
    <x v="24"/>
  </r>
  <r>
    <s v="ORD-1130"/>
    <d v="2023-06-28T00:00:00"/>
    <x v="2"/>
    <s v="Brazil"/>
    <s v="Anjali Singh"/>
    <x v="2"/>
    <s v="Air Fryer"/>
    <n v="38"/>
    <n v="8500"/>
    <n v="10"/>
    <n v="290700"/>
    <n v="145350"/>
    <n v="145350"/>
    <s v="B2B"/>
    <s v="Cash"/>
    <s v="Yes"/>
    <s v="Jun"/>
    <n v="2023"/>
    <n v="0.5"/>
    <s v="Small"/>
    <s v="Medium Profit"/>
    <x v="2"/>
    <x v="2"/>
  </r>
  <r>
    <s v="ORD-1131"/>
    <d v="2024-03-27T00:00:00"/>
    <x v="1"/>
    <s v="USA"/>
    <s v="Sneha Iyer"/>
    <x v="0"/>
    <s v="T-Shirt"/>
    <n v="6"/>
    <n v="800"/>
    <n v="5"/>
    <n v="4560"/>
    <n v="1824"/>
    <n v="2736"/>
    <s v="B2B"/>
    <s v="Net Banking"/>
    <s v="No"/>
    <s v="Mar"/>
    <n v="2024"/>
    <n v="0.6"/>
    <s v="Small"/>
    <s v="High Profit"/>
    <x v="27"/>
    <x v="27"/>
  </r>
  <r>
    <s v="ORD-1132"/>
    <d v="2023-01-23T00:00:00"/>
    <x v="3"/>
    <s v="UK"/>
    <s v="Aarav Shah"/>
    <x v="2"/>
    <s v="Sofa"/>
    <n v="36"/>
    <n v="25000"/>
    <n v="10"/>
    <n v="810000"/>
    <n v="405000"/>
    <n v="405000"/>
    <s v="B2C"/>
    <s v="Cash"/>
    <s v="No"/>
    <s v="Jan"/>
    <n v="2023"/>
    <n v="0.5"/>
    <s v="Large"/>
    <s v="Medium Profit"/>
    <x v="35"/>
    <x v="35"/>
  </r>
  <r>
    <s v="ORD-1133"/>
    <d v="2022-06-19T00:00:00"/>
    <x v="3"/>
    <s v="UK"/>
    <s v="Priya Mehta"/>
    <x v="1"/>
    <s v="Smartphone"/>
    <n v="47"/>
    <n v="45000"/>
    <n v="0"/>
    <n v="2115000"/>
    <n v="1163250"/>
    <n v="951750"/>
    <s v="B2C"/>
    <s v="Wallet"/>
    <s v="No"/>
    <s v="Jun"/>
    <n v="2022"/>
    <n v="0.45"/>
    <s v="Large"/>
    <s v="Low Profit"/>
    <x v="4"/>
    <x v="4"/>
  </r>
  <r>
    <s v="ORD-1134"/>
    <d v="2022-02-25T00:00:00"/>
    <x v="2"/>
    <s v="Brazil"/>
    <s v="Sneha Iyer"/>
    <x v="2"/>
    <s v="Lamp"/>
    <n v="6"/>
    <n v="1500"/>
    <n v="5"/>
    <n v="8550"/>
    <n v="4275"/>
    <n v="4275"/>
    <s v="Enterprise"/>
    <s v="UPI"/>
    <s v="No"/>
    <s v="Feb"/>
    <n v="2022"/>
    <n v="0.5"/>
    <s v="Small"/>
    <s v="Medium Profit"/>
    <x v="29"/>
    <x v="29"/>
  </r>
  <r>
    <s v="ORD-1135"/>
    <d v="2022-09-10T00:00:00"/>
    <x v="1"/>
    <s v="Canada"/>
    <s v="Vikram Nair"/>
    <x v="0"/>
    <s v="T-Shirt"/>
    <n v="9"/>
    <n v="800"/>
    <n v="20"/>
    <n v="5760"/>
    <n v="2304"/>
    <n v="3456"/>
    <s v="B2C"/>
    <s v="UPI"/>
    <s v="No"/>
    <s v="Sep"/>
    <n v="2022"/>
    <n v="0.6"/>
    <s v="Small"/>
    <s v="High Profit"/>
    <x v="17"/>
    <x v="17"/>
  </r>
  <r>
    <s v="ORD-1136"/>
    <d v="2023-01-09T00:00:00"/>
    <x v="2"/>
    <s v="Brazil"/>
    <s v="Vikram Nair"/>
    <x v="2"/>
    <s v="Lamp"/>
    <n v="17"/>
    <n v="1500"/>
    <n v="0"/>
    <n v="25500"/>
    <n v="12750"/>
    <n v="12750"/>
    <s v="B2C"/>
    <s v="Wallet"/>
    <s v="No"/>
    <s v="Jan"/>
    <n v="2023"/>
    <n v="0.5"/>
    <s v="Small"/>
    <s v="Medium Profit"/>
    <x v="35"/>
    <x v="35"/>
  </r>
  <r>
    <s v="ORD-1137"/>
    <d v="2023-12-12T00:00:00"/>
    <x v="3"/>
    <s v="France"/>
    <s v="Rahul Gupta"/>
    <x v="1"/>
    <s v="Smartwatch"/>
    <n v="25"/>
    <n v="15000"/>
    <n v="5"/>
    <n v="356250"/>
    <n v="195937.5"/>
    <n v="160312.5"/>
    <s v="Enterprise"/>
    <s v="UPI"/>
    <s v="Yes"/>
    <s v="Dec"/>
    <n v="2023"/>
    <n v="0.45"/>
    <s v="Medium"/>
    <s v="Low Profit"/>
    <x v="30"/>
    <x v="30"/>
  </r>
  <r>
    <s v="ORD-1138"/>
    <d v="2024-04-12T00:00:00"/>
    <x v="0"/>
    <s v="India"/>
    <s v="Anjali Singh"/>
    <x v="2"/>
    <s v="Blender"/>
    <n v="33"/>
    <n v="5000"/>
    <n v="5"/>
    <n v="156750"/>
    <n v="78375"/>
    <n v="78375"/>
    <s v="B2B"/>
    <s v="Cash"/>
    <s v="No"/>
    <s v="Apr"/>
    <n v="2024"/>
    <n v="0.5"/>
    <s v="Small"/>
    <s v="Medium Profit"/>
    <x v="8"/>
    <x v="8"/>
  </r>
  <r>
    <s v="ORD-1139"/>
    <d v="2023-05-02T00:00:00"/>
    <x v="1"/>
    <s v="USA"/>
    <s v="Pooja Patel"/>
    <x v="0"/>
    <s v="Jeans"/>
    <n v="38"/>
    <n v="2500"/>
    <n v="10"/>
    <n v="85500"/>
    <n v="34200"/>
    <n v="51300"/>
    <s v="Enterprise"/>
    <s v="Cash"/>
    <s v="No"/>
    <s v="May"/>
    <n v="2023"/>
    <n v="0.6"/>
    <s v="Small"/>
    <s v="High Profit"/>
    <x v="33"/>
    <x v="33"/>
  </r>
  <r>
    <s v="ORD-1140"/>
    <d v="2022-03-11T00:00:00"/>
    <x v="1"/>
    <s v="Canada"/>
    <s v="Aarav Shah"/>
    <x v="0"/>
    <s v="Jeans"/>
    <n v="31"/>
    <n v="2500"/>
    <n v="10"/>
    <n v="69750"/>
    <n v="27900"/>
    <n v="41850"/>
    <s v="Enterprise"/>
    <s v="Credit Card"/>
    <s v="No"/>
    <s v="Mar"/>
    <n v="2022"/>
    <n v="0.6"/>
    <s v="Small"/>
    <s v="High Profit"/>
    <x v="1"/>
    <x v="1"/>
  </r>
  <r>
    <s v="ORD-1141"/>
    <d v="2022-12-12T00:00:00"/>
    <x v="0"/>
    <s v="India"/>
    <s v="Pooja Patel"/>
    <x v="0"/>
    <s v="Jacket"/>
    <n v="29"/>
    <n v="3500"/>
    <n v="20"/>
    <n v="81200"/>
    <n v="32480"/>
    <n v="48720"/>
    <s v="Enterprise"/>
    <s v="Wallet"/>
    <s v="No"/>
    <s v="Dec"/>
    <n v="2022"/>
    <n v="0.6"/>
    <s v="Small"/>
    <s v="High Profit"/>
    <x v="24"/>
    <x v="24"/>
  </r>
  <r>
    <s v="ORD-1142"/>
    <d v="2024-04-24T00:00:00"/>
    <x v="3"/>
    <s v="Germany"/>
    <s v="Sneha Iyer"/>
    <x v="2"/>
    <s v="Sofa"/>
    <n v="39"/>
    <n v="25000"/>
    <n v="10"/>
    <n v="877500"/>
    <n v="438750"/>
    <n v="438750"/>
    <s v="Enterprise"/>
    <s v="Cash"/>
    <s v="No"/>
    <s v="Apr"/>
    <n v="2024"/>
    <n v="0.5"/>
    <s v="Large"/>
    <s v="Medium Profit"/>
    <x v="8"/>
    <x v="8"/>
  </r>
  <r>
    <s v="ORD-1143"/>
    <d v="2023-08-02T00:00:00"/>
    <x v="2"/>
    <s v="Brazil"/>
    <s v="Rohan Joshi"/>
    <x v="3"/>
    <s v="Cycle"/>
    <n v="37"/>
    <n v="18000"/>
    <n v="15"/>
    <n v="566100"/>
    <n v="254745"/>
    <n v="311355"/>
    <s v="B2B"/>
    <s v="UPI"/>
    <s v="Yes"/>
    <s v="Aug"/>
    <n v="2023"/>
    <n v="0.55000000000000004"/>
    <s v="Medium"/>
    <s v="Medium Profit"/>
    <x v="19"/>
    <x v="19"/>
  </r>
  <r>
    <s v="ORD-1144"/>
    <d v="2024-09-06T00:00:00"/>
    <x v="0"/>
    <s v="China"/>
    <s v="Amit Kumar"/>
    <x v="0"/>
    <s v="Cap"/>
    <n v="49"/>
    <n v="600"/>
    <n v="5"/>
    <n v="27930"/>
    <n v="11172"/>
    <n v="16758"/>
    <s v="Enterprise"/>
    <s v="Net Banking"/>
    <s v="No"/>
    <s v="Sep"/>
    <n v="2024"/>
    <n v="0.6"/>
    <s v="Small"/>
    <s v="High Profit"/>
    <x v="11"/>
    <x v="11"/>
  </r>
  <r>
    <s v="ORD-1145"/>
    <d v="2022-04-03T00:00:00"/>
    <x v="0"/>
    <s v="India"/>
    <s v="Anjali Singh"/>
    <x v="3"/>
    <s v="Tennis Racket"/>
    <n v="11"/>
    <n v="5500"/>
    <n v="15"/>
    <n v="51425"/>
    <n v="23141.25"/>
    <n v="28283.75"/>
    <s v="Enterprise"/>
    <s v="UPI"/>
    <s v="No"/>
    <s v="Apr"/>
    <n v="2022"/>
    <n v="0.55000000000000004"/>
    <s v="Small"/>
    <s v="Medium Profit"/>
    <x v="28"/>
    <x v="28"/>
  </r>
  <r>
    <s v="ORD-1146"/>
    <d v="2023-01-06T00:00:00"/>
    <x v="0"/>
    <s v="Japan"/>
    <s v="Priya Mehta"/>
    <x v="0"/>
    <s v="Sneakers"/>
    <n v="14"/>
    <n v="4200"/>
    <n v="15"/>
    <n v="49980"/>
    <n v="19992"/>
    <n v="29988"/>
    <s v="Enterprise"/>
    <s v="UPI"/>
    <s v="No"/>
    <s v="Jan"/>
    <n v="2023"/>
    <n v="0.6"/>
    <s v="Small"/>
    <s v="High Profit"/>
    <x v="35"/>
    <x v="35"/>
  </r>
  <r>
    <s v="ORD-1147"/>
    <d v="2022-10-22T00:00:00"/>
    <x v="0"/>
    <s v="India"/>
    <s v="Pooja Patel"/>
    <x v="0"/>
    <s v="T-Shirt"/>
    <n v="7"/>
    <n v="800"/>
    <n v="15"/>
    <n v="4760"/>
    <n v="1904"/>
    <n v="2856"/>
    <s v="Enterprise"/>
    <s v="Cash"/>
    <s v="Yes"/>
    <s v="Oct"/>
    <n v="2022"/>
    <n v="0.6"/>
    <s v="Small"/>
    <s v="High Profit"/>
    <x v="21"/>
    <x v="21"/>
  </r>
  <r>
    <s v="ORD-1148"/>
    <d v="2023-02-16T00:00:00"/>
    <x v="3"/>
    <s v="Germany"/>
    <s v="Sneha Iyer"/>
    <x v="1"/>
    <s v="Headphones"/>
    <n v="9"/>
    <n v="8000"/>
    <n v="10"/>
    <n v="64800"/>
    <n v="35640"/>
    <n v="29160"/>
    <s v="B2C"/>
    <s v="Net Banking"/>
    <s v="No"/>
    <s v="Feb"/>
    <n v="2023"/>
    <n v="0.45"/>
    <s v="Small"/>
    <s v="Low Profit"/>
    <x v="6"/>
    <x v="6"/>
  </r>
  <r>
    <s v="ORD-1149"/>
    <d v="2023-07-27T00:00:00"/>
    <x v="3"/>
    <s v="France"/>
    <s v="Rohan Joshi"/>
    <x v="1"/>
    <s v="Tablet"/>
    <n v="32"/>
    <n v="35000"/>
    <n v="20"/>
    <n v="896000"/>
    <n v="492800"/>
    <n v="403200"/>
    <s v="B2B"/>
    <s v="Wallet"/>
    <s v="No"/>
    <s v="Jul"/>
    <n v="2023"/>
    <n v="0.45"/>
    <s v="Large"/>
    <s v="Low Profit"/>
    <x v="5"/>
    <x v="5"/>
  </r>
  <r>
    <s v="ORD-1150"/>
    <d v="2022-12-25T00:00:00"/>
    <x v="2"/>
    <s v="Argentina"/>
    <s v="Anjali Singh"/>
    <x v="2"/>
    <s v="Rug"/>
    <n v="1"/>
    <n v="4000"/>
    <n v="20"/>
    <n v="3200"/>
    <n v="1600"/>
    <n v="1600"/>
    <s v="B2C"/>
    <s v="Credit Card"/>
    <s v="Yes"/>
    <s v="Dec"/>
    <n v="2022"/>
    <n v="0.5"/>
    <s v="Small"/>
    <s v="Medium Profit"/>
    <x v="24"/>
    <x v="24"/>
  </r>
  <r>
    <s v="ORD-1151"/>
    <d v="2023-03-05T00:00:00"/>
    <x v="3"/>
    <s v="UK"/>
    <s v="Aarav Shah"/>
    <x v="0"/>
    <s v="T-Shirt"/>
    <n v="28"/>
    <n v="800"/>
    <n v="0"/>
    <n v="22400"/>
    <n v="8960"/>
    <n v="13440"/>
    <s v="B2C"/>
    <s v="UPI"/>
    <s v="No"/>
    <s v="Mar"/>
    <n v="2023"/>
    <n v="0.6"/>
    <s v="Small"/>
    <s v="High Profit"/>
    <x v="22"/>
    <x v="22"/>
  </r>
  <r>
    <s v="ORD-1152"/>
    <d v="2024-04-05T00:00:00"/>
    <x v="0"/>
    <s v="Japan"/>
    <s v="Rohan Joshi"/>
    <x v="3"/>
    <s v="Yoga Mat"/>
    <n v="17"/>
    <n v="1200"/>
    <n v="15"/>
    <n v="17340"/>
    <n v="7803"/>
    <n v="9537"/>
    <s v="B2B"/>
    <s v="Cash"/>
    <s v="No"/>
    <s v="Apr"/>
    <n v="2024"/>
    <n v="0.55000000000000004"/>
    <s v="Small"/>
    <s v="Medium Profit"/>
    <x v="8"/>
    <x v="8"/>
  </r>
  <r>
    <s v="ORD-1153"/>
    <d v="2024-10-27T00:00:00"/>
    <x v="1"/>
    <s v="Canada"/>
    <s v="Priya Mehta"/>
    <x v="2"/>
    <s v="Blender"/>
    <n v="42"/>
    <n v="5000"/>
    <n v="15"/>
    <n v="178500"/>
    <n v="89250"/>
    <n v="89250"/>
    <s v="B2B"/>
    <s v="Net Banking"/>
    <s v="No"/>
    <s v="Oct"/>
    <n v="2024"/>
    <n v="0.5"/>
    <s v="Small"/>
    <s v="Medium Profit"/>
    <x v="31"/>
    <x v="31"/>
  </r>
  <r>
    <s v="ORD-1154"/>
    <d v="2022-09-19T00:00:00"/>
    <x v="3"/>
    <s v="France"/>
    <s v="Pooja Patel"/>
    <x v="1"/>
    <s v="Headphones"/>
    <n v="42"/>
    <n v="8000"/>
    <n v="15"/>
    <n v="285600"/>
    <n v="157080"/>
    <n v="128520"/>
    <s v="B2B"/>
    <s v="Net Banking"/>
    <s v="No"/>
    <s v="Sep"/>
    <n v="2022"/>
    <n v="0.45"/>
    <s v="Small"/>
    <s v="Low Profit"/>
    <x v="17"/>
    <x v="17"/>
  </r>
  <r>
    <s v="ORD-1155"/>
    <d v="2024-04-09T00:00:00"/>
    <x v="1"/>
    <s v="Canada"/>
    <s v="Amit Kumar"/>
    <x v="2"/>
    <s v="Lamp"/>
    <n v="46"/>
    <n v="1500"/>
    <n v="10"/>
    <n v="62100"/>
    <n v="31050"/>
    <n v="31050"/>
    <s v="B2C"/>
    <s v="Credit Card"/>
    <s v="Yes"/>
    <s v="Apr"/>
    <n v="2024"/>
    <n v="0.5"/>
    <s v="Small"/>
    <s v="Medium Profit"/>
    <x v="8"/>
    <x v="8"/>
  </r>
  <r>
    <s v="ORD-1156"/>
    <d v="2022-12-14T00:00:00"/>
    <x v="3"/>
    <s v="France"/>
    <s v="Priya Mehta"/>
    <x v="0"/>
    <s v="Jacket"/>
    <n v="22"/>
    <n v="3500"/>
    <n v="20"/>
    <n v="61600"/>
    <n v="24640"/>
    <n v="36960"/>
    <s v="B2B"/>
    <s v="Wallet"/>
    <s v="No"/>
    <s v="Dec"/>
    <n v="2022"/>
    <n v="0.6"/>
    <s v="Small"/>
    <s v="High Profit"/>
    <x v="24"/>
    <x v="24"/>
  </r>
  <r>
    <s v="ORD-1157"/>
    <d v="2024-06-14T00:00:00"/>
    <x v="1"/>
    <s v="Canada"/>
    <s v="Vikram Nair"/>
    <x v="1"/>
    <s v="Laptop"/>
    <n v="32"/>
    <n v="75000"/>
    <n v="15"/>
    <n v="2040000"/>
    <n v="1122000"/>
    <n v="918000"/>
    <s v="B2B"/>
    <s v="Wallet"/>
    <s v="No"/>
    <s v="Jun"/>
    <n v="2024"/>
    <n v="0.45"/>
    <s v="Large"/>
    <s v="Low Profit"/>
    <x v="25"/>
    <x v="25"/>
  </r>
  <r>
    <s v="ORD-1158"/>
    <d v="2023-12-09T00:00:00"/>
    <x v="3"/>
    <s v="Germany"/>
    <s v="Vikram Nair"/>
    <x v="1"/>
    <s v="Smartwatch"/>
    <n v="18"/>
    <n v="15000"/>
    <n v="5"/>
    <n v="256500"/>
    <n v="141075"/>
    <n v="115425"/>
    <s v="B2C"/>
    <s v="Cash"/>
    <s v="No"/>
    <s v="Dec"/>
    <n v="2023"/>
    <n v="0.45"/>
    <s v="Small"/>
    <s v="Low Profit"/>
    <x v="30"/>
    <x v="30"/>
  </r>
  <r>
    <s v="ORD-1159"/>
    <d v="2022-02-15T00:00:00"/>
    <x v="0"/>
    <s v="Japan"/>
    <s v="Aarav Shah"/>
    <x v="1"/>
    <s v="Tablet"/>
    <n v="47"/>
    <n v="35000"/>
    <n v="0"/>
    <n v="1645000"/>
    <n v="904750"/>
    <n v="740250"/>
    <s v="Enterprise"/>
    <s v="Cash"/>
    <s v="Yes"/>
    <s v="Feb"/>
    <n v="2022"/>
    <n v="0.45"/>
    <s v="Large"/>
    <s v="Low Profit"/>
    <x v="29"/>
    <x v="29"/>
  </r>
  <r>
    <s v="ORD-1160"/>
    <d v="2023-04-06T00:00:00"/>
    <x v="1"/>
    <s v="USA"/>
    <s v="Rahul Gupta"/>
    <x v="0"/>
    <s v="Jeans"/>
    <n v="28"/>
    <n v="2500"/>
    <n v="10"/>
    <n v="63000"/>
    <n v="25200"/>
    <n v="37800"/>
    <s v="B2C"/>
    <s v="Wallet"/>
    <s v="No"/>
    <s v="Apr"/>
    <n v="2023"/>
    <n v="0.6"/>
    <s v="Small"/>
    <s v="High Profit"/>
    <x v="26"/>
    <x v="26"/>
  </r>
  <r>
    <s v="ORD-1161"/>
    <d v="2023-04-27T00:00:00"/>
    <x v="3"/>
    <s v="UK"/>
    <s v="Priya Mehta"/>
    <x v="2"/>
    <s v="Sofa"/>
    <n v="3"/>
    <n v="25000"/>
    <n v="5"/>
    <n v="71250"/>
    <n v="35625"/>
    <n v="35625"/>
    <s v="Enterprise"/>
    <s v="Credit Card"/>
    <s v="Yes"/>
    <s v="Apr"/>
    <n v="2023"/>
    <n v="0.5"/>
    <s v="Small"/>
    <s v="Medium Profit"/>
    <x v="26"/>
    <x v="26"/>
  </r>
  <r>
    <s v="ORD-1162"/>
    <d v="2024-01-17T00:00:00"/>
    <x v="1"/>
    <s v="Canada"/>
    <s v="Vikram Nair"/>
    <x v="3"/>
    <s v="Tennis Racket"/>
    <n v="2"/>
    <n v="5500"/>
    <n v="5"/>
    <n v="10450"/>
    <n v="4702.5"/>
    <n v="5747.5"/>
    <s v="Enterprise"/>
    <s v="Credit Card"/>
    <s v="No"/>
    <s v="Jan"/>
    <n v="2024"/>
    <n v="0.55000000000000004"/>
    <s v="Small"/>
    <s v="Medium Profit"/>
    <x v="3"/>
    <x v="3"/>
  </r>
  <r>
    <s v="ORD-1163"/>
    <d v="2024-04-04T00:00:00"/>
    <x v="2"/>
    <s v="Argentina"/>
    <s v="Vikram Nair"/>
    <x v="0"/>
    <s v="Jacket"/>
    <n v="24"/>
    <n v="3500"/>
    <n v="20"/>
    <n v="67200"/>
    <n v="26880"/>
    <n v="40320"/>
    <s v="B2B"/>
    <s v="Cash"/>
    <s v="No"/>
    <s v="Apr"/>
    <n v="2024"/>
    <n v="0.6"/>
    <s v="Small"/>
    <s v="High Profit"/>
    <x v="8"/>
    <x v="8"/>
  </r>
  <r>
    <s v="ORD-1164"/>
    <d v="2023-06-24T00:00:00"/>
    <x v="2"/>
    <s v="Argentina"/>
    <s v="Amit Kumar"/>
    <x v="1"/>
    <s v="Smartwatch"/>
    <n v="26"/>
    <n v="15000"/>
    <n v="5"/>
    <n v="370500"/>
    <n v="203775"/>
    <n v="166725"/>
    <s v="B2C"/>
    <s v="Credit Card"/>
    <s v="No"/>
    <s v="Jun"/>
    <n v="2023"/>
    <n v="0.45"/>
    <s v="Medium"/>
    <s v="Low Profit"/>
    <x v="2"/>
    <x v="2"/>
  </r>
  <r>
    <s v="ORD-1165"/>
    <d v="2024-03-07T00:00:00"/>
    <x v="1"/>
    <s v="Canada"/>
    <s v="Rahul Gupta"/>
    <x v="2"/>
    <s v="Sofa"/>
    <n v="30"/>
    <n v="25000"/>
    <n v="20"/>
    <n v="600000"/>
    <n v="300000"/>
    <n v="300000"/>
    <s v="B2B"/>
    <s v="UPI"/>
    <s v="No"/>
    <s v="Mar"/>
    <n v="2024"/>
    <n v="0.5"/>
    <s v="Medium"/>
    <s v="Medium Profit"/>
    <x v="27"/>
    <x v="27"/>
  </r>
  <r>
    <s v="ORD-1166"/>
    <d v="2023-03-01T00:00:00"/>
    <x v="0"/>
    <s v="India"/>
    <s v="Priya Mehta"/>
    <x v="2"/>
    <s v="Rug"/>
    <n v="30"/>
    <n v="4000"/>
    <n v="20"/>
    <n v="96000"/>
    <n v="48000"/>
    <n v="48000"/>
    <s v="Enterprise"/>
    <s v="Wallet"/>
    <s v="No"/>
    <s v="Mar"/>
    <n v="2023"/>
    <n v="0.5"/>
    <s v="Small"/>
    <s v="Medium Profit"/>
    <x v="22"/>
    <x v="22"/>
  </r>
  <r>
    <s v="ORD-1167"/>
    <d v="2023-10-18T00:00:00"/>
    <x v="3"/>
    <s v="Germany"/>
    <s v="Amit Kumar"/>
    <x v="1"/>
    <s v="Tablet"/>
    <n v="22"/>
    <n v="35000"/>
    <n v="10"/>
    <n v="693000"/>
    <n v="381150"/>
    <n v="311850"/>
    <s v="B2C"/>
    <s v="UPI"/>
    <s v="No"/>
    <s v="Oct"/>
    <n v="2023"/>
    <n v="0.45"/>
    <s v="Medium"/>
    <s v="Low Profit"/>
    <x v="14"/>
    <x v="14"/>
  </r>
  <r>
    <s v="ORD-1168"/>
    <d v="2024-06-28T00:00:00"/>
    <x v="3"/>
    <s v="UK"/>
    <s v="Amit Kumar"/>
    <x v="0"/>
    <s v="Jeans"/>
    <n v="17"/>
    <n v="2500"/>
    <n v="15"/>
    <n v="36125"/>
    <n v="14450"/>
    <n v="21675"/>
    <s v="Enterprise"/>
    <s v="Wallet"/>
    <s v="No"/>
    <s v="Jun"/>
    <n v="2024"/>
    <n v="0.6"/>
    <s v="Small"/>
    <s v="High Profit"/>
    <x v="25"/>
    <x v="25"/>
  </r>
  <r>
    <s v="ORD-1169"/>
    <d v="2022-06-21T00:00:00"/>
    <x v="3"/>
    <s v="France"/>
    <s v="Anjali Singh"/>
    <x v="1"/>
    <s v="Smartphone"/>
    <n v="48"/>
    <n v="45000"/>
    <n v="20"/>
    <n v="1728000"/>
    <n v="950400"/>
    <n v="777600"/>
    <s v="B2C"/>
    <s v="Net Banking"/>
    <s v="No"/>
    <s v="Jun"/>
    <n v="2022"/>
    <n v="0.45"/>
    <s v="Large"/>
    <s v="Low Profit"/>
    <x v="4"/>
    <x v="4"/>
  </r>
  <r>
    <s v="ORD-1170"/>
    <d v="2023-09-15T00:00:00"/>
    <x v="3"/>
    <s v="UK"/>
    <s v="Rahul Gupta"/>
    <x v="0"/>
    <s v="Cap"/>
    <n v="23"/>
    <n v="600"/>
    <n v="20"/>
    <n v="11040"/>
    <n v="4416"/>
    <n v="6624"/>
    <s v="B2C"/>
    <s v="Credit Card"/>
    <s v="No"/>
    <s v="Sep"/>
    <n v="2023"/>
    <n v="0.6"/>
    <s v="Small"/>
    <s v="High Profit"/>
    <x v="7"/>
    <x v="7"/>
  </r>
  <r>
    <s v="ORD-1171"/>
    <d v="2023-07-18T00:00:00"/>
    <x v="3"/>
    <s v="UK"/>
    <s v="Rohan Joshi"/>
    <x v="0"/>
    <s v="Jeans"/>
    <n v="39"/>
    <n v="2500"/>
    <n v="0"/>
    <n v="97500"/>
    <n v="39000"/>
    <n v="58500"/>
    <s v="B2C"/>
    <s v="UPI"/>
    <s v="No"/>
    <s v="Jul"/>
    <n v="2023"/>
    <n v="0.6"/>
    <s v="Small"/>
    <s v="High Profit"/>
    <x v="5"/>
    <x v="5"/>
  </r>
  <r>
    <s v="ORD-1172"/>
    <d v="2023-02-04T00:00:00"/>
    <x v="0"/>
    <s v="India"/>
    <s v="Rahul Gupta"/>
    <x v="3"/>
    <s v="Football"/>
    <n v="27"/>
    <n v="900"/>
    <n v="10"/>
    <n v="21870"/>
    <n v="9841.5"/>
    <n v="12028.5"/>
    <s v="B2C"/>
    <s v="Wallet"/>
    <s v="No"/>
    <s v="Feb"/>
    <n v="2023"/>
    <n v="0.55000000000000004"/>
    <s v="Small"/>
    <s v="Medium Profit"/>
    <x v="6"/>
    <x v="6"/>
  </r>
  <r>
    <s v="ORD-1173"/>
    <d v="2023-06-11T00:00:00"/>
    <x v="0"/>
    <s v="China"/>
    <s v="Priya Mehta"/>
    <x v="2"/>
    <s v="Rug"/>
    <n v="35"/>
    <n v="4000"/>
    <n v="20"/>
    <n v="112000"/>
    <n v="56000"/>
    <n v="56000"/>
    <s v="B2B"/>
    <s v="Cash"/>
    <s v="No"/>
    <s v="Jun"/>
    <n v="2023"/>
    <n v="0.5"/>
    <s v="Small"/>
    <s v="Medium Profit"/>
    <x v="2"/>
    <x v="2"/>
  </r>
  <r>
    <s v="ORD-1174"/>
    <d v="2024-08-25T00:00:00"/>
    <x v="3"/>
    <s v="Germany"/>
    <s v="Pooja Patel"/>
    <x v="0"/>
    <s v="Sneakers"/>
    <n v="26"/>
    <n v="4200"/>
    <n v="10"/>
    <n v="98280"/>
    <n v="39312"/>
    <n v="58968"/>
    <s v="Enterprise"/>
    <s v="Net Banking"/>
    <s v="No"/>
    <s v="Aug"/>
    <n v="2024"/>
    <n v="0.6"/>
    <s v="Small"/>
    <s v="High Profit"/>
    <x v="12"/>
    <x v="12"/>
  </r>
  <r>
    <s v="ORD-1175"/>
    <d v="2024-06-21T00:00:00"/>
    <x v="2"/>
    <s v="Brazil"/>
    <s v="Rohan Joshi"/>
    <x v="3"/>
    <s v="Tennis Racket"/>
    <n v="27"/>
    <n v="5500"/>
    <n v="5"/>
    <n v="141075"/>
    <n v="63483.75"/>
    <n v="77591.25"/>
    <s v="Enterprise"/>
    <s v="UPI"/>
    <s v="No"/>
    <s v="Jun"/>
    <n v="2024"/>
    <n v="0.55000000000000004"/>
    <s v="Small"/>
    <s v="Medium Profit"/>
    <x v="25"/>
    <x v="25"/>
  </r>
  <r>
    <s v="ORD-1176"/>
    <d v="2022-09-20T00:00:00"/>
    <x v="1"/>
    <s v="Canada"/>
    <s v="Aarav Shah"/>
    <x v="2"/>
    <s v="Rug"/>
    <n v="16"/>
    <n v="4000"/>
    <n v="5"/>
    <n v="60800"/>
    <n v="30400"/>
    <n v="30400"/>
    <s v="Enterprise"/>
    <s v="Cash"/>
    <s v="Yes"/>
    <s v="Sep"/>
    <n v="2022"/>
    <n v="0.5"/>
    <s v="Small"/>
    <s v="Medium Profit"/>
    <x v="17"/>
    <x v="17"/>
  </r>
  <r>
    <s v="ORD-1177"/>
    <d v="2022-06-12T00:00:00"/>
    <x v="1"/>
    <s v="Canada"/>
    <s v="Amit Kumar"/>
    <x v="0"/>
    <s v="Sneakers"/>
    <n v="30"/>
    <n v="4200"/>
    <n v="10"/>
    <n v="113400"/>
    <n v="45360"/>
    <n v="68040"/>
    <s v="B2B"/>
    <s v="Cash"/>
    <s v="No"/>
    <s v="Jun"/>
    <n v="2022"/>
    <n v="0.6"/>
    <s v="Small"/>
    <s v="High Profit"/>
    <x v="4"/>
    <x v="4"/>
  </r>
  <r>
    <s v="ORD-1178"/>
    <d v="2023-01-11T00:00:00"/>
    <x v="2"/>
    <s v="Argentina"/>
    <s v="Priya Mehta"/>
    <x v="1"/>
    <s v="Smartphone"/>
    <n v="37"/>
    <n v="45000"/>
    <n v="15"/>
    <n v="1415250"/>
    <n v="778387.5"/>
    <n v="636862.5"/>
    <s v="B2B"/>
    <s v="Wallet"/>
    <s v="No"/>
    <s v="Jan"/>
    <n v="2023"/>
    <n v="0.45"/>
    <s v="Large"/>
    <s v="Low Profit"/>
    <x v="35"/>
    <x v="35"/>
  </r>
  <r>
    <s v="ORD-1179"/>
    <d v="2024-05-08T00:00:00"/>
    <x v="2"/>
    <s v="Argentina"/>
    <s v="Amit Kumar"/>
    <x v="1"/>
    <s v="Smartwatch"/>
    <n v="22"/>
    <n v="15000"/>
    <n v="5"/>
    <n v="313500"/>
    <n v="172425"/>
    <n v="141075"/>
    <s v="B2C"/>
    <s v="Credit Card"/>
    <s v="No"/>
    <s v="May"/>
    <n v="2024"/>
    <n v="0.45"/>
    <s v="Medium"/>
    <s v="Low Profit"/>
    <x v="34"/>
    <x v="34"/>
  </r>
  <r>
    <s v="ORD-1180"/>
    <d v="2022-01-24T00:00:00"/>
    <x v="1"/>
    <s v="Canada"/>
    <s v="Amit Kumar"/>
    <x v="3"/>
    <s v="Tennis Racket"/>
    <n v="5"/>
    <n v="5500"/>
    <n v="15"/>
    <n v="23375"/>
    <n v="10518.75"/>
    <n v="12856.25"/>
    <s v="Enterprise"/>
    <s v="Wallet"/>
    <s v="No"/>
    <s v="Jan"/>
    <n v="2022"/>
    <n v="0.55000000000000004"/>
    <s v="Small"/>
    <s v="Medium Profit"/>
    <x v="10"/>
    <x v="10"/>
  </r>
  <r>
    <s v="ORD-1181"/>
    <d v="2022-08-23T00:00:00"/>
    <x v="1"/>
    <s v="Canada"/>
    <s v="Pooja Patel"/>
    <x v="1"/>
    <s v="Tablet"/>
    <n v="26"/>
    <n v="35000"/>
    <n v="0"/>
    <n v="910000"/>
    <n v="500500"/>
    <n v="409500"/>
    <s v="B2C"/>
    <s v="Wallet"/>
    <s v="No"/>
    <s v="Aug"/>
    <n v="2022"/>
    <n v="0.45"/>
    <s v="Large"/>
    <s v="Low Profit"/>
    <x v="0"/>
    <x v="0"/>
  </r>
  <r>
    <s v="ORD-1182"/>
    <d v="2024-05-14T00:00:00"/>
    <x v="1"/>
    <s v="USA"/>
    <s v="Rahul Gupta"/>
    <x v="2"/>
    <s v="Rug"/>
    <n v="49"/>
    <n v="4000"/>
    <n v="0"/>
    <n v="196000"/>
    <n v="98000"/>
    <n v="98000"/>
    <s v="B2C"/>
    <s v="Cash"/>
    <s v="No"/>
    <s v="May"/>
    <n v="2024"/>
    <n v="0.5"/>
    <s v="Small"/>
    <s v="Medium Profit"/>
    <x v="34"/>
    <x v="34"/>
  </r>
  <r>
    <s v="ORD-1183"/>
    <d v="2023-10-05T00:00:00"/>
    <x v="2"/>
    <s v="Argentina"/>
    <s v="Sneha Iyer"/>
    <x v="2"/>
    <s v="Blender"/>
    <n v="22"/>
    <n v="5000"/>
    <n v="0"/>
    <n v="110000"/>
    <n v="55000"/>
    <n v="55000"/>
    <s v="Enterprise"/>
    <s v="Cash"/>
    <s v="No"/>
    <s v="Oct"/>
    <n v="2023"/>
    <n v="0.5"/>
    <s v="Small"/>
    <s v="Medium Profit"/>
    <x v="14"/>
    <x v="14"/>
  </r>
  <r>
    <s v="ORD-1184"/>
    <d v="2023-04-25T00:00:00"/>
    <x v="0"/>
    <s v="Japan"/>
    <s v="Vikram Nair"/>
    <x v="3"/>
    <s v="Cycle"/>
    <n v="29"/>
    <n v="18000"/>
    <n v="10"/>
    <n v="469800"/>
    <n v="211410"/>
    <n v="258390"/>
    <s v="B2C"/>
    <s v="Wallet"/>
    <s v="Yes"/>
    <s v="Apr"/>
    <n v="2023"/>
    <n v="0.55000000000000004"/>
    <s v="Medium"/>
    <s v="Medium Profit"/>
    <x v="26"/>
    <x v="26"/>
  </r>
  <r>
    <s v="ORD-1185"/>
    <d v="2022-03-25T00:00:00"/>
    <x v="2"/>
    <s v="Brazil"/>
    <s v="Amit Kumar"/>
    <x v="2"/>
    <s v="Blender"/>
    <n v="15"/>
    <n v="5000"/>
    <n v="10"/>
    <n v="67500"/>
    <n v="33750"/>
    <n v="33750"/>
    <s v="B2C"/>
    <s v="Net Banking"/>
    <s v="Yes"/>
    <s v="Mar"/>
    <n v="2022"/>
    <n v="0.5"/>
    <s v="Small"/>
    <s v="Medium Profit"/>
    <x v="1"/>
    <x v="1"/>
  </r>
  <r>
    <s v="ORD-1186"/>
    <d v="2023-08-23T00:00:00"/>
    <x v="2"/>
    <s v="Argentina"/>
    <s v="Pooja Patel"/>
    <x v="3"/>
    <s v="Cycle"/>
    <n v="10"/>
    <n v="18000"/>
    <n v="5"/>
    <n v="171000"/>
    <n v="76950"/>
    <n v="94050"/>
    <s v="Enterprise"/>
    <s v="Net Banking"/>
    <s v="No"/>
    <s v="Aug"/>
    <n v="2023"/>
    <n v="0.55000000000000004"/>
    <s v="Small"/>
    <s v="Medium Profit"/>
    <x v="19"/>
    <x v="19"/>
  </r>
  <r>
    <s v="ORD-1187"/>
    <d v="2024-01-09T00:00:00"/>
    <x v="2"/>
    <s v="Brazil"/>
    <s v="Sneha Iyer"/>
    <x v="2"/>
    <s v="Air Fryer"/>
    <n v="38"/>
    <n v="8500"/>
    <n v="0"/>
    <n v="323000"/>
    <n v="161500"/>
    <n v="161500"/>
    <s v="B2C"/>
    <s v="Wallet"/>
    <s v="No"/>
    <s v="Jan"/>
    <n v="2024"/>
    <n v="0.5"/>
    <s v="Medium"/>
    <s v="Medium Profit"/>
    <x v="3"/>
    <x v="3"/>
  </r>
  <r>
    <s v="ORD-1188"/>
    <d v="2024-10-13T00:00:00"/>
    <x v="3"/>
    <s v="France"/>
    <s v="Rahul Gupta"/>
    <x v="2"/>
    <s v="Air Fryer"/>
    <n v="38"/>
    <n v="8500"/>
    <n v="20"/>
    <n v="258400"/>
    <n v="129200"/>
    <n v="129200"/>
    <s v="Enterprise"/>
    <s v="Net Banking"/>
    <s v="No"/>
    <s v="Oct"/>
    <n v="2024"/>
    <n v="0.5"/>
    <s v="Small"/>
    <s v="Medium Profit"/>
    <x v="31"/>
    <x v="31"/>
  </r>
  <r>
    <s v="ORD-1189"/>
    <d v="2024-01-28T00:00:00"/>
    <x v="3"/>
    <s v="France"/>
    <s v="Rahul Gupta"/>
    <x v="3"/>
    <s v="Dumbbell"/>
    <n v="31"/>
    <n v="3000"/>
    <n v="15"/>
    <n v="79050"/>
    <n v="35572.5"/>
    <n v="43477.5"/>
    <s v="Enterprise"/>
    <s v="Credit Card"/>
    <s v="No"/>
    <s v="Jan"/>
    <n v="2024"/>
    <n v="0.55000000000000004"/>
    <s v="Small"/>
    <s v="Medium Profit"/>
    <x v="3"/>
    <x v="3"/>
  </r>
  <r>
    <s v="ORD-1190"/>
    <d v="2023-10-08T00:00:00"/>
    <x v="0"/>
    <s v="India"/>
    <s v="Sneha Iyer"/>
    <x v="0"/>
    <s v="T-Shirt"/>
    <n v="39"/>
    <n v="800"/>
    <n v="0"/>
    <n v="31200"/>
    <n v="12480"/>
    <n v="18720"/>
    <s v="B2C"/>
    <s v="Cash"/>
    <s v="No"/>
    <s v="Oct"/>
    <n v="2023"/>
    <n v="0.6"/>
    <s v="Small"/>
    <s v="High Profit"/>
    <x v="14"/>
    <x v="14"/>
  </r>
  <r>
    <s v="ORD-1191"/>
    <d v="2024-06-19T00:00:00"/>
    <x v="1"/>
    <s v="USA"/>
    <s v="Sneha Iyer"/>
    <x v="2"/>
    <s v="Blender"/>
    <n v="26"/>
    <n v="5000"/>
    <n v="0"/>
    <n v="130000"/>
    <n v="65000"/>
    <n v="65000"/>
    <s v="Enterprise"/>
    <s v="Credit Card"/>
    <s v="No"/>
    <s v="Jun"/>
    <n v="2024"/>
    <n v="0.5"/>
    <s v="Small"/>
    <s v="Medium Profit"/>
    <x v="25"/>
    <x v="25"/>
  </r>
  <r>
    <s v="ORD-1192"/>
    <d v="2023-06-18T00:00:00"/>
    <x v="1"/>
    <s v="USA"/>
    <s v="Pooja Patel"/>
    <x v="0"/>
    <s v="Sneakers"/>
    <n v="17"/>
    <n v="4200"/>
    <n v="5"/>
    <n v="67830"/>
    <n v="27132"/>
    <n v="40698"/>
    <s v="B2B"/>
    <s v="Cash"/>
    <s v="No"/>
    <s v="Jun"/>
    <n v="2023"/>
    <n v="0.6"/>
    <s v="Small"/>
    <s v="High Profit"/>
    <x v="2"/>
    <x v="2"/>
  </r>
  <r>
    <s v="ORD-1193"/>
    <d v="2022-12-02T00:00:00"/>
    <x v="0"/>
    <s v="China"/>
    <s v="Vikram Nair"/>
    <x v="1"/>
    <s v="Smartphone"/>
    <n v="47"/>
    <n v="45000"/>
    <n v="0"/>
    <n v="2115000"/>
    <n v="1163250"/>
    <n v="951750"/>
    <s v="Enterprise"/>
    <s v="Net Banking"/>
    <s v="No"/>
    <s v="Dec"/>
    <n v="2022"/>
    <n v="0.45"/>
    <s v="Large"/>
    <s v="Low Profit"/>
    <x v="24"/>
    <x v="24"/>
  </r>
  <r>
    <s v="ORD-1194"/>
    <d v="2022-04-07T00:00:00"/>
    <x v="2"/>
    <s v="Brazil"/>
    <s v="Neha Sharma"/>
    <x v="3"/>
    <s v="Tennis Racket"/>
    <n v="7"/>
    <n v="5500"/>
    <n v="20"/>
    <n v="30800"/>
    <n v="13860"/>
    <n v="16940"/>
    <s v="B2C"/>
    <s v="Credit Card"/>
    <s v="No"/>
    <s v="Apr"/>
    <n v="2022"/>
    <n v="0.55000000000000004"/>
    <s v="Small"/>
    <s v="Medium Profit"/>
    <x v="28"/>
    <x v="28"/>
  </r>
  <r>
    <s v="ORD-1195"/>
    <d v="2023-01-16T00:00:00"/>
    <x v="1"/>
    <s v="Canada"/>
    <s v="Priya Mehta"/>
    <x v="3"/>
    <s v="Dumbbell"/>
    <n v="7"/>
    <n v="3000"/>
    <n v="20"/>
    <n v="16800"/>
    <n v="7560"/>
    <n v="9240"/>
    <s v="B2B"/>
    <s v="Wallet"/>
    <s v="Yes"/>
    <s v="Jan"/>
    <n v="2023"/>
    <n v="0.55000000000000004"/>
    <s v="Small"/>
    <s v="Medium Profit"/>
    <x v="35"/>
    <x v="35"/>
  </r>
  <r>
    <s v="ORD-1196"/>
    <d v="2024-08-10T00:00:00"/>
    <x v="1"/>
    <s v="Canada"/>
    <s v="Priya Mehta"/>
    <x v="3"/>
    <s v="Dumbbell"/>
    <n v="38"/>
    <n v="3000"/>
    <n v="20"/>
    <n v="91200"/>
    <n v="41040"/>
    <n v="50160"/>
    <s v="B2B"/>
    <s v="Net Banking"/>
    <s v="No"/>
    <s v="Aug"/>
    <n v="2024"/>
    <n v="0.55000000000000004"/>
    <s v="Small"/>
    <s v="Medium Profit"/>
    <x v="12"/>
    <x v="12"/>
  </r>
  <r>
    <s v="ORD-1197"/>
    <d v="2024-03-20T00:00:00"/>
    <x v="0"/>
    <s v="Japan"/>
    <s v="Rahul Gupta"/>
    <x v="2"/>
    <s v="Rug"/>
    <n v="31"/>
    <n v="4000"/>
    <n v="20"/>
    <n v="99200"/>
    <n v="49600"/>
    <n v="49600"/>
    <s v="Enterprise"/>
    <s v="Net Banking"/>
    <s v="No"/>
    <s v="Mar"/>
    <n v="2024"/>
    <n v="0.5"/>
    <s v="Small"/>
    <s v="Medium Profit"/>
    <x v="27"/>
    <x v="27"/>
  </r>
  <r>
    <s v="ORD-1198"/>
    <d v="2023-05-28T00:00:00"/>
    <x v="2"/>
    <s v="Argentina"/>
    <s v="Vikram Nair"/>
    <x v="2"/>
    <s v="Lamp"/>
    <n v="8"/>
    <n v="1500"/>
    <n v="5"/>
    <n v="11400"/>
    <n v="5700"/>
    <n v="5700"/>
    <s v="B2B"/>
    <s v="Net Banking"/>
    <s v="No"/>
    <s v="May"/>
    <n v="2023"/>
    <n v="0.5"/>
    <s v="Small"/>
    <s v="Medium Profit"/>
    <x v="33"/>
    <x v="33"/>
  </r>
  <r>
    <s v="ORD-1199"/>
    <d v="2024-09-16T00:00:00"/>
    <x v="3"/>
    <s v="UK"/>
    <s v="Rahul Gupta"/>
    <x v="1"/>
    <s v="Headphones"/>
    <n v="44"/>
    <n v="8000"/>
    <n v="10"/>
    <n v="316800"/>
    <n v="174240"/>
    <n v="142560"/>
    <s v="B2C"/>
    <s v="Net Banking"/>
    <s v="No"/>
    <s v="Sep"/>
    <n v="2024"/>
    <n v="0.45"/>
    <s v="Medium"/>
    <s v="Low Profit"/>
    <x v="11"/>
    <x v="11"/>
  </r>
  <r>
    <s v="ORD-1200"/>
    <d v="2024-11-27T00:00:00"/>
    <x v="2"/>
    <s v="Brazil"/>
    <s v="Priya Mehta"/>
    <x v="0"/>
    <s v="Sneakers"/>
    <n v="20"/>
    <n v="4200"/>
    <n v="20"/>
    <n v="67200"/>
    <n v="26880"/>
    <n v="40320"/>
    <s v="B2C"/>
    <s v="Wallet"/>
    <s v="No"/>
    <s v="Nov"/>
    <n v="2024"/>
    <n v="0.6"/>
    <s v="Small"/>
    <s v="High Profit"/>
    <x v="18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A1EE6-EC63-4808-8703-20C22490FB6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D8" firstHeaderRow="0" firstDataRow="1" firstDataCol="1"/>
  <pivotFields count="26">
    <pivotField showAll="0"/>
    <pivotField numFmtId="14"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dataField="1" numFmtId="9" showAll="0"/>
    <pivotField showAll="0"/>
    <pivotField showAll="0"/>
    <pivotField showAll="0"/>
    <pivotField numFmtId="165" showAll="0">
      <items count="37">
        <item x="10"/>
        <item x="29"/>
        <item x="1"/>
        <item x="28"/>
        <item x="13"/>
        <item x="4"/>
        <item x="16"/>
        <item x="0"/>
        <item x="17"/>
        <item x="21"/>
        <item x="9"/>
        <item x="24"/>
        <item x="35"/>
        <item x="6"/>
        <item x="22"/>
        <item x="26"/>
        <item x="33"/>
        <item x="2"/>
        <item x="5"/>
        <item x="19"/>
        <item x="7"/>
        <item x="14"/>
        <item x="32"/>
        <item x="30"/>
        <item x="3"/>
        <item x="23"/>
        <item x="27"/>
        <item x="8"/>
        <item x="34"/>
        <item x="25"/>
        <item x="15"/>
        <item x="12"/>
        <item x="11"/>
        <item x="31"/>
        <item x="18"/>
        <item x="2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0" baseField="0" baseItem="0"/>
    <dataField name="Sum of Profit" fld="12" baseField="0" baseItem="0"/>
    <dataField name="Average of profit margin%" fld="18" subtotal="average" baseField="5" baseItem="0" numFmtId="9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38535-9876-49AB-9E62-2034B925BDB3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month start">
  <location ref="A3:B40" firstHeaderRow="1" firstDataRow="1" firstDataCol="1"/>
  <pivotFields count="26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>
      <items count="37">
        <item x="28"/>
        <item x="26"/>
        <item x="8"/>
        <item x="0"/>
        <item x="19"/>
        <item x="12"/>
        <item x="24"/>
        <item x="30"/>
        <item x="20"/>
        <item x="29"/>
        <item x="6"/>
        <item x="23"/>
        <item x="10"/>
        <item x="35"/>
        <item x="3"/>
        <item x="16"/>
        <item x="5"/>
        <item x="15"/>
        <item x="4"/>
        <item x="2"/>
        <item x="25"/>
        <item x="1"/>
        <item x="22"/>
        <item x="27"/>
        <item x="13"/>
        <item x="33"/>
        <item x="34"/>
        <item x="9"/>
        <item x="32"/>
        <item x="18"/>
        <item x="21"/>
        <item x="14"/>
        <item x="31"/>
        <item x="17"/>
        <item x="7"/>
        <item x="11"/>
        <item t="default"/>
      </items>
    </pivotField>
    <pivotField axis="axisRow" numFmtId="165" showAll="0" sortType="ascending">
      <items count="37">
        <item x="10"/>
        <item x="29"/>
        <item x="1"/>
        <item x="28"/>
        <item x="13"/>
        <item x="4"/>
        <item x="16"/>
        <item x="0"/>
        <item x="17"/>
        <item x="21"/>
        <item x="9"/>
        <item x="24"/>
        <item x="35"/>
        <item x="6"/>
        <item x="22"/>
        <item x="26"/>
        <item x="33"/>
        <item x="2"/>
        <item x="5"/>
        <item x="19"/>
        <item x="7"/>
        <item x="14"/>
        <item x="32"/>
        <item x="30"/>
        <item x="3"/>
        <item x="23"/>
        <item x="27"/>
        <item x="8"/>
        <item x="34"/>
        <item x="25"/>
        <item x="15"/>
        <item x="12"/>
        <item x="11"/>
        <item x="31"/>
        <item x="18"/>
        <item x="2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2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Sum of Revenue" fld="10" baseField="0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A0BC43-23AD-4B1F-B9F0-417C12EB5DAD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8" firstHeaderRow="0" firstDataRow="1" firstDataCol="1"/>
  <pivotFields count="26">
    <pivotField showAll="0"/>
    <pivotField numFmtId="14"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dataField="1" numFmtId="9" showAll="0"/>
    <pivotField showAll="0"/>
    <pivotField showAll="0"/>
    <pivotField showAll="0"/>
    <pivotField numFmtId="165" showAll="0">
      <items count="37">
        <item x="10"/>
        <item x="29"/>
        <item x="1"/>
        <item x="28"/>
        <item x="13"/>
        <item x="4"/>
        <item x="16"/>
        <item x="0"/>
        <item x="17"/>
        <item x="21"/>
        <item x="9"/>
        <item x="24"/>
        <item x="35"/>
        <item x="6"/>
        <item x="22"/>
        <item x="26"/>
        <item x="33"/>
        <item x="2"/>
        <item x="5"/>
        <item x="19"/>
        <item x="7"/>
        <item x="14"/>
        <item x="32"/>
        <item x="30"/>
        <item x="3"/>
        <item x="23"/>
        <item x="27"/>
        <item x="8"/>
        <item x="34"/>
        <item x="25"/>
        <item x="15"/>
        <item x="12"/>
        <item x="11"/>
        <item x="31"/>
        <item x="18"/>
        <item x="20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5">
    <i>
      <x/>
    </i>
    <i>
      <x v="3"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0" baseField="0" baseItem="0"/>
    <dataField name="Sum of Profit" fld="12" baseField="0" baseItem="0"/>
    <dataField name="Average of profit margin%" fld="18" subtotal="average" baseField="2" baseItem="0" numFmtId="9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4ECF1E9-7B6A-444A-8352-0A7C0A6F0881}" autoFormatId="16" applyNumberFormats="0" applyBorderFormats="0" applyFontFormats="0" applyPatternFormats="0" applyAlignmentFormats="0" applyWidthHeightFormats="0">
  <queryTableRefresh nextId="26" unboundColumnsRight="7">
    <queryTableFields count="23">
      <queryTableField id="1" name="Order_ID" tableColumnId="1"/>
      <queryTableField id="2" name="Date" tableColumnId="2"/>
      <queryTableField id="3" name="Region" tableColumnId="3"/>
      <queryTableField id="4" name="Country" tableColumnId="4"/>
      <queryTableField id="5" name="Salesperson" tableColumnId="5"/>
      <queryTableField id="6" name="Product_Category" tableColumnId="6"/>
      <queryTableField id="7" name="Product_Name" tableColumnId="7"/>
      <queryTableField id="8" name="Units_Sold" tableColumnId="8"/>
      <queryTableField id="9" name="Unit_Price" tableColumnId="9"/>
      <queryTableField id="10" name="Discount_%" tableColumnId="10"/>
      <queryTableField id="11" name="Revenue" tableColumnId="11"/>
      <queryTableField id="12" name="COGS" tableColumnId="12"/>
      <queryTableField id="13" name="Profit" tableColumnId="13"/>
      <queryTableField id="14" name="Customer_Segment" tableColumnId="14"/>
      <queryTableField id="15" name="Payment_Method" tableColumnId="15"/>
      <queryTableField id="16" name="Return_Flag" tableColumnId="16"/>
      <queryTableField id="17" dataBound="0" tableColumnId="17"/>
      <queryTableField id="18" dataBound="0" tableColumnId="18"/>
      <queryTableField id="19" dataBound="0" tableColumnId="19"/>
      <queryTableField id="22" dataBound="0" tableColumnId="22"/>
      <queryTableField id="23" dataBound="0" tableColumnId="23"/>
      <queryTableField id="24" dataBound="0" tableColumnId="24"/>
      <queryTableField id="25" dataBound="0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4713AC-5D8B-45B1-B7A7-887CA8F8B337}" autoFormatId="16" applyNumberFormats="0" applyBorderFormats="0" applyFontFormats="0" applyPatternFormats="0" applyAlignmentFormats="0" applyWidthHeightFormats="0">
  <queryTableRefresh nextId="17">
    <queryTableFields count="16">
      <queryTableField id="1" name="Order_ID" tableColumnId="1"/>
      <queryTableField id="2" name="Date" tableColumnId="2"/>
      <queryTableField id="3" name="Region" tableColumnId="3"/>
      <queryTableField id="4" name="Country" tableColumnId="4"/>
      <queryTableField id="5" name="Salesperson" tableColumnId="5"/>
      <queryTableField id="6" name="Product_Category" tableColumnId="6"/>
      <queryTableField id="7" name="Product_Name" tableColumnId="7"/>
      <queryTableField id="8" name="Units_Sold" tableColumnId="8"/>
      <queryTableField id="9" name="Unit_Price" tableColumnId="9"/>
      <queryTableField id="10" name="Discount_%" tableColumnId="10"/>
      <queryTableField id="11" name="Revenue" tableColumnId="11"/>
      <queryTableField id="12" name="COGS" tableColumnId="12"/>
      <queryTableField id="13" name="Profit" tableColumnId="13"/>
      <queryTableField id="14" name="Customer_Segment" tableColumnId="14"/>
      <queryTableField id="15" name="Payment_Method" tableColumnId="15"/>
      <queryTableField id="16" name="Return_Flag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27A10B-B945-4185-94DF-07E26D855598}" name="clean_data" displayName="clean_data" ref="A1:W1202" tableType="queryTable" totalsRowCount="1">
  <autoFilter ref="A1:W1201" xr:uid="{60C3868C-3E15-436B-AC00-83317D0C2A93}"/>
  <tableColumns count="23">
    <tableColumn id="1" xr3:uid="{9DE2958D-EFF2-41D0-92AC-3BB564198284}" uniqueName="1" name="Order_ID" queryTableFieldId="1" dataDxfId="34"/>
    <tableColumn id="2" xr3:uid="{4AC74510-F1BF-42B0-A96F-554D6435395E}" uniqueName="2" name="Date" queryTableFieldId="2" dataDxfId="33" totalsRowDxfId="2"/>
    <tableColumn id="3" xr3:uid="{57088069-255F-4E77-9369-19D62FAB866A}" uniqueName="3" name="Region" queryTableFieldId="3" dataDxfId="32"/>
    <tableColumn id="4" xr3:uid="{B9D86C3D-0614-4EF3-938B-3797ECC39C8F}" uniqueName="4" name="Country" queryTableFieldId="4" dataDxfId="31"/>
    <tableColumn id="5" xr3:uid="{4826C0B2-0E25-491D-A1D0-6AB93FB7EC1B}" uniqueName="5" name="Salesperson" queryTableFieldId="5" dataDxfId="30"/>
    <tableColumn id="6" xr3:uid="{2B37424A-67AD-4EBA-B70D-AEFECC21BC5C}" uniqueName="6" name="Product_Category" queryTableFieldId="6" dataDxfId="29"/>
    <tableColumn id="7" xr3:uid="{495AFB77-53AD-45F1-860E-4F1C498D8B6F}" uniqueName="7" name="Product_Name" queryTableFieldId="7" dataDxfId="28"/>
    <tableColumn id="8" xr3:uid="{FAEEDA6D-9406-409A-AF06-B0B26647D4FC}" uniqueName="8" name="Units_Sold" queryTableFieldId="8"/>
    <tableColumn id="9" xr3:uid="{71B20E05-9706-4326-8750-6EB502418B3B}" uniqueName="9" name="Unit_Price" queryTableFieldId="9"/>
    <tableColumn id="10" xr3:uid="{80549CD4-2C24-4A3B-9623-B8544F4F1B53}" uniqueName="10" name="Discount_%" queryTableFieldId="10"/>
    <tableColumn id="11" xr3:uid="{96B735DE-3B1B-448B-9C64-4C150C4E7F16}" uniqueName="11" name="Revenue" totalsRowFunction="custom" queryTableFieldId="11">
      <totalsRowFormula>AVERAGE(K2:K1201)</totalsRowFormula>
    </tableColumn>
    <tableColumn id="12" xr3:uid="{D5CF0949-4D01-41FD-A5FD-522E0A35EBA6}" uniqueName="12" name="COGS" queryTableFieldId="12"/>
    <tableColumn id="13" xr3:uid="{066BF637-C0DD-4D80-853B-4700787F8C84}" uniqueName="13" name="Profit" queryTableFieldId="13"/>
    <tableColumn id="14" xr3:uid="{6DE6E91E-64A6-43D2-BA7B-D0288F178B36}" uniqueName="14" name="Customer_Segment" queryTableFieldId="14" dataDxfId="27"/>
    <tableColumn id="15" xr3:uid="{57300583-01CB-4A40-BA56-DA3F2AC7C22A}" uniqueName="15" name="Payment_Method" queryTableFieldId="15" dataDxfId="26"/>
    <tableColumn id="16" xr3:uid="{5A89B3D9-8060-4E7F-AF70-38845E4E78B5}" uniqueName="16" name="Return_Flag" queryTableFieldId="16" dataDxfId="25"/>
    <tableColumn id="17" xr3:uid="{02C3A23C-3885-41E3-843E-98540FF377BD}" uniqueName="17" name="oreder month" queryTableFieldId="17" dataDxfId="24">
      <calculatedColumnFormula>TEXT(clean_data[[#This Row],[Date]],"mmm")</calculatedColumnFormula>
    </tableColumn>
    <tableColumn id="18" xr3:uid="{BF5E417B-EB97-45D6-83CE-08A3000BE9EE}" uniqueName="18" name="order year" queryTableFieldId="18" dataDxfId="23">
      <calculatedColumnFormula>YEAR(clean_data[[#This Row],[Date]])</calculatedColumnFormula>
    </tableColumn>
    <tableColumn id="19" xr3:uid="{EAC12728-B8D5-408E-8E37-3531626E4C35}" uniqueName="19" name="profit margin%" queryTableFieldId="19" totalsRowDxfId="1" dataCellStyle="Percent" totalsRowCellStyle="Percent">
      <calculatedColumnFormula>clean_data[[#This Row],[Profit]]/clean_data[[#This Row],[Revenue]]</calculatedColumnFormula>
    </tableColumn>
    <tableColumn id="22" xr3:uid="{2BD72F28-9A40-4C9B-AC48-5E415FD1BC41}" uniqueName="22" name="order size" queryTableFieldId="22" dataDxfId="22">
      <calculatedColumnFormula array="1">_xlfn.IFS(clean_data[[#This Row],[Revenue]]&lt;300000,"Small",
     clean_data[[#This Row],[Revenue]]&lt;700000,"Medium",
     TRUE,"Large")</calculatedColumnFormula>
    </tableColumn>
    <tableColumn id="23" xr3:uid="{BCA28F54-EE3A-4523-833B-329E5A222F78}" uniqueName="23" name="Profit category" queryTableFieldId="23" dataDxfId="21">
      <calculatedColumnFormula array="1">_xlfn.IFS(clean_data[[#This Row],[profit margin%]]&lt;0.5,"Low Profit",
     clean_data[[#This Row],[profit margin%]]&lt;0.6,"Medium Profit",
     TRUE,"High Profit")</calculatedColumnFormula>
    </tableColumn>
    <tableColumn id="24" xr3:uid="{EFBB5517-8356-4A38-87B0-D7FB0DA11D78}" uniqueName="24" name="year month" queryTableFieldId="24" dataDxfId="20">
      <calculatedColumnFormula>TEXT(clean_data[[#This Row],[Date]],"mmm-yyyy")</calculatedColumnFormula>
    </tableColumn>
    <tableColumn id="20" xr3:uid="{6ADED044-AD12-40FA-B5E2-EF0CE5907666}" uniqueName="20" name="month start" queryTableFieldId="25" dataDxfId="3" totalsRowDxfId="0">
      <calculatedColumnFormula>EOMONTH(clean_data[[#This Row],[Date]],-1)+1</calculatedColumnFormula>
    </tableColumn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C3868C-3E15-436B-AC00-83317D0C2A93}" name="Raw_Sales_Data" displayName="Raw_Sales_Data" ref="A1:P1201" tableType="queryTable" totalsRowShown="0">
  <autoFilter ref="A1:P1201" xr:uid="{60C3868C-3E15-436B-AC00-83317D0C2A93}"/>
  <tableColumns count="16">
    <tableColumn id="1" xr3:uid="{B91D558F-B10F-45DF-A8EE-72DCB8B154E0}" uniqueName="1" name="Order_ID" queryTableFieldId="1" dataDxfId="19"/>
    <tableColumn id="2" xr3:uid="{3BFD5459-CBF6-4D3B-BBB0-7854E0675D56}" uniqueName="2" name="Date" queryTableFieldId="2" dataDxfId="18"/>
    <tableColumn id="3" xr3:uid="{0358F1BC-C79E-48B7-84AC-87447828654E}" uniqueName="3" name="Region" queryTableFieldId="3" dataDxfId="17"/>
    <tableColumn id="4" xr3:uid="{B1B46DCF-D5C0-49B5-8BFB-A17AEF5E20C6}" uniqueName="4" name="Country" queryTableFieldId="4" dataDxfId="16"/>
    <tableColumn id="5" xr3:uid="{D9D44303-DEA6-4C7D-B00C-AD863EDAF01A}" uniqueName="5" name="Salesperson" queryTableFieldId="5" dataDxfId="15"/>
    <tableColumn id="6" xr3:uid="{087BB185-97C5-42CD-BDB4-33886F368F0D}" uniqueName="6" name="Product_Category" queryTableFieldId="6" dataDxfId="14"/>
    <tableColumn id="7" xr3:uid="{BF74CCFC-B950-41FD-9E1B-4E37797AF2A3}" uniqueName="7" name="Product_Name" queryTableFieldId="7" dataDxfId="13"/>
    <tableColumn id="8" xr3:uid="{859AE558-44AD-4AE2-AFDC-4FE54492C728}" uniqueName="8" name="Units_Sold" queryTableFieldId="8"/>
    <tableColumn id="9" xr3:uid="{3B2516DB-ECE6-4B03-B9CB-9CD727D14A77}" uniqueName="9" name="Unit_Price" queryTableFieldId="9"/>
    <tableColumn id="10" xr3:uid="{CF57D720-1AE9-4BDF-9DD0-E169FD1965CC}" uniqueName="10" name="Discount_%" queryTableFieldId="10"/>
    <tableColumn id="11" xr3:uid="{0A5B5ED4-0509-4494-B706-BF0FD5104DA0}" uniqueName="11" name="Revenue" queryTableFieldId="11"/>
    <tableColumn id="12" xr3:uid="{39FB9BB8-B9F8-495C-9996-67764F7D392B}" uniqueName="12" name="COGS" queryTableFieldId="12"/>
    <tableColumn id="13" xr3:uid="{40A6F2A8-2AFD-4316-BC53-5A889337C27A}" uniqueName="13" name="Profit" queryTableFieldId="13"/>
    <tableColumn id="14" xr3:uid="{8B21609F-4E24-4C9F-AC5D-676007860A37}" uniqueName="14" name="Customer_Segment" queryTableFieldId="14" dataDxfId="12"/>
    <tableColumn id="15" xr3:uid="{70373B8A-81EE-4E02-B348-7BE17C11704E}" uniqueName="15" name="Payment_Method" queryTableFieldId="15" dataDxfId="11"/>
    <tableColumn id="16" xr3:uid="{38D411D3-12D0-44CA-B414-AAB1353F9BB5}" uniqueName="16" name="Return_Flag" queryTableFieldId="16" dataDxf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D14C-0E00-4F35-B7C8-A5A87FA03394}">
  <dimension ref="A3:D8"/>
  <sheetViews>
    <sheetView workbookViewId="0">
      <selection activeCell="D13" sqref="D13"/>
    </sheetView>
  </sheetViews>
  <sheetFormatPr defaultRowHeight="14.4" x14ac:dyDescent="0.3"/>
  <cols>
    <col min="1" max="2" width="14.21875" bestFit="1" customWidth="1"/>
    <col min="3" max="3" width="12" bestFit="1" customWidth="1"/>
    <col min="4" max="4" width="22.5546875" bestFit="1" customWidth="1"/>
  </cols>
  <sheetData>
    <row r="3" spans="1:4" x14ac:dyDescent="0.3">
      <c r="A3" s="4" t="s">
        <v>1283</v>
      </c>
      <c r="B3" t="s">
        <v>1285</v>
      </c>
      <c r="C3" t="s">
        <v>1286</v>
      </c>
      <c r="D3" t="s">
        <v>1287</v>
      </c>
    </row>
    <row r="4" spans="1:4" x14ac:dyDescent="0.3">
      <c r="A4" s="5" t="s">
        <v>20</v>
      </c>
      <c r="B4" s="7">
        <v>16716965</v>
      </c>
      <c r="C4" s="7">
        <v>10030179</v>
      </c>
      <c r="D4" s="6">
        <v>0.59999999999999665</v>
      </c>
    </row>
    <row r="5" spans="1:4" x14ac:dyDescent="0.3">
      <c r="A5" s="5" t="s">
        <v>28</v>
      </c>
      <c r="B5" s="7">
        <v>259396500</v>
      </c>
      <c r="C5" s="7">
        <v>116728425</v>
      </c>
      <c r="D5" s="6">
        <v>0.45000000000000179</v>
      </c>
    </row>
    <row r="6" spans="1:4" x14ac:dyDescent="0.3">
      <c r="A6" s="5" t="s">
        <v>33</v>
      </c>
      <c r="B6" s="7">
        <v>58931525</v>
      </c>
      <c r="C6" s="7">
        <v>29465762.5</v>
      </c>
      <c r="D6" s="6">
        <v>0.5</v>
      </c>
    </row>
    <row r="7" spans="1:4" x14ac:dyDescent="0.3">
      <c r="A7" s="5" t="s">
        <v>65</v>
      </c>
      <c r="B7" s="7">
        <v>41902885</v>
      </c>
      <c r="C7" s="7">
        <v>23046586.75</v>
      </c>
      <c r="D7" s="6">
        <v>0.55000000000000104</v>
      </c>
    </row>
    <row r="8" spans="1:4" x14ac:dyDescent="0.3">
      <c r="A8" s="5" t="s">
        <v>1284</v>
      </c>
      <c r="B8" s="7">
        <v>376947875</v>
      </c>
      <c r="C8" s="7">
        <v>179270953.25</v>
      </c>
      <c r="D8" s="6">
        <v>0.52533333333332244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F8AB-068F-41DC-A33D-2D7387D1C35A}">
  <dimension ref="A3:B40"/>
  <sheetViews>
    <sheetView zoomScale="110" workbookViewId="0">
      <selection activeCell="D16" sqref="D16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4" t="s">
        <v>1289</v>
      </c>
      <c r="B3" t="s">
        <v>1285</v>
      </c>
    </row>
    <row r="4" spans="1:2" x14ac:dyDescent="0.3">
      <c r="A4" s="9">
        <v>44562</v>
      </c>
      <c r="B4" s="7">
        <v>11275165</v>
      </c>
    </row>
    <row r="5" spans="1:2" x14ac:dyDescent="0.3">
      <c r="A5" s="9">
        <v>44593</v>
      </c>
      <c r="B5" s="7">
        <v>17372335</v>
      </c>
    </row>
    <row r="6" spans="1:2" x14ac:dyDescent="0.3">
      <c r="A6" s="9">
        <v>44621</v>
      </c>
      <c r="B6" s="7">
        <v>13562500</v>
      </c>
    </row>
    <row r="7" spans="1:2" x14ac:dyDescent="0.3">
      <c r="A7" s="9">
        <v>44652</v>
      </c>
      <c r="B7" s="7">
        <v>13558505</v>
      </c>
    </row>
    <row r="8" spans="1:2" x14ac:dyDescent="0.3">
      <c r="A8" s="9">
        <v>44682</v>
      </c>
      <c r="B8" s="7">
        <v>9692565</v>
      </c>
    </row>
    <row r="9" spans="1:2" x14ac:dyDescent="0.3">
      <c r="A9" s="9">
        <v>44713</v>
      </c>
      <c r="B9" s="7">
        <v>13910780</v>
      </c>
    </row>
    <row r="10" spans="1:2" x14ac:dyDescent="0.3">
      <c r="A10" s="9">
        <v>44743</v>
      </c>
      <c r="B10" s="7">
        <v>13130990</v>
      </c>
    </row>
    <row r="11" spans="1:2" x14ac:dyDescent="0.3">
      <c r="A11" s="9">
        <v>44774</v>
      </c>
      <c r="B11" s="7">
        <v>6738790</v>
      </c>
    </row>
    <row r="12" spans="1:2" x14ac:dyDescent="0.3">
      <c r="A12" s="9">
        <v>44805</v>
      </c>
      <c r="B12" s="7">
        <v>17200135</v>
      </c>
    </row>
    <row r="13" spans="1:2" x14ac:dyDescent="0.3">
      <c r="A13" s="9">
        <v>44835</v>
      </c>
      <c r="B13" s="7">
        <v>7807465</v>
      </c>
    </row>
    <row r="14" spans="1:2" x14ac:dyDescent="0.3">
      <c r="A14" s="9">
        <v>44866</v>
      </c>
      <c r="B14" s="7">
        <v>11317330</v>
      </c>
    </row>
    <row r="15" spans="1:2" x14ac:dyDescent="0.3">
      <c r="A15" s="9">
        <v>44896</v>
      </c>
      <c r="B15" s="7">
        <v>13596130</v>
      </c>
    </row>
    <row r="16" spans="1:2" x14ac:dyDescent="0.3">
      <c r="A16" s="9">
        <v>44927</v>
      </c>
      <c r="B16" s="7">
        <v>8832220</v>
      </c>
    </row>
    <row r="17" spans="1:2" x14ac:dyDescent="0.3">
      <c r="A17" s="9">
        <v>44958</v>
      </c>
      <c r="B17" s="7">
        <v>8787760</v>
      </c>
    </row>
    <row r="18" spans="1:2" x14ac:dyDescent="0.3">
      <c r="A18" s="9">
        <v>44986</v>
      </c>
      <c r="B18" s="7">
        <v>8256405</v>
      </c>
    </row>
    <row r="19" spans="1:2" x14ac:dyDescent="0.3">
      <c r="A19" s="9">
        <v>45017</v>
      </c>
      <c r="B19" s="7">
        <v>9626530</v>
      </c>
    </row>
    <row r="20" spans="1:2" x14ac:dyDescent="0.3">
      <c r="A20" s="9">
        <v>45047</v>
      </c>
      <c r="B20" s="7">
        <v>13623450</v>
      </c>
    </row>
    <row r="21" spans="1:2" x14ac:dyDescent="0.3">
      <c r="A21" s="9">
        <v>45078</v>
      </c>
      <c r="B21" s="7">
        <v>15465575</v>
      </c>
    </row>
    <row r="22" spans="1:2" x14ac:dyDescent="0.3">
      <c r="A22" s="9">
        <v>45108</v>
      </c>
      <c r="B22" s="7">
        <v>9917220</v>
      </c>
    </row>
    <row r="23" spans="1:2" x14ac:dyDescent="0.3">
      <c r="A23" s="9">
        <v>45139</v>
      </c>
      <c r="B23" s="7">
        <v>7239180</v>
      </c>
    </row>
    <row r="24" spans="1:2" x14ac:dyDescent="0.3">
      <c r="A24" s="9">
        <v>45170</v>
      </c>
      <c r="B24" s="7">
        <v>5918820</v>
      </c>
    </row>
    <row r="25" spans="1:2" x14ac:dyDescent="0.3">
      <c r="A25" s="9">
        <v>45200</v>
      </c>
      <c r="B25" s="7">
        <v>4874980</v>
      </c>
    </row>
    <row r="26" spans="1:2" x14ac:dyDescent="0.3">
      <c r="A26" s="9">
        <v>45231</v>
      </c>
      <c r="B26" s="7">
        <v>12971885</v>
      </c>
    </row>
    <row r="27" spans="1:2" x14ac:dyDescent="0.3">
      <c r="A27" s="9">
        <v>45261</v>
      </c>
      <c r="B27" s="7">
        <v>7155135</v>
      </c>
    </row>
    <row r="28" spans="1:2" x14ac:dyDescent="0.3">
      <c r="A28" s="9">
        <v>45292</v>
      </c>
      <c r="B28" s="7">
        <v>9908005</v>
      </c>
    </row>
    <row r="29" spans="1:2" x14ac:dyDescent="0.3">
      <c r="A29" s="9">
        <v>45323</v>
      </c>
      <c r="B29" s="7">
        <v>2574805</v>
      </c>
    </row>
    <row r="30" spans="1:2" x14ac:dyDescent="0.3">
      <c r="A30" s="9">
        <v>45352</v>
      </c>
      <c r="B30" s="7">
        <v>10789740</v>
      </c>
    </row>
    <row r="31" spans="1:2" x14ac:dyDescent="0.3">
      <c r="A31" s="9">
        <v>45383</v>
      </c>
      <c r="B31" s="7">
        <v>9733010</v>
      </c>
    </row>
    <row r="32" spans="1:2" x14ac:dyDescent="0.3">
      <c r="A32" s="9">
        <v>45413</v>
      </c>
      <c r="B32" s="7">
        <v>9338030</v>
      </c>
    </row>
    <row r="33" spans="1:2" x14ac:dyDescent="0.3">
      <c r="A33" s="9">
        <v>45444</v>
      </c>
      <c r="B33" s="7">
        <v>16123695</v>
      </c>
    </row>
    <row r="34" spans="1:2" x14ac:dyDescent="0.3">
      <c r="A34" s="9">
        <v>45474</v>
      </c>
      <c r="B34" s="7">
        <v>9099570</v>
      </c>
    </row>
    <row r="35" spans="1:2" x14ac:dyDescent="0.3">
      <c r="A35" s="9">
        <v>45505</v>
      </c>
      <c r="B35" s="7">
        <v>9286810</v>
      </c>
    </row>
    <row r="36" spans="1:2" x14ac:dyDescent="0.3">
      <c r="A36" s="9">
        <v>45536</v>
      </c>
      <c r="B36" s="7">
        <v>8631915</v>
      </c>
    </row>
    <row r="37" spans="1:2" x14ac:dyDescent="0.3">
      <c r="A37" s="9">
        <v>45566</v>
      </c>
      <c r="B37" s="7">
        <v>8791205</v>
      </c>
    </row>
    <row r="38" spans="1:2" x14ac:dyDescent="0.3">
      <c r="A38" s="9">
        <v>45597</v>
      </c>
      <c r="B38" s="7">
        <v>17004485</v>
      </c>
    </row>
    <row r="39" spans="1:2" x14ac:dyDescent="0.3">
      <c r="A39" s="9">
        <v>45627</v>
      </c>
      <c r="B39" s="7">
        <v>3834755</v>
      </c>
    </row>
    <row r="40" spans="1:2" x14ac:dyDescent="0.3">
      <c r="A40" s="9" t="s">
        <v>1284</v>
      </c>
      <c r="B40" s="7">
        <v>376947875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4C767-00D4-437F-9022-6F6DA9E4A218}">
  <dimension ref="A3:D8"/>
  <sheetViews>
    <sheetView topLeftCell="A2" zoomScale="104" workbookViewId="0">
      <selection activeCell="B28" sqref="B28:B31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2.109375" bestFit="1" customWidth="1"/>
    <col min="4" max="4" width="23.33203125" bestFit="1" customWidth="1"/>
  </cols>
  <sheetData>
    <row r="3" spans="1:4" x14ac:dyDescent="0.3">
      <c r="A3" s="4" t="s">
        <v>1283</v>
      </c>
      <c r="B3" t="s">
        <v>1285</v>
      </c>
      <c r="C3" t="s">
        <v>1286</v>
      </c>
      <c r="D3" t="s">
        <v>1287</v>
      </c>
    </row>
    <row r="4" spans="1:4" x14ac:dyDescent="0.3">
      <c r="A4" s="5" t="s">
        <v>17</v>
      </c>
      <c r="B4" s="7">
        <v>113022045</v>
      </c>
      <c r="C4" s="7">
        <v>53467150.5</v>
      </c>
      <c r="D4" s="6">
        <v>0.52307692307692277</v>
      </c>
    </row>
    <row r="5" spans="1:4" x14ac:dyDescent="0.3">
      <c r="A5" s="5" t="s">
        <v>58</v>
      </c>
      <c r="B5" s="7">
        <v>98597500</v>
      </c>
      <c r="C5" s="7">
        <v>46657162.25</v>
      </c>
      <c r="D5" s="6">
        <v>0.52432432432432319</v>
      </c>
    </row>
    <row r="6" spans="1:4" x14ac:dyDescent="0.3">
      <c r="A6" s="5" t="s">
        <v>26</v>
      </c>
      <c r="B6" s="7">
        <v>87826655</v>
      </c>
      <c r="C6" s="7">
        <v>41800945.5</v>
      </c>
      <c r="D6" s="6">
        <v>0.52620689655172348</v>
      </c>
    </row>
    <row r="7" spans="1:4" x14ac:dyDescent="0.3">
      <c r="A7" s="5" t="s">
        <v>46</v>
      </c>
      <c r="B7" s="7">
        <v>77501675</v>
      </c>
      <c r="C7" s="7">
        <v>37345695</v>
      </c>
      <c r="D7" s="6">
        <v>0.52781456953642303</v>
      </c>
    </row>
    <row r="8" spans="1:4" x14ac:dyDescent="0.3">
      <c r="A8" s="5" t="s">
        <v>1284</v>
      </c>
      <c r="B8" s="7">
        <v>376947875</v>
      </c>
      <c r="C8" s="7">
        <v>179270953.25</v>
      </c>
      <c r="D8" s="6">
        <v>0.52533333333333809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3F2A-EDA9-4E84-B15C-1457E4F731BE}">
  <dimension ref="A1:W1202"/>
  <sheetViews>
    <sheetView topLeftCell="A15" zoomScale="78" workbookViewId="0">
      <selection activeCell="B1201" sqref="B1201"/>
    </sheetView>
  </sheetViews>
  <sheetFormatPr defaultRowHeight="14.4" x14ac:dyDescent="0.3"/>
  <cols>
    <col min="1" max="1" width="10.77734375" bestFit="1" customWidth="1"/>
    <col min="2" max="2" width="10.33203125" bestFit="1" customWidth="1"/>
    <col min="3" max="3" width="9" bestFit="1" customWidth="1"/>
    <col min="4" max="4" width="10" bestFit="1" customWidth="1"/>
    <col min="5" max="5" width="13.21875" bestFit="1" customWidth="1"/>
    <col min="6" max="6" width="18.5546875" bestFit="1" customWidth="1"/>
    <col min="7" max="7" width="16" bestFit="1" customWidth="1"/>
    <col min="8" max="8" width="12.21875" bestFit="1" customWidth="1"/>
    <col min="9" max="9" width="11.88671875" bestFit="1" customWidth="1"/>
    <col min="10" max="10" width="13" bestFit="1" customWidth="1"/>
    <col min="11" max="11" width="10.5546875" bestFit="1" customWidth="1"/>
    <col min="12" max="13" width="10" bestFit="1" customWidth="1"/>
    <col min="14" max="14" width="20" bestFit="1" customWidth="1"/>
    <col min="15" max="15" width="18.6640625" bestFit="1" customWidth="1"/>
    <col min="16" max="16" width="13.21875" bestFit="1" customWidth="1"/>
    <col min="19" max="19" width="8.88671875" style="2"/>
    <col min="23" max="23" width="10.33203125" style="8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1274</v>
      </c>
      <c r="R1" t="s">
        <v>1275</v>
      </c>
      <c r="S1" s="2" t="s">
        <v>1276</v>
      </c>
      <c r="T1" t="s">
        <v>1277</v>
      </c>
      <c r="U1" t="s">
        <v>1282</v>
      </c>
      <c r="V1" t="s">
        <v>1288</v>
      </c>
      <c r="W1" s="8" t="s">
        <v>1289</v>
      </c>
    </row>
    <row r="2" spans="1:23" x14ac:dyDescent="0.3">
      <c r="A2" t="s">
        <v>16</v>
      </c>
      <c r="B2" s="1">
        <v>44774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44</v>
      </c>
      <c r="I2">
        <v>3500</v>
      </c>
      <c r="J2">
        <v>20</v>
      </c>
      <c r="K2">
        <v>123200</v>
      </c>
      <c r="L2">
        <v>49280</v>
      </c>
      <c r="M2">
        <v>73920</v>
      </c>
      <c r="N2" t="s">
        <v>22</v>
      </c>
      <c r="O2" t="s">
        <v>23</v>
      </c>
      <c r="P2" t="s">
        <v>24</v>
      </c>
      <c r="Q2" t="str">
        <f>TEXT(clean_data[[#This Row],[Date]],"mmm")</f>
        <v>Aug</v>
      </c>
      <c r="R2">
        <f>YEAR(clean_data[[#This Row],[Date]])</f>
        <v>2022</v>
      </c>
      <c r="S2" s="2">
        <f>clean_data[[#This Row],[Profit]]/clean_data[[#This Row],[Revenue]]</f>
        <v>0.6</v>
      </c>
      <c r="T2" t="str" cm="1">
        <f t="array" ref="T2">_xlfn.IFS(clean_data[[#This Row],[Revenue]]&lt;300000,"Small",
     clean_data[[#This Row],[Revenue]]&lt;700000,"Medium",
     TRUE,"Large")</f>
        <v>Small</v>
      </c>
      <c r="U2" t="str" cm="1">
        <f t="array" ref="U2">_xlfn.IFS(clean_data[[#This Row],[profit margin%]]&lt;0.5,"Low Profit",
     clean_data[[#This Row],[profit margin%]]&lt;0.6,"Medium Profit",
     TRUE,"High Profit")</f>
        <v>High Profit</v>
      </c>
      <c r="V2" t="str">
        <f>TEXT(clean_data[[#This Row],[Date]],"mmm-yyyy")</f>
        <v>Aug-2022</v>
      </c>
      <c r="W2" s="8">
        <f>EOMONTH(clean_data[[#This Row],[Date]],-1)+1</f>
        <v>44774</v>
      </c>
    </row>
    <row r="3" spans="1:23" x14ac:dyDescent="0.3">
      <c r="A3" t="s">
        <v>25</v>
      </c>
      <c r="B3" s="1">
        <v>44621</v>
      </c>
      <c r="C3" t="s">
        <v>26</v>
      </c>
      <c r="D3" t="s">
        <v>27</v>
      </c>
      <c r="E3" t="s">
        <v>19</v>
      </c>
      <c r="F3" t="s">
        <v>28</v>
      </c>
      <c r="G3" t="s">
        <v>29</v>
      </c>
      <c r="H3">
        <v>13</v>
      </c>
      <c r="I3">
        <v>15000</v>
      </c>
      <c r="J3">
        <v>20</v>
      </c>
      <c r="K3">
        <v>156000</v>
      </c>
      <c r="L3">
        <v>85800</v>
      </c>
      <c r="M3">
        <v>70200</v>
      </c>
      <c r="N3" t="s">
        <v>30</v>
      </c>
      <c r="O3" t="s">
        <v>23</v>
      </c>
      <c r="P3" t="s">
        <v>24</v>
      </c>
      <c r="Q3" t="str">
        <f>TEXT(clean_data[[#This Row],[Date]],"mmm")</f>
        <v>Mar</v>
      </c>
      <c r="R3">
        <f>YEAR(clean_data[[#This Row],[Date]])</f>
        <v>2022</v>
      </c>
      <c r="S3" s="2">
        <f>clean_data[[#This Row],[Profit]]/clean_data[[#This Row],[Revenue]]</f>
        <v>0.45</v>
      </c>
      <c r="T3" t="str" cm="1">
        <f t="array" ref="T3">_xlfn.IFS(clean_data[[#This Row],[Revenue]]&lt;300000,"Small",
     clean_data[[#This Row],[Revenue]]&lt;700000,"Medium",
     TRUE,"Large")</f>
        <v>Small</v>
      </c>
      <c r="U3" t="str" cm="1">
        <f t="array" ref="U3">_xlfn.IFS(clean_data[[#This Row],[profit margin%]]&lt;0.5,"Low Profit",
     clean_data[[#This Row],[profit margin%]]&lt;0.6,"Medium Profit",
     TRUE,"High Profit")</f>
        <v>Low Profit</v>
      </c>
      <c r="V3" t="str">
        <f>TEXT(clean_data[[#This Row],[Date]],"mmm-yyyy")</f>
        <v>Mar-2022</v>
      </c>
      <c r="W3" s="8">
        <f>EOMONTH(clean_data[[#This Row],[Date]],-1)+1</f>
        <v>44621</v>
      </c>
    </row>
    <row r="4" spans="1:23" x14ac:dyDescent="0.3">
      <c r="A4" t="s">
        <v>31</v>
      </c>
      <c r="B4" s="1">
        <v>45103</v>
      </c>
      <c r="C4" t="s">
        <v>26</v>
      </c>
      <c r="D4" t="s">
        <v>27</v>
      </c>
      <c r="E4" t="s">
        <v>32</v>
      </c>
      <c r="F4" t="s">
        <v>33</v>
      </c>
      <c r="G4" t="s">
        <v>34</v>
      </c>
      <c r="H4">
        <v>10</v>
      </c>
      <c r="I4">
        <v>25000</v>
      </c>
      <c r="J4">
        <v>5</v>
      </c>
      <c r="K4">
        <v>237500</v>
      </c>
      <c r="L4">
        <v>118750</v>
      </c>
      <c r="M4">
        <v>118750</v>
      </c>
      <c r="N4" t="s">
        <v>30</v>
      </c>
      <c r="O4" t="s">
        <v>35</v>
      </c>
      <c r="P4" t="s">
        <v>24</v>
      </c>
      <c r="Q4" t="str">
        <f>TEXT(clean_data[[#This Row],[Date]],"mmm")</f>
        <v>Jun</v>
      </c>
      <c r="R4">
        <f>YEAR(clean_data[[#This Row],[Date]])</f>
        <v>2023</v>
      </c>
      <c r="S4" s="2">
        <f>clean_data[[#This Row],[Profit]]/clean_data[[#This Row],[Revenue]]</f>
        <v>0.5</v>
      </c>
      <c r="T4" t="str" cm="1">
        <f t="array" ref="T4">_xlfn.IFS(clean_data[[#This Row],[Revenue]]&lt;300000,"Small",
     clean_data[[#This Row],[Revenue]]&lt;700000,"Medium",
     TRUE,"Large")</f>
        <v>Small</v>
      </c>
      <c r="U4" t="str" cm="1">
        <f t="array" ref="U4">_xlfn.IFS(clean_data[[#This Row],[profit margin%]]&lt;0.5,"Low Profit",
     clean_data[[#This Row],[profit margin%]]&lt;0.6,"Medium Profit",
     TRUE,"High Profit")</f>
        <v>Medium Profit</v>
      </c>
      <c r="V4" t="str">
        <f>TEXT(clean_data[[#This Row],[Date]],"mmm-yyyy")</f>
        <v>Jun-2023</v>
      </c>
      <c r="W4" s="8">
        <f>EOMONTH(clean_data[[#This Row],[Date]],-1)+1</f>
        <v>45078</v>
      </c>
    </row>
    <row r="5" spans="1:23" x14ac:dyDescent="0.3">
      <c r="A5" t="s">
        <v>36</v>
      </c>
      <c r="B5" s="1">
        <v>45295</v>
      </c>
      <c r="C5" t="s">
        <v>17</v>
      </c>
      <c r="D5" t="s">
        <v>37</v>
      </c>
      <c r="E5" t="s">
        <v>38</v>
      </c>
      <c r="F5" t="s">
        <v>33</v>
      </c>
      <c r="G5" t="s">
        <v>39</v>
      </c>
      <c r="H5">
        <v>47</v>
      </c>
      <c r="I5">
        <v>5000</v>
      </c>
      <c r="J5">
        <v>15</v>
      </c>
      <c r="K5">
        <v>199750</v>
      </c>
      <c r="L5">
        <v>99875</v>
      </c>
      <c r="M5">
        <v>99875</v>
      </c>
      <c r="N5" t="s">
        <v>30</v>
      </c>
      <c r="O5" t="s">
        <v>23</v>
      </c>
      <c r="P5" t="s">
        <v>40</v>
      </c>
      <c r="Q5" t="str">
        <f>TEXT(clean_data[[#This Row],[Date]],"mmm")</f>
        <v>Jan</v>
      </c>
      <c r="R5">
        <f>YEAR(clean_data[[#This Row],[Date]])</f>
        <v>2024</v>
      </c>
      <c r="S5" s="2">
        <f>clean_data[[#This Row],[Profit]]/clean_data[[#This Row],[Revenue]]</f>
        <v>0.5</v>
      </c>
      <c r="T5" t="str" cm="1">
        <f t="array" ref="T5">_xlfn.IFS(clean_data[[#This Row],[Revenue]]&lt;300000,"Small",
     clean_data[[#This Row],[Revenue]]&lt;700000,"Medium",
     TRUE,"Large")</f>
        <v>Small</v>
      </c>
      <c r="U5" t="str" cm="1">
        <f t="array" ref="U5">_xlfn.IFS(clean_data[[#This Row],[profit margin%]]&lt;0.5,"Low Profit",
     clean_data[[#This Row],[profit margin%]]&lt;0.6,"Medium Profit",
     TRUE,"High Profit")</f>
        <v>Medium Profit</v>
      </c>
      <c r="V5" t="str">
        <f>TEXT(clean_data[[#This Row],[Date]],"mmm-yyyy")</f>
        <v>Jan-2024</v>
      </c>
      <c r="W5" s="8">
        <f>EOMONTH(clean_data[[#This Row],[Date]],-1)+1</f>
        <v>45292</v>
      </c>
    </row>
    <row r="6" spans="1:23" x14ac:dyDescent="0.3">
      <c r="A6" t="s">
        <v>41</v>
      </c>
      <c r="B6" s="1">
        <v>44730</v>
      </c>
      <c r="C6" t="s">
        <v>17</v>
      </c>
      <c r="D6" t="s">
        <v>42</v>
      </c>
      <c r="E6" t="s">
        <v>38</v>
      </c>
      <c r="F6" t="s">
        <v>33</v>
      </c>
      <c r="G6" t="s">
        <v>43</v>
      </c>
      <c r="H6">
        <v>13</v>
      </c>
      <c r="I6">
        <v>4000</v>
      </c>
      <c r="J6">
        <v>0</v>
      </c>
      <c r="K6">
        <v>52000</v>
      </c>
      <c r="L6">
        <v>26000</v>
      </c>
      <c r="M6">
        <v>26000</v>
      </c>
      <c r="N6" t="s">
        <v>22</v>
      </c>
      <c r="O6" t="s">
        <v>44</v>
      </c>
      <c r="P6" t="s">
        <v>24</v>
      </c>
      <c r="Q6" t="str">
        <f>TEXT(clean_data[[#This Row],[Date]],"mmm")</f>
        <v>Jun</v>
      </c>
      <c r="R6">
        <f>YEAR(clean_data[[#This Row],[Date]])</f>
        <v>2022</v>
      </c>
      <c r="S6" s="2">
        <f>clean_data[[#This Row],[Profit]]/clean_data[[#This Row],[Revenue]]</f>
        <v>0.5</v>
      </c>
      <c r="T6" t="str" cm="1">
        <f t="array" ref="T6">_xlfn.IFS(clean_data[[#This Row],[Revenue]]&lt;300000,"Small",
     clean_data[[#This Row],[Revenue]]&lt;700000,"Medium",
     TRUE,"Large")</f>
        <v>Small</v>
      </c>
      <c r="U6" t="str" cm="1">
        <f t="array" ref="U6">_xlfn.IFS(clean_data[[#This Row],[profit margin%]]&lt;0.5,"Low Profit",
     clean_data[[#This Row],[profit margin%]]&lt;0.6,"Medium Profit",
     TRUE,"High Profit")</f>
        <v>Medium Profit</v>
      </c>
      <c r="V6" t="str">
        <f>TEXT(clean_data[[#This Row],[Date]],"mmm-yyyy")</f>
        <v>Jun-2022</v>
      </c>
      <c r="W6" s="8">
        <f>EOMONTH(clean_data[[#This Row],[Date]],-1)+1</f>
        <v>44713</v>
      </c>
    </row>
    <row r="7" spans="1:23" x14ac:dyDescent="0.3">
      <c r="A7" t="s">
        <v>45</v>
      </c>
      <c r="B7" s="1">
        <v>45110</v>
      </c>
      <c r="C7" t="s">
        <v>46</v>
      </c>
      <c r="D7" t="s">
        <v>47</v>
      </c>
      <c r="E7" t="s">
        <v>32</v>
      </c>
      <c r="F7" t="s">
        <v>33</v>
      </c>
      <c r="G7" t="s">
        <v>48</v>
      </c>
      <c r="H7">
        <v>41</v>
      </c>
      <c r="I7">
        <v>1500</v>
      </c>
      <c r="J7">
        <v>10</v>
      </c>
      <c r="K7">
        <v>55350</v>
      </c>
      <c r="L7">
        <v>27675</v>
      </c>
      <c r="M7">
        <v>27675</v>
      </c>
      <c r="N7" t="s">
        <v>49</v>
      </c>
      <c r="O7" t="s">
        <v>50</v>
      </c>
      <c r="P7" t="s">
        <v>24</v>
      </c>
      <c r="Q7" t="str">
        <f>TEXT(clean_data[[#This Row],[Date]],"mmm")</f>
        <v>Jul</v>
      </c>
      <c r="R7">
        <f>YEAR(clean_data[[#This Row],[Date]])</f>
        <v>2023</v>
      </c>
      <c r="S7" s="2">
        <f>clean_data[[#This Row],[Profit]]/clean_data[[#This Row],[Revenue]]</f>
        <v>0.5</v>
      </c>
      <c r="T7" t="str" cm="1">
        <f t="array" ref="T7">_xlfn.IFS(clean_data[[#This Row],[Revenue]]&lt;300000,"Small",
     clean_data[[#This Row],[Revenue]]&lt;700000,"Medium",
     TRUE,"Large")</f>
        <v>Small</v>
      </c>
      <c r="U7" t="str" cm="1">
        <f t="array" ref="U7">_xlfn.IFS(clean_data[[#This Row],[profit margin%]]&lt;0.5,"Low Profit",
     clean_data[[#This Row],[profit margin%]]&lt;0.6,"Medium Profit",
     TRUE,"High Profit")</f>
        <v>Medium Profit</v>
      </c>
      <c r="V7" t="str">
        <f>TEXT(clean_data[[#This Row],[Date]],"mmm-yyyy")</f>
        <v>Jul-2023</v>
      </c>
      <c r="W7" s="8">
        <f>EOMONTH(clean_data[[#This Row],[Date]],-1)+1</f>
        <v>45108</v>
      </c>
    </row>
    <row r="8" spans="1:23" x14ac:dyDescent="0.3">
      <c r="A8" t="s">
        <v>51</v>
      </c>
      <c r="B8" s="1">
        <v>44979</v>
      </c>
      <c r="C8" t="s">
        <v>17</v>
      </c>
      <c r="D8" t="s">
        <v>42</v>
      </c>
      <c r="E8" t="s">
        <v>52</v>
      </c>
      <c r="F8" t="s">
        <v>20</v>
      </c>
      <c r="G8" t="s">
        <v>53</v>
      </c>
      <c r="H8">
        <v>47</v>
      </c>
      <c r="I8">
        <v>600</v>
      </c>
      <c r="J8">
        <v>5</v>
      </c>
      <c r="K8">
        <v>26790</v>
      </c>
      <c r="L8">
        <v>10716</v>
      </c>
      <c r="M8">
        <v>16074</v>
      </c>
      <c r="N8" t="s">
        <v>49</v>
      </c>
      <c r="O8" t="s">
        <v>23</v>
      </c>
      <c r="P8" t="s">
        <v>24</v>
      </c>
      <c r="Q8" t="str">
        <f>TEXT(clean_data[[#This Row],[Date]],"mmm")</f>
        <v>Feb</v>
      </c>
      <c r="R8">
        <f>YEAR(clean_data[[#This Row],[Date]])</f>
        <v>2023</v>
      </c>
      <c r="S8" s="2">
        <f>clean_data[[#This Row],[Profit]]/clean_data[[#This Row],[Revenue]]</f>
        <v>0.6</v>
      </c>
      <c r="T8" t="str" cm="1">
        <f t="array" ref="T8">_xlfn.IFS(clean_data[[#This Row],[Revenue]]&lt;300000,"Small",
     clean_data[[#This Row],[Revenue]]&lt;700000,"Medium",
     TRUE,"Large")</f>
        <v>Small</v>
      </c>
      <c r="U8" t="str" cm="1">
        <f t="array" ref="U8">_xlfn.IFS(clean_data[[#This Row],[profit margin%]]&lt;0.5,"Low Profit",
     clean_data[[#This Row],[profit margin%]]&lt;0.6,"Medium Profit",
     TRUE,"High Profit")</f>
        <v>High Profit</v>
      </c>
      <c r="V8" t="str">
        <f>TEXT(clean_data[[#This Row],[Date]],"mmm-yyyy")</f>
        <v>Feb-2023</v>
      </c>
      <c r="W8" s="8">
        <f>EOMONTH(clean_data[[#This Row],[Date]],-1)+1</f>
        <v>44958</v>
      </c>
    </row>
    <row r="9" spans="1:23" x14ac:dyDescent="0.3">
      <c r="A9" t="s">
        <v>54</v>
      </c>
      <c r="B9" s="1">
        <v>45098</v>
      </c>
      <c r="C9" t="s">
        <v>46</v>
      </c>
      <c r="D9" t="s">
        <v>55</v>
      </c>
      <c r="E9" t="s">
        <v>56</v>
      </c>
      <c r="F9" t="s">
        <v>20</v>
      </c>
      <c r="G9" t="s">
        <v>21</v>
      </c>
      <c r="H9">
        <v>21</v>
      </c>
      <c r="I9">
        <v>3500</v>
      </c>
      <c r="J9">
        <v>15</v>
      </c>
      <c r="K9">
        <v>62475</v>
      </c>
      <c r="L9">
        <v>24990</v>
      </c>
      <c r="M9">
        <v>37485</v>
      </c>
      <c r="N9" t="s">
        <v>30</v>
      </c>
      <c r="O9" t="s">
        <v>44</v>
      </c>
      <c r="P9" t="s">
        <v>24</v>
      </c>
      <c r="Q9" t="str">
        <f>TEXT(clean_data[[#This Row],[Date]],"mmm")</f>
        <v>Jun</v>
      </c>
      <c r="R9">
        <f>YEAR(clean_data[[#This Row],[Date]])</f>
        <v>2023</v>
      </c>
      <c r="S9" s="2">
        <f>clean_data[[#This Row],[Profit]]/clean_data[[#This Row],[Revenue]]</f>
        <v>0.6</v>
      </c>
      <c r="T9" t="str" cm="1">
        <f t="array" ref="T9">_xlfn.IFS(clean_data[[#This Row],[Revenue]]&lt;300000,"Small",
     clean_data[[#This Row],[Revenue]]&lt;700000,"Medium",
     TRUE,"Large")</f>
        <v>Small</v>
      </c>
      <c r="U9" t="str" cm="1">
        <f t="array" ref="U9">_xlfn.IFS(clean_data[[#This Row],[profit margin%]]&lt;0.5,"Low Profit",
     clean_data[[#This Row],[profit margin%]]&lt;0.6,"Medium Profit",
     TRUE,"High Profit")</f>
        <v>High Profit</v>
      </c>
      <c r="V9" t="str">
        <f>TEXT(clean_data[[#This Row],[Date]],"mmm-yyyy")</f>
        <v>Jun-2023</v>
      </c>
      <c r="W9" s="8">
        <f>EOMONTH(clean_data[[#This Row],[Date]],-1)+1</f>
        <v>45078</v>
      </c>
    </row>
    <row r="10" spans="1:23" x14ac:dyDescent="0.3">
      <c r="A10" t="s">
        <v>57</v>
      </c>
      <c r="B10" s="1">
        <v>45176</v>
      </c>
      <c r="C10" t="s">
        <v>58</v>
      </c>
      <c r="D10" t="s">
        <v>59</v>
      </c>
      <c r="E10" t="s">
        <v>60</v>
      </c>
      <c r="F10" t="s">
        <v>20</v>
      </c>
      <c r="G10" t="s">
        <v>61</v>
      </c>
      <c r="H10">
        <v>9</v>
      </c>
      <c r="I10">
        <v>800</v>
      </c>
      <c r="J10">
        <v>5</v>
      </c>
      <c r="K10">
        <v>6840</v>
      </c>
      <c r="L10">
        <v>2736</v>
      </c>
      <c r="M10">
        <v>4104</v>
      </c>
      <c r="N10" t="s">
        <v>22</v>
      </c>
      <c r="O10" t="s">
        <v>50</v>
      </c>
      <c r="P10" t="s">
        <v>40</v>
      </c>
      <c r="Q10" t="str">
        <f>TEXT(clean_data[[#This Row],[Date]],"mmm")</f>
        <v>Sep</v>
      </c>
      <c r="R10">
        <f>YEAR(clean_data[[#This Row],[Date]])</f>
        <v>2023</v>
      </c>
      <c r="S10" s="2">
        <f>clean_data[[#This Row],[Profit]]/clean_data[[#This Row],[Revenue]]</f>
        <v>0.6</v>
      </c>
      <c r="T10" t="str" cm="1">
        <f t="array" ref="T10">_xlfn.IFS(clean_data[[#This Row],[Revenue]]&lt;300000,"Small",
     clean_data[[#This Row],[Revenue]]&lt;700000,"Medium",
     TRUE,"Large")</f>
        <v>Small</v>
      </c>
      <c r="U10" t="str" cm="1">
        <f t="array" ref="U10">_xlfn.IFS(clean_data[[#This Row],[profit margin%]]&lt;0.5,"Low Profit",
     clean_data[[#This Row],[profit margin%]]&lt;0.6,"Medium Profit",
     TRUE,"High Profit")</f>
        <v>High Profit</v>
      </c>
      <c r="V10" t="str">
        <f>TEXT(clean_data[[#This Row],[Date]],"mmm-yyyy")</f>
        <v>Sep-2023</v>
      </c>
      <c r="W10" s="8">
        <f>EOMONTH(clean_data[[#This Row],[Date]],-1)+1</f>
        <v>45170</v>
      </c>
    </row>
    <row r="11" spans="1:23" x14ac:dyDescent="0.3">
      <c r="A11" t="s">
        <v>62</v>
      </c>
      <c r="B11" s="1">
        <v>45401</v>
      </c>
      <c r="C11" t="s">
        <v>58</v>
      </c>
      <c r="D11" t="s">
        <v>59</v>
      </c>
      <c r="E11" t="s">
        <v>19</v>
      </c>
      <c r="F11" t="s">
        <v>20</v>
      </c>
      <c r="G11" t="s">
        <v>53</v>
      </c>
      <c r="H11">
        <v>32</v>
      </c>
      <c r="I11">
        <v>600</v>
      </c>
      <c r="J11">
        <v>0</v>
      </c>
      <c r="K11">
        <v>19200</v>
      </c>
      <c r="L11">
        <v>7680</v>
      </c>
      <c r="M11">
        <v>11520</v>
      </c>
      <c r="N11" t="s">
        <v>30</v>
      </c>
      <c r="O11" t="s">
        <v>44</v>
      </c>
      <c r="P11" t="s">
        <v>24</v>
      </c>
      <c r="Q11" t="str">
        <f>TEXT(clean_data[[#This Row],[Date]],"mmm")</f>
        <v>Apr</v>
      </c>
      <c r="R11">
        <f>YEAR(clean_data[[#This Row],[Date]])</f>
        <v>2024</v>
      </c>
      <c r="S11" s="2">
        <f>clean_data[[#This Row],[Profit]]/clean_data[[#This Row],[Revenue]]</f>
        <v>0.6</v>
      </c>
      <c r="T11" t="str" cm="1">
        <f t="array" ref="T11">_xlfn.IFS(clean_data[[#This Row],[Revenue]]&lt;300000,"Small",
     clean_data[[#This Row],[Revenue]]&lt;700000,"Medium",
     TRUE,"Large")</f>
        <v>Small</v>
      </c>
      <c r="U11" t="str" cm="1">
        <f t="array" ref="U11">_xlfn.IFS(clean_data[[#This Row],[profit margin%]]&lt;0.5,"Low Profit",
     clean_data[[#This Row],[profit margin%]]&lt;0.6,"Medium Profit",
     TRUE,"High Profit")</f>
        <v>High Profit</v>
      </c>
      <c r="V11" t="str">
        <f>TEXT(clean_data[[#This Row],[Date]],"mmm-yyyy")</f>
        <v>Apr-2024</v>
      </c>
      <c r="W11" s="8">
        <f>EOMONTH(clean_data[[#This Row],[Date]],-1)+1</f>
        <v>45383</v>
      </c>
    </row>
    <row r="12" spans="1:23" x14ac:dyDescent="0.3">
      <c r="A12" t="s">
        <v>63</v>
      </c>
      <c r="B12" s="1">
        <v>44891</v>
      </c>
      <c r="C12" t="s">
        <v>58</v>
      </c>
      <c r="D12" t="s">
        <v>64</v>
      </c>
      <c r="E12" t="s">
        <v>52</v>
      </c>
      <c r="F12" t="s">
        <v>65</v>
      </c>
      <c r="G12" t="s">
        <v>66</v>
      </c>
      <c r="H12">
        <v>39</v>
      </c>
      <c r="I12">
        <v>5500</v>
      </c>
      <c r="J12">
        <v>15</v>
      </c>
      <c r="K12">
        <v>182325</v>
      </c>
      <c r="L12">
        <v>82046.25</v>
      </c>
      <c r="M12">
        <v>100278.75</v>
      </c>
      <c r="N12" t="s">
        <v>49</v>
      </c>
      <c r="O12" t="s">
        <v>67</v>
      </c>
      <c r="P12" t="s">
        <v>40</v>
      </c>
      <c r="Q12" t="str">
        <f>TEXT(clean_data[[#This Row],[Date]],"mmm")</f>
        <v>Nov</v>
      </c>
      <c r="R12">
        <f>YEAR(clean_data[[#This Row],[Date]])</f>
        <v>2022</v>
      </c>
      <c r="S12" s="2">
        <f>clean_data[[#This Row],[Profit]]/clean_data[[#This Row],[Revenue]]</f>
        <v>0.55000000000000004</v>
      </c>
      <c r="T12" t="str" cm="1">
        <f t="array" ref="T12">_xlfn.IFS(clean_data[[#This Row],[Revenue]]&lt;300000,"Small",
     clean_data[[#This Row],[Revenue]]&lt;700000,"Medium",
     TRUE,"Large")</f>
        <v>Small</v>
      </c>
      <c r="U12" t="str" cm="1">
        <f t="array" ref="U12">_xlfn.IFS(clean_data[[#This Row],[profit margin%]]&lt;0.5,"Low Profit",
     clean_data[[#This Row],[profit margin%]]&lt;0.6,"Medium Profit",
     TRUE,"High Profit")</f>
        <v>Medium Profit</v>
      </c>
      <c r="V12" t="str">
        <f>TEXT(clean_data[[#This Row],[Date]],"mmm-yyyy")</f>
        <v>Nov-2022</v>
      </c>
      <c r="W12" s="8">
        <f>EOMONTH(clean_data[[#This Row],[Date]],-1)+1</f>
        <v>44866</v>
      </c>
    </row>
    <row r="13" spans="1:23" x14ac:dyDescent="0.3">
      <c r="A13" t="s">
        <v>68</v>
      </c>
      <c r="B13" s="1">
        <v>44583</v>
      </c>
      <c r="C13" t="s">
        <v>26</v>
      </c>
      <c r="D13" t="s">
        <v>69</v>
      </c>
      <c r="E13" t="s">
        <v>70</v>
      </c>
      <c r="F13" t="s">
        <v>28</v>
      </c>
      <c r="G13" t="s">
        <v>71</v>
      </c>
      <c r="H13">
        <v>28</v>
      </c>
      <c r="I13">
        <v>35000</v>
      </c>
      <c r="J13">
        <v>5</v>
      </c>
      <c r="K13">
        <v>931000</v>
      </c>
      <c r="L13">
        <v>512050</v>
      </c>
      <c r="M13">
        <v>418950</v>
      </c>
      <c r="N13" t="s">
        <v>30</v>
      </c>
      <c r="O13" t="s">
        <v>50</v>
      </c>
      <c r="P13" t="s">
        <v>24</v>
      </c>
      <c r="Q13" t="str">
        <f>TEXT(clean_data[[#This Row],[Date]],"mmm")</f>
        <v>Jan</v>
      </c>
      <c r="R13">
        <f>YEAR(clean_data[[#This Row],[Date]])</f>
        <v>2022</v>
      </c>
      <c r="S13" s="2">
        <f>clean_data[[#This Row],[Profit]]/clean_data[[#This Row],[Revenue]]</f>
        <v>0.45</v>
      </c>
      <c r="T13" t="str" cm="1">
        <f t="array" ref="T13">_xlfn.IFS(clean_data[[#This Row],[Revenue]]&lt;300000,"Small",
     clean_data[[#This Row],[Revenue]]&lt;700000,"Medium",
     TRUE,"Large")</f>
        <v>Large</v>
      </c>
      <c r="U13" t="str" cm="1">
        <f t="array" ref="U13">_xlfn.IFS(clean_data[[#This Row],[profit margin%]]&lt;0.5,"Low Profit",
     clean_data[[#This Row],[profit margin%]]&lt;0.6,"Medium Profit",
     TRUE,"High Profit")</f>
        <v>Low Profit</v>
      </c>
      <c r="V13" t="str">
        <f>TEXT(clean_data[[#This Row],[Date]],"mmm-yyyy")</f>
        <v>Jan-2022</v>
      </c>
      <c r="W13" s="8">
        <f>EOMONTH(clean_data[[#This Row],[Date]],-1)+1</f>
        <v>44562</v>
      </c>
    </row>
    <row r="14" spans="1:23" x14ac:dyDescent="0.3">
      <c r="A14" t="s">
        <v>72</v>
      </c>
      <c r="B14" s="1">
        <v>45560</v>
      </c>
      <c r="C14" t="s">
        <v>46</v>
      </c>
      <c r="D14" t="s">
        <v>47</v>
      </c>
      <c r="E14" t="s">
        <v>73</v>
      </c>
      <c r="F14" t="s">
        <v>20</v>
      </c>
      <c r="G14" t="s">
        <v>74</v>
      </c>
      <c r="H14">
        <v>24</v>
      </c>
      <c r="I14">
        <v>4200</v>
      </c>
      <c r="J14">
        <v>5</v>
      </c>
      <c r="K14">
        <v>95760</v>
      </c>
      <c r="L14">
        <v>38304</v>
      </c>
      <c r="M14">
        <v>57456</v>
      </c>
      <c r="N14" t="s">
        <v>22</v>
      </c>
      <c r="O14" t="s">
        <v>35</v>
      </c>
      <c r="P14" t="s">
        <v>40</v>
      </c>
      <c r="Q14" t="str">
        <f>TEXT(clean_data[[#This Row],[Date]],"mmm")</f>
        <v>Sep</v>
      </c>
      <c r="R14">
        <f>YEAR(clean_data[[#This Row],[Date]])</f>
        <v>2024</v>
      </c>
      <c r="S14" s="2">
        <f>clean_data[[#This Row],[Profit]]/clean_data[[#This Row],[Revenue]]</f>
        <v>0.6</v>
      </c>
      <c r="T14" t="str" cm="1">
        <f t="array" ref="T14">_xlfn.IFS(clean_data[[#This Row],[Revenue]]&lt;300000,"Small",
     clean_data[[#This Row],[Revenue]]&lt;700000,"Medium",
     TRUE,"Large")</f>
        <v>Small</v>
      </c>
      <c r="U14" t="str" cm="1">
        <f t="array" ref="U14">_xlfn.IFS(clean_data[[#This Row],[profit margin%]]&lt;0.5,"Low Profit",
     clean_data[[#This Row],[profit margin%]]&lt;0.6,"Medium Profit",
     TRUE,"High Profit")</f>
        <v>High Profit</v>
      </c>
      <c r="V14" t="str">
        <f>TEXT(clean_data[[#This Row],[Date]],"mmm-yyyy")</f>
        <v>Sep-2024</v>
      </c>
      <c r="W14" s="8">
        <f>EOMONTH(clean_data[[#This Row],[Date]],-1)+1</f>
        <v>45536</v>
      </c>
    </row>
    <row r="15" spans="1:23" x14ac:dyDescent="0.3">
      <c r="A15" t="s">
        <v>75</v>
      </c>
      <c r="B15" s="1">
        <v>45185</v>
      </c>
      <c r="C15" t="s">
        <v>26</v>
      </c>
      <c r="D15" t="s">
        <v>27</v>
      </c>
      <c r="E15" t="s">
        <v>70</v>
      </c>
      <c r="F15" t="s">
        <v>33</v>
      </c>
      <c r="G15" t="s">
        <v>76</v>
      </c>
      <c r="H15">
        <v>4</v>
      </c>
      <c r="I15">
        <v>8500</v>
      </c>
      <c r="J15">
        <v>5</v>
      </c>
      <c r="K15">
        <v>32300</v>
      </c>
      <c r="L15">
        <v>16150</v>
      </c>
      <c r="M15">
        <v>16150</v>
      </c>
      <c r="N15" t="s">
        <v>30</v>
      </c>
      <c r="O15" t="s">
        <v>35</v>
      </c>
      <c r="P15" t="s">
        <v>40</v>
      </c>
      <c r="Q15" t="str">
        <f>TEXT(clean_data[[#This Row],[Date]],"mmm")</f>
        <v>Sep</v>
      </c>
      <c r="R15">
        <f>YEAR(clean_data[[#This Row],[Date]])</f>
        <v>2023</v>
      </c>
      <c r="S15" s="2">
        <f>clean_data[[#This Row],[Profit]]/clean_data[[#This Row],[Revenue]]</f>
        <v>0.5</v>
      </c>
      <c r="T15" t="str" cm="1">
        <f t="array" ref="T15">_xlfn.IFS(clean_data[[#This Row],[Revenue]]&lt;300000,"Small",
     clean_data[[#This Row],[Revenue]]&lt;700000,"Medium",
     TRUE,"Large")</f>
        <v>Small</v>
      </c>
      <c r="U15" t="str" cm="1">
        <f t="array" ref="U15">_xlfn.IFS(clean_data[[#This Row],[profit margin%]]&lt;0.5,"Low Profit",
     clean_data[[#This Row],[profit margin%]]&lt;0.6,"Medium Profit",
     TRUE,"High Profit")</f>
        <v>Medium Profit</v>
      </c>
      <c r="V15" t="str">
        <f>TEXT(clean_data[[#This Row],[Date]],"mmm-yyyy")</f>
        <v>Sep-2023</v>
      </c>
      <c r="W15" s="8">
        <f>EOMONTH(clean_data[[#This Row],[Date]],-1)+1</f>
        <v>45170</v>
      </c>
    </row>
    <row r="16" spans="1:23" x14ac:dyDescent="0.3">
      <c r="A16" t="s">
        <v>77</v>
      </c>
      <c r="B16" s="1">
        <v>45531</v>
      </c>
      <c r="C16" t="s">
        <v>26</v>
      </c>
      <c r="D16" t="s">
        <v>27</v>
      </c>
      <c r="E16" t="s">
        <v>78</v>
      </c>
      <c r="F16" t="s">
        <v>65</v>
      </c>
      <c r="G16" t="s">
        <v>79</v>
      </c>
      <c r="H16">
        <v>11</v>
      </c>
      <c r="I16">
        <v>900</v>
      </c>
      <c r="J16">
        <v>10</v>
      </c>
      <c r="K16">
        <v>8910</v>
      </c>
      <c r="L16">
        <v>4009.5</v>
      </c>
      <c r="M16">
        <v>4900.5</v>
      </c>
      <c r="N16" t="s">
        <v>22</v>
      </c>
      <c r="O16" t="s">
        <v>23</v>
      </c>
      <c r="P16" t="s">
        <v>40</v>
      </c>
      <c r="Q16" t="str">
        <f>TEXT(clean_data[[#This Row],[Date]],"mmm")</f>
        <v>Aug</v>
      </c>
      <c r="R16">
        <f>YEAR(clean_data[[#This Row],[Date]])</f>
        <v>2024</v>
      </c>
      <c r="S16" s="2">
        <f>clean_data[[#This Row],[Profit]]/clean_data[[#This Row],[Revenue]]</f>
        <v>0.55000000000000004</v>
      </c>
      <c r="T16" t="str" cm="1">
        <f t="array" ref="T16">_xlfn.IFS(clean_data[[#This Row],[Revenue]]&lt;300000,"Small",
     clean_data[[#This Row],[Revenue]]&lt;700000,"Medium",
     TRUE,"Large")</f>
        <v>Small</v>
      </c>
      <c r="U16" t="str" cm="1">
        <f t="array" ref="U16">_xlfn.IFS(clean_data[[#This Row],[profit margin%]]&lt;0.5,"Low Profit",
     clean_data[[#This Row],[profit margin%]]&lt;0.6,"Medium Profit",
     TRUE,"High Profit")</f>
        <v>Medium Profit</v>
      </c>
      <c r="V16" t="str">
        <f>TEXT(clean_data[[#This Row],[Date]],"mmm-yyyy")</f>
        <v>Aug-2024</v>
      </c>
      <c r="W16" s="8">
        <f>EOMONTH(clean_data[[#This Row],[Date]],-1)+1</f>
        <v>45505</v>
      </c>
    </row>
    <row r="17" spans="1:23" x14ac:dyDescent="0.3">
      <c r="A17" t="s">
        <v>80</v>
      </c>
      <c r="B17" s="1">
        <v>44975</v>
      </c>
      <c r="C17" t="s">
        <v>46</v>
      </c>
      <c r="D17" t="s">
        <v>55</v>
      </c>
      <c r="E17" t="s">
        <v>32</v>
      </c>
      <c r="F17" t="s">
        <v>33</v>
      </c>
      <c r="G17" t="s">
        <v>48</v>
      </c>
      <c r="H17">
        <v>34</v>
      </c>
      <c r="I17">
        <v>1500</v>
      </c>
      <c r="J17">
        <v>15</v>
      </c>
      <c r="K17">
        <v>43350</v>
      </c>
      <c r="L17">
        <v>21675</v>
      </c>
      <c r="M17">
        <v>21675</v>
      </c>
      <c r="N17" t="s">
        <v>30</v>
      </c>
      <c r="O17" t="s">
        <v>44</v>
      </c>
      <c r="P17" t="s">
        <v>24</v>
      </c>
      <c r="Q17" t="str">
        <f>TEXT(clean_data[[#This Row],[Date]],"mmm")</f>
        <v>Feb</v>
      </c>
      <c r="R17">
        <f>YEAR(clean_data[[#This Row],[Date]])</f>
        <v>2023</v>
      </c>
      <c r="S17" s="2">
        <f>clean_data[[#This Row],[Profit]]/clean_data[[#This Row],[Revenue]]</f>
        <v>0.5</v>
      </c>
      <c r="T17" t="str" cm="1">
        <f t="array" ref="T17">_xlfn.IFS(clean_data[[#This Row],[Revenue]]&lt;300000,"Small",
     clean_data[[#This Row],[Revenue]]&lt;700000,"Medium",
     TRUE,"Large")</f>
        <v>Small</v>
      </c>
      <c r="U17" t="str" cm="1">
        <f t="array" ref="U17">_xlfn.IFS(clean_data[[#This Row],[profit margin%]]&lt;0.5,"Low Profit",
     clean_data[[#This Row],[profit margin%]]&lt;0.6,"Medium Profit",
     TRUE,"High Profit")</f>
        <v>Medium Profit</v>
      </c>
      <c r="V17" t="str">
        <f>TEXT(clean_data[[#This Row],[Date]],"mmm-yyyy")</f>
        <v>Feb-2023</v>
      </c>
      <c r="W17" s="8">
        <f>EOMONTH(clean_data[[#This Row],[Date]],-1)+1</f>
        <v>44958</v>
      </c>
    </row>
    <row r="18" spans="1:23" x14ac:dyDescent="0.3">
      <c r="A18" t="s">
        <v>81</v>
      </c>
      <c r="B18" s="1">
        <v>44692</v>
      </c>
      <c r="C18" t="s">
        <v>26</v>
      </c>
      <c r="D18" t="s">
        <v>27</v>
      </c>
      <c r="E18" t="s">
        <v>38</v>
      </c>
      <c r="F18" t="s">
        <v>20</v>
      </c>
      <c r="G18" t="s">
        <v>21</v>
      </c>
      <c r="H18">
        <v>5</v>
      </c>
      <c r="I18">
        <v>3500</v>
      </c>
      <c r="J18">
        <v>0</v>
      </c>
      <c r="K18">
        <v>17500</v>
      </c>
      <c r="L18">
        <v>7000</v>
      </c>
      <c r="M18">
        <v>10500</v>
      </c>
      <c r="N18" t="s">
        <v>30</v>
      </c>
      <c r="O18" t="s">
        <v>35</v>
      </c>
      <c r="P18" t="s">
        <v>24</v>
      </c>
      <c r="Q18" t="str">
        <f>TEXT(clean_data[[#This Row],[Date]],"mmm")</f>
        <v>May</v>
      </c>
      <c r="R18">
        <f>YEAR(clean_data[[#This Row],[Date]])</f>
        <v>2022</v>
      </c>
      <c r="S18" s="2">
        <f>clean_data[[#This Row],[Profit]]/clean_data[[#This Row],[Revenue]]</f>
        <v>0.6</v>
      </c>
      <c r="T18" t="str" cm="1">
        <f t="array" ref="T18">_xlfn.IFS(clean_data[[#This Row],[Revenue]]&lt;300000,"Small",
     clean_data[[#This Row],[Revenue]]&lt;700000,"Medium",
     TRUE,"Large")</f>
        <v>Small</v>
      </c>
      <c r="U18" t="str" cm="1">
        <f t="array" ref="U18">_xlfn.IFS(clean_data[[#This Row],[profit margin%]]&lt;0.5,"Low Profit",
     clean_data[[#This Row],[profit margin%]]&lt;0.6,"Medium Profit",
     TRUE,"High Profit")</f>
        <v>High Profit</v>
      </c>
      <c r="V18" t="str">
        <f>TEXT(clean_data[[#This Row],[Date]],"mmm-yyyy")</f>
        <v>May-2022</v>
      </c>
      <c r="W18" s="8">
        <f>EOMONTH(clean_data[[#This Row],[Date]],-1)+1</f>
        <v>44682</v>
      </c>
    </row>
    <row r="19" spans="1:23" x14ac:dyDescent="0.3">
      <c r="A19" t="s">
        <v>82</v>
      </c>
      <c r="B19" s="1">
        <v>45202</v>
      </c>
      <c r="C19" t="s">
        <v>46</v>
      </c>
      <c r="D19" t="s">
        <v>55</v>
      </c>
      <c r="E19" t="s">
        <v>60</v>
      </c>
      <c r="F19" t="s">
        <v>20</v>
      </c>
      <c r="G19" t="s">
        <v>53</v>
      </c>
      <c r="H19">
        <v>9</v>
      </c>
      <c r="I19">
        <v>600</v>
      </c>
      <c r="J19">
        <v>20</v>
      </c>
      <c r="K19">
        <v>4320</v>
      </c>
      <c r="L19">
        <v>1728</v>
      </c>
      <c r="M19">
        <v>2592</v>
      </c>
      <c r="N19" t="s">
        <v>49</v>
      </c>
      <c r="O19" t="s">
        <v>44</v>
      </c>
      <c r="P19" t="s">
        <v>40</v>
      </c>
      <c r="Q19" t="str">
        <f>TEXT(clean_data[[#This Row],[Date]],"mmm")</f>
        <v>Oct</v>
      </c>
      <c r="R19">
        <f>YEAR(clean_data[[#This Row],[Date]])</f>
        <v>2023</v>
      </c>
      <c r="S19" s="2">
        <f>clean_data[[#This Row],[Profit]]/clean_data[[#This Row],[Revenue]]</f>
        <v>0.6</v>
      </c>
      <c r="T19" t="str" cm="1">
        <f t="array" ref="T19">_xlfn.IFS(clean_data[[#This Row],[Revenue]]&lt;300000,"Small",
     clean_data[[#This Row],[Revenue]]&lt;700000,"Medium",
     TRUE,"Large")</f>
        <v>Small</v>
      </c>
      <c r="U19" t="str" cm="1">
        <f t="array" ref="U19">_xlfn.IFS(clean_data[[#This Row],[profit margin%]]&lt;0.5,"Low Profit",
     clean_data[[#This Row],[profit margin%]]&lt;0.6,"Medium Profit",
     TRUE,"High Profit")</f>
        <v>High Profit</v>
      </c>
      <c r="V19" t="str">
        <f>TEXT(clean_data[[#This Row],[Date]],"mmm-yyyy")</f>
        <v>Oct-2023</v>
      </c>
      <c r="W19" s="8">
        <f>EOMONTH(clean_data[[#This Row],[Date]],-1)+1</f>
        <v>45200</v>
      </c>
    </row>
    <row r="20" spans="1:23" x14ac:dyDescent="0.3">
      <c r="A20" t="s">
        <v>83</v>
      </c>
      <c r="B20" s="1">
        <v>45499</v>
      </c>
      <c r="C20" t="s">
        <v>58</v>
      </c>
      <c r="D20" t="s">
        <v>84</v>
      </c>
      <c r="E20" t="s">
        <v>52</v>
      </c>
      <c r="F20" t="s">
        <v>28</v>
      </c>
      <c r="G20" t="s">
        <v>85</v>
      </c>
      <c r="H20">
        <v>23</v>
      </c>
      <c r="I20">
        <v>8000</v>
      </c>
      <c r="J20">
        <v>15</v>
      </c>
      <c r="K20">
        <v>156400</v>
      </c>
      <c r="L20">
        <v>86020</v>
      </c>
      <c r="M20">
        <v>70380</v>
      </c>
      <c r="N20" t="s">
        <v>49</v>
      </c>
      <c r="O20" t="s">
        <v>35</v>
      </c>
      <c r="P20" t="s">
        <v>24</v>
      </c>
      <c r="Q20" t="str">
        <f>TEXT(clean_data[[#This Row],[Date]],"mmm")</f>
        <v>Jul</v>
      </c>
      <c r="R20">
        <f>YEAR(clean_data[[#This Row],[Date]])</f>
        <v>2024</v>
      </c>
      <c r="S20" s="2">
        <f>clean_data[[#This Row],[Profit]]/clean_data[[#This Row],[Revenue]]</f>
        <v>0.45</v>
      </c>
      <c r="T20" t="str" cm="1">
        <f t="array" ref="T20">_xlfn.IFS(clean_data[[#This Row],[Revenue]]&lt;300000,"Small",
     clean_data[[#This Row],[Revenue]]&lt;700000,"Medium",
     TRUE,"Large")</f>
        <v>Small</v>
      </c>
      <c r="U20" t="str" cm="1">
        <f t="array" ref="U20">_xlfn.IFS(clean_data[[#This Row],[profit margin%]]&lt;0.5,"Low Profit",
     clean_data[[#This Row],[profit margin%]]&lt;0.6,"Medium Profit",
     TRUE,"High Profit")</f>
        <v>Low Profit</v>
      </c>
      <c r="V20" t="str">
        <f>TEXT(clean_data[[#This Row],[Date]],"mmm-yyyy")</f>
        <v>Jul-2024</v>
      </c>
      <c r="W20" s="8">
        <f>EOMONTH(clean_data[[#This Row],[Date]],-1)+1</f>
        <v>45474</v>
      </c>
    </row>
    <row r="21" spans="1:23" x14ac:dyDescent="0.3">
      <c r="A21" t="s">
        <v>86</v>
      </c>
      <c r="B21" s="1">
        <v>44744</v>
      </c>
      <c r="C21" t="s">
        <v>58</v>
      </c>
      <c r="D21" t="s">
        <v>64</v>
      </c>
      <c r="E21" t="s">
        <v>70</v>
      </c>
      <c r="F21" t="s">
        <v>28</v>
      </c>
      <c r="G21" t="s">
        <v>87</v>
      </c>
      <c r="H21">
        <v>13</v>
      </c>
      <c r="I21">
        <v>45000</v>
      </c>
      <c r="J21">
        <v>5</v>
      </c>
      <c r="K21">
        <v>555750</v>
      </c>
      <c r="L21">
        <v>305662.5</v>
      </c>
      <c r="M21">
        <v>250087.5</v>
      </c>
      <c r="N21" t="s">
        <v>49</v>
      </c>
      <c r="O21" t="s">
        <v>44</v>
      </c>
      <c r="P21" t="s">
        <v>40</v>
      </c>
      <c r="Q21" t="str">
        <f>TEXT(clean_data[[#This Row],[Date]],"mmm")</f>
        <v>Jul</v>
      </c>
      <c r="R21">
        <f>YEAR(clean_data[[#This Row],[Date]])</f>
        <v>2022</v>
      </c>
      <c r="S21" s="2">
        <f>clean_data[[#This Row],[Profit]]/clean_data[[#This Row],[Revenue]]</f>
        <v>0.45</v>
      </c>
      <c r="T21" t="str" cm="1">
        <f t="array" ref="T21">_xlfn.IFS(clean_data[[#This Row],[Revenue]]&lt;300000,"Small",
     clean_data[[#This Row],[Revenue]]&lt;700000,"Medium",
     TRUE,"Large")</f>
        <v>Medium</v>
      </c>
      <c r="U21" t="str" cm="1">
        <f t="array" ref="U21">_xlfn.IFS(clean_data[[#This Row],[profit margin%]]&lt;0.5,"Low Profit",
     clean_data[[#This Row],[profit margin%]]&lt;0.6,"Medium Profit",
     TRUE,"High Profit")</f>
        <v>Low Profit</v>
      </c>
      <c r="V21" t="str">
        <f>TEXT(clean_data[[#This Row],[Date]],"mmm-yyyy")</f>
        <v>Jul-2022</v>
      </c>
      <c r="W21" s="8">
        <f>EOMONTH(clean_data[[#This Row],[Date]],-1)+1</f>
        <v>44743</v>
      </c>
    </row>
    <row r="22" spans="1:23" x14ac:dyDescent="0.3">
      <c r="A22" t="s">
        <v>88</v>
      </c>
      <c r="B22" s="1">
        <v>45388</v>
      </c>
      <c r="C22" t="s">
        <v>17</v>
      </c>
      <c r="D22" t="s">
        <v>37</v>
      </c>
      <c r="E22" t="s">
        <v>19</v>
      </c>
      <c r="F22" t="s">
        <v>28</v>
      </c>
      <c r="G22" t="s">
        <v>85</v>
      </c>
      <c r="H22">
        <v>36</v>
      </c>
      <c r="I22">
        <v>8000</v>
      </c>
      <c r="J22">
        <v>0</v>
      </c>
      <c r="K22">
        <v>288000</v>
      </c>
      <c r="L22">
        <v>158400</v>
      </c>
      <c r="M22">
        <v>129600</v>
      </c>
      <c r="N22" t="s">
        <v>22</v>
      </c>
      <c r="O22" t="s">
        <v>67</v>
      </c>
      <c r="P22" t="s">
        <v>24</v>
      </c>
      <c r="Q22" t="str">
        <f>TEXT(clean_data[[#This Row],[Date]],"mmm")</f>
        <v>Apr</v>
      </c>
      <c r="R22">
        <f>YEAR(clean_data[[#This Row],[Date]])</f>
        <v>2024</v>
      </c>
      <c r="S22" s="2">
        <f>clean_data[[#This Row],[Profit]]/clean_data[[#This Row],[Revenue]]</f>
        <v>0.45</v>
      </c>
      <c r="T22" t="str" cm="1">
        <f t="array" ref="T22">_xlfn.IFS(clean_data[[#This Row],[Revenue]]&lt;300000,"Small",
     clean_data[[#This Row],[Revenue]]&lt;700000,"Medium",
     TRUE,"Large")</f>
        <v>Small</v>
      </c>
      <c r="U22" t="str" cm="1">
        <f t="array" ref="U22">_xlfn.IFS(clean_data[[#This Row],[profit margin%]]&lt;0.5,"Low Profit",
     clean_data[[#This Row],[profit margin%]]&lt;0.6,"Medium Profit",
     TRUE,"High Profit")</f>
        <v>Low Profit</v>
      </c>
      <c r="V22" t="str">
        <f>TEXT(clean_data[[#This Row],[Date]],"mmm-yyyy")</f>
        <v>Apr-2024</v>
      </c>
      <c r="W22" s="8">
        <f>EOMONTH(clean_data[[#This Row],[Date]],-1)+1</f>
        <v>45383</v>
      </c>
    </row>
    <row r="23" spans="1:23" x14ac:dyDescent="0.3">
      <c r="A23" t="s">
        <v>89</v>
      </c>
      <c r="B23" s="1">
        <v>44564</v>
      </c>
      <c r="C23" t="s">
        <v>46</v>
      </c>
      <c r="D23" t="s">
        <v>47</v>
      </c>
      <c r="E23" t="s">
        <v>32</v>
      </c>
      <c r="F23" t="s">
        <v>65</v>
      </c>
      <c r="G23" t="s">
        <v>66</v>
      </c>
      <c r="H23">
        <v>14</v>
      </c>
      <c r="I23">
        <v>5500</v>
      </c>
      <c r="J23">
        <v>15</v>
      </c>
      <c r="K23">
        <v>65450</v>
      </c>
      <c r="L23">
        <v>29452.5</v>
      </c>
      <c r="M23">
        <v>35997.5</v>
      </c>
      <c r="N23" t="s">
        <v>30</v>
      </c>
      <c r="O23" t="s">
        <v>23</v>
      </c>
      <c r="P23" t="s">
        <v>24</v>
      </c>
      <c r="Q23" t="str">
        <f>TEXT(clean_data[[#This Row],[Date]],"mmm")</f>
        <v>Jan</v>
      </c>
      <c r="R23">
        <f>YEAR(clean_data[[#This Row],[Date]])</f>
        <v>2022</v>
      </c>
      <c r="S23" s="2">
        <f>clean_data[[#This Row],[Profit]]/clean_data[[#This Row],[Revenue]]</f>
        <v>0.55000000000000004</v>
      </c>
      <c r="T23" t="str" cm="1">
        <f t="array" ref="T23">_xlfn.IFS(clean_data[[#This Row],[Revenue]]&lt;300000,"Small",
     clean_data[[#This Row],[Revenue]]&lt;700000,"Medium",
     TRUE,"Large")</f>
        <v>Small</v>
      </c>
      <c r="U23" t="str" cm="1">
        <f t="array" ref="U23">_xlfn.IFS(clean_data[[#This Row],[profit margin%]]&lt;0.5,"Low Profit",
     clean_data[[#This Row],[profit margin%]]&lt;0.6,"Medium Profit",
     TRUE,"High Profit")</f>
        <v>Medium Profit</v>
      </c>
      <c r="V23" t="str">
        <f>TEXT(clean_data[[#This Row],[Date]],"mmm-yyyy")</f>
        <v>Jan-2022</v>
      </c>
      <c r="W23" s="8">
        <f>EOMONTH(clean_data[[#This Row],[Date]],-1)+1</f>
        <v>44562</v>
      </c>
    </row>
    <row r="24" spans="1:23" x14ac:dyDescent="0.3">
      <c r="A24" t="s">
        <v>90</v>
      </c>
      <c r="B24" s="1">
        <v>44574</v>
      </c>
      <c r="C24" t="s">
        <v>17</v>
      </c>
      <c r="D24" t="s">
        <v>37</v>
      </c>
      <c r="E24" t="s">
        <v>73</v>
      </c>
      <c r="F24" t="s">
        <v>65</v>
      </c>
      <c r="G24" t="s">
        <v>79</v>
      </c>
      <c r="H24">
        <v>43</v>
      </c>
      <c r="I24">
        <v>900</v>
      </c>
      <c r="J24">
        <v>15</v>
      </c>
      <c r="K24">
        <v>32895</v>
      </c>
      <c r="L24">
        <v>14802.75</v>
      </c>
      <c r="M24">
        <v>18092.25</v>
      </c>
      <c r="N24" t="s">
        <v>30</v>
      </c>
      <c r="O24" t="s">
        <v>50</v>
      </c>
      <c r="P24" t="s">
        <v>24</v>
      </c>
      <c r="Q24" t="str">
        <f>TEXT(clean_data[[#This Row],[Date]],"mmm")</f>
        <v>Jan</v>
      </c>
      <c r="R24">
        <f>YEAR(clean_data[[#This Row],[Date]])</f>
        <v>2022</v>
      </c>
      <c r="S24" s="2">
        <f>clean_data[[#This Row],[Profit]]/clean_data[[#This Row],[Revenue]]</f>
        <v>0.55000000000000004</v>
      </c>
      <c r="T24" t="str" cm="1">
        <f t="array" ref="T24">_xlfn.IFS(clean_data[[#This Row],[Revenue]]&lt;300000,"Small",
     clean_data[[#This Row],[Revenue]]&lt;700000,"Medium",
     TRUE,"Large")</f>
        <v>Small</v>
      </c>
      <c r="U24" t="str" cm="1">
        <f t="array" ref="U24">_xlfn.IFS(clean_data[[#This Row],[profit margin%]]&lt;0.5,"Low Profit",
     clean_data[[#This Row],[profit margin%]]&lt;0.6,"Medium Profit",
     TRUE,"High Profit")</f>
        <v>Medium Profit</v>
      </c>
      <c r="V24" t="str">
        <f>TEXT(clean_data[[#This Row],[Date]],"mmm-yyyy")</f>
        <v>Jan-2022</v>
      </c>
      <c r="W24" s="8">
        <f>EOMONTH(clean_data[[#This Row],[Date]],-1)+1</f>
        <v>44562</v>
      </c>
    </row>
    <row r="25" spans="1:23" x14ac:dyDescent="0.3">
      <c r="A25" t="s">
        <v>91</v>
      </c>
      <c r="B25" s="1">
        <v>44959</v>
      </c>
      <c r="C25" t="s">
        <v>26</v>
      </c>
      <c r="D25" t="s">
        <v>69</v>
      </c>
      <c r="E25" t="s">
        <v>56</v>
      </c>
      <c r="F25" t="s">
        <v>28</v>
      </c>
      <c r="G25" t="s">
        <v>29</v>
      </c>
      <c r="H25">
        <v>31</v>
      </c>
      <c r="I25">
        <v>15000</v>
      </c>
      <c r="J25">
        <v>20</v>
      </c>
      <c r="K25">
        <v>372000</v>
      </c>
      <c r="L25">
        <v>204600</v>
      </c>
      <c r="M25">
        <v>167400</v>
      </c>
      <c r="N25" t="s">
        <v>30</v>
      </c>
      <c r="O25" t="s">
        <v>35</v>
      </c>
      <c r="P25" t="s">
        <v>40</v>
      </c>
      <c r="Q25" t="str">
        <f>TEXT(clean_data[[#This Row],[Date]],"mmm")</f>
        <v>Feb</v>
      </c>
      <c r="R25">
        <f>YEAR(clean_data[[#This Row],[Date]])</f>
        <v>2023</v>
      </c>
      <c r="S25" s="2">
        <f>clean_data[[#This Row],[Profit]]/clean_data[[#This Row],[Revenue]]</f>
        <v>0.45</v>
      </c>
      <c r="T25" t="str" cm="1">
        <f t="array" ref="T25">_xlfn.IFS(clean_data[[#This Row],[Revenue]]&lt;300000,"Small",
     clean_data[[#This Row],[Revenue]]&lt;700000,"Medium",
     TRUE,"Large")</f>
        <v>Medium</v>
      </c>
      <c r="U25" t="str" cm="1">
        <f t="array" ref="U25">_xlfn.IFS(clean_data[[#This Row],[profit margin%]]&lt;0.5,"Low Profit",
     clean_data[[#This Row],[profit margin%]]&lt;0.6,"Medium Profit",
     TRUE,"High Profit")</f>
        <v>Low Profit</v>
      </c>
      <c r="V25" t="str">
        <f>TEXT(clean_data[[#This Row],[Date]],"mmm-yyyy")</f>
        <v>Feb-2023</v>
      </c>
      <c r="W25" s="8">
        <f>EOMONTH(clean_data[[#This Row],[Date]],-1)+1</f>
        <v>44958</v>
      </c>
    </row>
    <row r="26" spans="1:23" x14ac:dyDescent="0.3">
      <c r="A26" t="s">
        <v>92</v>
      </c>
      <c r="B26" s="1">
        <v>45538</v>
      </c>
      <c r="C26" t="s">
        <v>46</v>
      </c>
      <c r="D26" t="s">
        <v>47</v>
      </c>
      <c r="E26" t="s">
        <v>38</v>
      </c>
      <c r="F26" t="s">
        <v>28</v>
      </c>
      <c r="G26" t="s">
        <v>87</v>
      </c>
      <c r="H26">
        <v>26</v>
      </c>
      <c r="I26">
        <v>45000</v>
      </c>
      <c r="J26">
        <v>0</v>
      </c>
      <c r="K26">
        <v>1170000</v>
      </c>
      <c r="L26">
        <v>643500</v>
      </c>
      <c r="M26">
        <v>526500</v>
      </c>
      <c r="N26" t="s">
        <v>30</v>
      </c>
      <c r="O26" t="s">
        <v>67</v>
      </c>
      <c r="P26" t="s">
        <v>40</v>
      </c>
      <c r="Q26" t="str">
        <f>TEXT(clean_data[[#This Row],[Date]],"mmm")</f>
        <v>Sep</v>
      </c>
      <c r="R26">
        <f>YEAR(clean_data[[#This Row],[Date]])</f>
        <v>2024</v>
      </c>
      <c r="S26" s="2">
        <f>clean_data[[#This Row],[Profit]]/clean_data[[#This Row],[Revenue]]</f>
        <v>0.45</v>
      </c>
      <c r="T26" t="str" cm="1">
        <f t="array" ref="T26">_xlfn.IFS(clean_data[[#This Row],[Revenue]]&lt;300000,"Small",
     clean_data[[#This Row],[Revenue]]&lt;700000,"Medium",
     TRUE,"Large")</f>
        <v>Large</v>
      </c>
      <c r="U26" t="str" cm="1">
        <f t="array" ref="U26">_xlfn.IFS(clean_data[[#This Row],[profit margin%]]&lt;0.5,"Low Profit",
     clean_data[[#This Row],[profit margin%]]&lt;0.6,"Medium Profit",
     TRUE,"High Profit")</f>
        <v>Low Profit</v>
      </c>
      <c r="V26" t="str">
        <f>TEXT(clean_data[[#This Row],[Date]],"mmm-yyyy")</f>
        <v>Sep-2024</v>
      </c>
      <c r="W26" s="8">
        <f>EOMONTH(clean_data[[#This Row],[Date]],-1)+1</f>
        <v>45536</v>
      </c>
    </row>
    <row r="27" spans="1:23" x14ac:dyDescent="0.3">
      <c r="A27" t="s">
        <v>93</v>
      </c>
      <c r="B27" s="1">
        <v>44640</v>
      </c>
      <c r="C27" t="s">
        <v>26</v>
      </c>
      <c r="D27" t="s">
        <v>69</v>
      </c>
      <c r="E27" t="s">
        <v>38</v>
      </c>
      <c r="F27" t="s">
        <v>33</v>
      </c>
      <c r="G27" t="s">
        <v>34</v>
      </c>
      <c r="H27">
        <v>14</v>
      </c>
      <c r="I27">
        <v>25000</v>
      </c>
      <c r="J27">
        <v>10</v>
      </c>
      <c r="K27">
        <v>315000</v>
      </c>
      <c r="L27">
        <v>157500</v>
      </c>
      <c r="M27">
        <v>157500</v>
      </c>
      <c r="N27" t="s">
        <v>49</v>
      </c>
      <c r="O27" t="s">
        <v>23</v>
      </c>
      <c r="P27" t="s">
        <v>24</v>
      </c>
      <c r="Q27" t="str">
        <f>TEXT(clean_data[[#This Row],[Date]],"mmm")</f>
        <v>Mar</v>
      </c>
      <c r="R27">
        <f>YEAR(clean_data[[#This Row],[Date]])</f>
        <v>2022</v>
      </c>
      <c r="S27" s="2">
        <f>clean_data[[#This Row],[Profit]]/clean_data[[#This Row],[Revenue]]</f>
        <v>0.5</v>
      </c>
      <c r="T27" t="str" cm="1">
        <f t="array" ref="T27">_xlfn.IFS(clean_data[[#This Row],[Revenue]]&lt;300000,"Small",
     clean_data[[#This Row],[Revenue]]&lt;700000,"Medium",
     TRUE,"Large")</f>
        <v>Medium</v>
      </c>
      <c r="U27" t="str" cm="1">
        <f t="array" ref="U27">_xlfn.IFS(clean_data[[#This Row],[profit margin%]]&lt;0.5,"Low Profit",
     clean_data[[#This Row],[profit margin%]]&lt;0.6,"Medium Profit",
     TRUE,"High Profit")</f>
        <v>Medium Profit</v>
      </c>
      <c r="V27" t="str">
        <f>TEXT(clean_data[[#This Row],[Date]],"mmm-yyyy")</f>
        <v>Mar-2022</v>
      </c>
      <c r="W27" s="8">
        <f>EOMONTH(clean_data[[#This Row],[Date]],-1)+1</f>
        <v>44621</v>
      </c>
    </row>
    <row r="28" spans="1:23" x14ac:dyDescent="0.3">
      <c r="A28" t="s">
        <v>94</v>
      </c>
      <c r="B28" s="1">
        <v>44826</v>
      </c>
      <c r="C28" t="s">
        <v>17</v>
      </c>
      <c r="D28" t="s">
        <v>37</v>
      </c>
      <c r="E28" t="s">
        <v>70</v>
      </c>
      <c r="F28" t="s">
        <v>28</v>
      </c>
      <c r="G28" t="s">
        <v>95</v>
      </c>
      <c r="H28">
        <v>30</v>
      </c>
      <c r="I28">
        <v>75000</v>
      </c>
      <c r="J28">
        <v>20</v>
      </c>
      <c r="K28">
        <v>1800000</v>
      </c>
      <c r="L28">
        <v>990000</v>
      </c>
      <c r="M28">
        <v>810000</v>
      </c>
      <c r="N28" t="s">
        <v>30</v>
      </c>
      <c r="O28" t="s">
        <v>35</v>
      </c>
      <c r="P28" t="s">
        <v>40</v>
      </c>
      <c r="Q28" t="str">
        <f>TEXT(clean_data[[#This Row],[Date]],"mmm")</f>
        <v>Sep</v>
      </c>
      <c r="R28">
        <f>YEAR(clean_data[[#This Row],[Date]])</f>
        <v>2022</v>
      </c>
      <c r="S28" s="2">
        <f>clean_data[[#This Row],[Profit]]/clean_data[[#This Row],[Revenue]]</f>
        <v>0.45</v>
      </c>
      <c r="T28" t="str" cm="1">
        <f t="array" ref="T28">_xlfn.IFS(clean_data[[#This Row],[Revenue]]&lt;300000,"Small",
     clean_data[[#This Row],[Revenue]]&lt;700000,"Medium",
     TRUE,"Large")</f>
        <v>Large</v>
      </c>
      <c r="U28" t="str" cm="1">
        <f t="array" ref="U28">_xlfn.IFS(clean_data[[#This Row],[profit margin%]]&lt;0.5,"Low Profit",
     clean_data[[#This Row],[profit margin%]]&lt;0.6,"Medium Profit",
     TRUE,"High Profit")</f>
        <v>Low Profit</v>
      </c>
      <c r="V28" t="str">
        <f>TEXT(clean_data[[#This Row],[Date]],"mmm-yyyy")</f>
        <v>Sep-2022</v>
      </c>
      <c r="W28" s="8">
        <f>EOMONTH(clean_data[[#This Row],[Date]],-1)+1</f>
        <v>44805</v>
      </c>
    </row>
    <row r="29" spans="1:23" x14ac:dyDescent="0.3">
      <c r="A29" t="s">
        <v>96</v>
      </c>
      <c r="B29" s="1">
        <v>45603</v>
      </c>
      <c r="C29" t="s">
        <v>17</v>
      </c>
      <c r="D29" t="s">
        <v>18</v>
      </c>
      <c r="E29" t="s">
        <v>70</v>
      </c>
      <c r="F29" t="s">
        <v>28</v>
      </c>
      <c r="G29" t="s">
        <v>87</v>
      </c>
      <c r="H29">
        <v>24</v>
      </c>
      <c r="I29">
        <v>45000</v>
      </c>
      <c r="J29">
        <v>10</v>
      </c>
      <c r="K29">
        <v>972000</v>
      </c>
      <c r="L29">
        <v>534600</v>
      </c>
      <c r="M29">
        <v>437400</v>
      </c>
      <c r="N29" t="s">
        <v>49</v>
      </c>
      <c r="O29" t="s">
        <v>67</v>
      </c>
      <c r="P29" t="s">
        <v>24</v>
      </c>
      <c r="Q29" t="str">
        <f>TEXT(clean_data[[#This Row],[Date]],"mmm")</f>
        <v>Nov</v>
      </c>
      <c r="R29">
        <f>YEAR(clean_data[[#This Row],[Date]])</f>
        <v>2024</v>
      </c>
      <c r="S29" s="2">
        <f>clean_data[[#This Row],[Profit]]/clean_data[[#This Row],[Revenue]]</f>
        <v>0.45</v>
      </c>
      <c r="T29" t="str" cm="1">
        <f t="array" ref="T29">_xlfn.IFS(clean_data[[#This Row],[Revenue]]&lt;300000,"Small",
     clean_data[[#This Row],[Revenue]]&lt;700000,"Medium",
     TRUE,"Large")</f>
        <v>Large</v>
      </c>
      <c r="U29" t="str" cm="1">
        <f t="array" ref="U29">_xlfn.IFS(clean_data[[#This Row],[profit margin%]]&lt;0.5,"Low Profit",
     clean_data[[#This Row],[profit margin%]]&lt;0.6,"Medium Profit",
     TRUE,"High Profit")</f>
        <v>Low Profit</v>
      </c>
      <c r="V29" t="str">
        <f>TEXT(clean_data[[#This Row],[Date]],"mmm-yyyy")</f>
        <v>Nov-2024</v>
      </c>
      <c r="W29" s="8">
        <f>EOMONTH(clean_data[[#This Row],[Date]],-1)+1</f>
        <v>45597</v>
      </c>
    </row>
    <row r="30" spans="1:23" x14ac:dyDescent="0.3">
      <c r="A30" t="s">
        <v>97</v>
      </c>
      <c r="B30" s="1">
        <v>45158</v>
      </c>
      <c r="C30" t="s">
        <v>26</v>
      </c>
      <c r="D30" t="s">
        <v>69</v>
      </c>
      <c r="E30" t="s">
        <v>52</v>
      </c>
      <c r="F30" t="s">
        <v>20</v>
      </c>
      <c r="G30" t="s">
        <v>61</v>
      </c>
      <c r="H30">
        <v>8</v>
      </c>
      <c r="I30">
        <v>800</v>
      </c>
      <c r="J30">
        <v>0</v>
      </c>
      <c r="K30">
        <v>6400</v>
      </c>
      <c r="L30">
        <v>2560</v>
      </c>
      <c r="M30">
        <v>3840</v>
      </c>
      <c r="N30" t="s">
        <v>30</v>
      </c>
      <c r="O30" t="s">
        <v>50</v>
      </c>
      <c r="P30" t="s">
        <v>40</v>
      </c>
      <c r="Q30" t="str">
        <f>TEXT(clean_data[[#This Row],[Date]],"mmm")</f>
        <v>Aug</v>
      </c>
      <c r="R30">
        <f>YEAR(clean_data[[#This Row],[Date]])</f>
        <v>2023</v>
      </c>
      <c r="S30" s="2">
        <f>clean_data[[#This Row],[Profit]]/clean_data[[#This Row],[Revenue]]</f>
        <v>0.6</v>
      </c>
      <c r="T30" t="str" cm="1">
        <f t="array" ref="T30">_xlfn.IFS(clean_data[[#This Row],[Revenue]]&lt;300000,"Small",
     clean_data[[#This Row],[Revenue]]&lt;700000,"Medium",
     TRUE,"Large")</f>
        <v>Small</v>
      </c>
      <c r="U30" t="str" cm="1">
        <f t="array" ref="U30">_xlfn.IFS(clean_data[[#This Row],[profit margin%]]&lt;0.5,"Low Profit",
     clean_data[[#This Row],[profit margin%]]&lt;0.6,"Medium Profit",
     TRUE,"High Profit")</f>
        <v>High Profit</v>
      </c>
      <c r="V30" t="str">
        <f>TEXT(clean_data[[#This Row],[Date]],"mmm-yyyy")</f>
        <v>Aug-2023</v>
      </c>
      <c r="W30" s="8">
        <f>EOMONTH(clean_data[[#This Row],[Date]],-1)+1</f>
        <v>45139</v>
      </c>
    </row>
    <row r="31" spans="1:23" x14ac:dyDescent="0.3">
      <c r="A31" t="s">
        <v>98</v>
      </c>
      <c r="B31" s="1">
        <v>45127</v>
      </c>
      <c r="C31" t="s">
        <v>46</v>
      </c>
      <c r="D31" t="s">
        <v>55</v>
      </c>
      <c r="E31" t="s">
        <v>19</v>
      </c>
      <c r="F31" t="s">
        <v>33</v>
      </c>
      <c r="G31" t="s">
        <v>43</v>
      </c>
      <c r="H31">
        <v>32</v>
      </c>
      <c r="I31">
        <v>4000</v>
      </c>
      <c r="J31">
        <v>10</v>
      </c>
      <c r="K31">
        <v>115200</v>
      </c>
      <c r="L31">
        <v>57600</v>
      </c>
      <c r="M31">
        <v>57600</v>
      </c>
      <c r="N31" t="s">
        <v>30</v>
      </c>
      <c r="O31" t="s">
        <v>23</v>
      </c>
      <c r="P31" t="s">
        <v>24</v>
      </c>
      <c r="Q31" t="str">
        <f>TEXT(clean_data[[#This Row],[Date]],"mmm")</f>
        <v>Jul</v>
      </c>
      <c r="R31">
        <f>YEAR(clean_data[[#This Row],[Date]])</f>
        <v>2023</v>
      </c>
      <c r="S31" s="2">
        <f>clean_data[[#This Row],[Profit]]/clean_data[[#This Row],[Revenue]]</f>
        <v>0.5</v>
      </c>
      <c r="T31" t="str" cm="1">
        <f t="array" ref="T31">_xlfn.IFS(clean_data[[#This Row],[Revenue]]&lt;300000,"Small",
     clean_data[[#This Row],[Revenue]]&lt;700000,"Medium",
     TRUE,"Large")</f>
        <v>Small</v>
      </c>
      <c r="U31" t="str" cm="1">
        <f t="array" ref="U31">_xlfn.IFS(clean_data[[#This Row],[profit margin%]]&lt;0.5,"Low Profit",
     clean_data[[#This Row],[profit margin%]]&lt;0.6,"Medium Profit",
     TRUE,"High Profit")</f>
        <v>Medium Profit</v>
      </c>
      <c r="V31" t="str">
        <f>TEXT(clean_data[[#This Row],[Date]],"mmm-yyyy")</f>
        <v>Jul-2023</v>
      </c>
      <c r="W31" s="8">
        <f>EOMONTH(clean_data[[#This Row],[Date]],-1)+1</f>
        <v>45108</v>
      </c>
    </row>
    <row r="32" spans="1:23" x14ac:dyDescent="0.3">
      <c r="A32" t="s">
        <v>99</v>
      </c>
      <c r="B32" s="1">
        <v>45079</v>
      </c>
      <c r="C32" t="s">
        <v>26</v>
      </c>
      <c r="D32" t="s">
        <v>69</v>
      </c>
      <c r="E32" t="s">
        <v>78</v>
      </c>
      <c r="F32" t="s">
        <v>33</v>
      </c>
      <c r="G32" t="s">
        <v>76</v>
      </c>
      <c r="H32">
        <v>48</v>
      </c>
      <c r="I32">
        <v>8500</v>
      </c>
      <c r="J32">
        <v>15</v>
      </c>
      <c r="K32">
        <v>346800</v>
      </c>
      <c r="L32">
        <v>173400</v>
      </c>
      <c r="M32">
        <v>173400</v>
      </c>
      <c r="N32" t="s">
        <v>22</v>
      </c>
      <c r="O32" t="s">
        <v>23</v>
      </c>
      <c r="P32" t="s">
        <v>40</v>
      </c>
      <c r="Q32" t="str">
        <f>TEXT(clean_data[[#This Row],[Date]],"mmm")</f>
        <v>Jun</v>
      </c>
      <c r="R32">
        <f>YEAR(clean_data[[#This Row],[Date]])</f>
        <v>2023</v>
      </c>
      <c r="S32" s="2">
        <f>clean_data[[#This Row],[Profit]]/clean_data[[#This Row],[Revenue]]</f>
        <v>0.5</v>
      </c>
      <c r="T32" t="str" cm="1">
        <f t="array" ref="T32">_xlfn.IFS(clean_data[[#This Row],[Revenue]]&lt;300000,"Small",
     clean_data[[#This Row],[Revenue]]&lt;700000,"Medium",
     TRUE,"Large")</f>
        <v>Medium</v>
      </c>
      <c r="U32" t="str" cm="1">
        <f t="array" ref="U32">_xlfn.IFS(clean_data[[#This Row],[profit margin%]]&lt;0.5,"Low Profit",
     clean_data[[#This Row],[profit margin%]]&lt;0.6,"Medium Profit",
     TRUE,"High Profit")</f>
        <v>Medium Profit</v>
      </c>
      <c r="V32" t="str">
        <f>TEXT(clean_data[[#This Row],[Date]],"mmm-yyyy")</f>
        <v>Jun-2023</v>
      </c>
      <c r="W32" s="8">
        <f>EOMONTH(clean_data[[#This Row],[Date]],-1)+1</f>
        <v>45078</v>
      </c>
    </row>
    <row r="33" spans="1:23" x14ac:dyDescent="0.3">
      <c r="A33" t="s">
        <v>100</v>
      </c>
      <c r="B33" s="1">
        <v>45627</v>
      </c>
      <c r="C33" t="s">
        <v>26</v>
      </c>
      <c r="D33" t="s">
        <v>27</v>
      </c>
      <c r="E33" t="s">
        <v>78</v>
      </c>
      <c r="F33" t="s">
        <v>28</v>
      </c>
      <c r="G33" t="s">
        <v>71</v>
      </c>
      <c r="H33">
        <v>38</v>
      </c>
      <c r="I33">
        <v>35000</v>
      </c>
      <c r="J33">
        <v>20</v>
      </c>
      <c r="K33">
        <v>1064000</v>
      </c>
      <c r="L33">
        <v>585200</v>
      </c>
      <c r="M33">
        <v>478800</v>
      </c>
      <c r="N33" t="s">
        <v>49</v>
      </c>
      <c r="O33" t="s">
        <v>44</v>
      </c>
      <c r="P33" t="s">
        <v>24</v>
      </c>
      <c r="Q33" t="str">
        <f>TEXT(clean_data[[#This Row],[Date]],"mmm")</f>
        <v>Dec</v>
      </c>
      <c r="R33">
        <f>YEAR(clean_data[[#This Row],[Date]])</f>
        <v>2024</v>
      </c>
      <c r="S33" s="2">
        <f>clean_data[[#This Row],[Profit]]/clean_data[[#This Row],[Revenue]]</f>
        <v>0.45</v>
      </c>
      <c r="T33" t="str" cm="1">
        <f t="array" ref="T33">_xlfn.IFS(clean_data[[#This Row],[Revenue]]&lt;300000,"Small",
     clean_data[[#This Row],[Revenue]]&lt;700000,"Medium",
     TRUE,"Large")</f>
        <v>Large</v>
      </c>
      <c r="U33" t="str" cm="1">
        <f t="array" ref="U33">_xlfn.IFS(clean_data[[#This Row],[profit margin%]]&lt;0.5,"Low Profit",
     clean_data[[#This Row],[profit margin%]]&lt;0.6,"Medium Profit",
     TRUE,"High Profit")</f>
        <v>Low Profit</v>
      </c>
      <c r="V33" t="str">
        <f>TEXT(clean_data[[#This Row],[Date]],"mmm-yyyy")</f>
        <v>Dec-2024</v>
      </c>
      <c r="W33" s="8">
        <f>EOMONTH(clean_data[[#This Row],[Date]],-1)+1</f>
        <v>45627</v>
      </c>
    </row>
    <row r="34" spans="1:23" x14ac:dyDescent="0.3">
      <c r="A34" t="s">
        <v>101</v>
      </c>
      <c r="B34" s="1">
        <v>44630</v>
      </c>
      <c r="C34" t="s">
        <v>17</v>
      </c>
      <c r="D34" t="s">
        <v>18</v>
      </c>
      <c r="E34" t="s">
        <v>70</v>
      </c>
      <c r="F34" t="s">
        <v>20</v>
      </c>
      <c r="G34" t="s">
        <v>74</v>
      </c>
      <c r="H34">
        <v>43</v>
      </c>
      <c r="I34">
        <v>4200</v>
      </c>
      <c r="J34">
        <v>0</v>
      </c>
      <c r="K34">
        <v>180600</v>
      </c>
      <c r="L34">
        <v>72240</v>
      </c>
      <c r="M34">
        <v>108360</v>
      </c>
      <c r="N34" t="s">
        <v>22</v>
      </c>
      <c r="O34" t="s">
        <v>23</v>
      </c>
      <c r="P34" t="s">
        <v>24</v>
      </c>
      <c r="Q34" t="str">
        <f>TEXT(clean_data[[#This Row],[Date]],"mmm")</f>
        <v>Mar</v>
      </c>
      <c r="R34">
        <f>YEAR(clean_data[[#This Row],[Date]])</f>
        <v>2022</v>
      </c>
      <c r="S34" s="2">
        <f>clean_data[[#This Row],[Profit]]/clean_data[[#This Row],[Revenue]]</f>
        <v>0.6</v>
      </c>
      <c r="T34" t="str" cm="1">
        <f t="array" ref="T34">_xlfn.IFS(clean_data[[#This Row],[Revenue]]&lt;300000,"Small",
     clean_data[[#This Row],[Revenue]]&lt;700000,"Medium",
     TRUE,"Large")</f>
        <v>Small</v>
      </c>
      <c r="U34" t="str" cm="1">
        <f t="array" ref="U34">_xlfn.IFS(clean_data[[#This Row],[profit margin%]]&lt;0.5,"Low Profit",
     clean_data[[#This Row],[profit margin%]]&lt;0.6,"Medium Profit",
     TRUE,"High Profit")</f>
        <v>High Profit</v>
      </c>
      <c r="V34" t="str">
        <f>TEXT(clean_data[[#This Row],[Date]],"mmm-yyyy")</f>
        <v>Mar-2022</v>
      </c>
      <c r="W34" s="8">
        <f>EOMONTH(clean_data[[#This Row],[Date]],-1)+1</f>
        <v>44621</v>
      </c>
    </row>
    <row r="35" spans="1:23" x14ac:dyDescent="0.3">
      <c r="A35" t="s">
        <v>102</v>
      </c>
      <c r="B35" s="1">
        <v>44842</v>
      </c>
      <c r="C35" t="s">
        <v>46</v>
      </c>
      <c r="D35" t="s">
        <v>47</v>
      </c>
      <c r="E35" t="s">
        <v>32</v>
      </c>
      <c r="F35" t="s">
        <v>28</v>
      </c>
      <c r="G35" t="s">
        <v>87</v>
      </c>
      <c r="H35">
        <v>48</v>
      </c>
      <c r="I35">
        <v>45000</v>
      </c>
      <c r="J35">
        <v>10</v>
      </c>
      <c r="K35">
        <v>1944000</v>
      </c>
      <c r="L35">
        <v>1069200</v>
      </c>
      <c r="M35">
        <v>874800</v>
      </c>
      <c r="N35" t="s">
        <v>22</v>
      </c>
      <c r="O35" t="s">
        <v>44</v>
      </c>
      <c r="P35" t="s">
        <v>24</v>
      </c>
      <c r="Q35" t="str">
        <f>TEXT(clean_data[[#This Row],[Date]],"mmm")</f>
        <v>Oct</v>
      </c>
      <c r="R35">
        <f>YEAR(clean_data[[#This Row],[Date]])</f>
        <v>2022</v>
      </c>
      <c r="S35" s="2">
        <f>clean_data[[#This Row],[Profit]]/clean_data[[#This Row],[Revenue]]</f>
        <v>0.45</v>
      </c>
      <c r="T35" t="str" cm="1">
        <f t="array" ref="T35">_xlfn.IFS(clean_data[[#This Row],[Revenue]]&lt;300000,"Small",
     clean_data[[#This Row],[Revenue]]&lt;700000,"Medium",
     TRUE,"Large")</f>
        <v>Large</v>
      </c>
      <c r="U35" t="str" cm="1">
        <f t="array" ref="U35">_xlfn.IFS(clean_data[[#This Row],[profit margin%]]&lt;0.5,"Low Profit",
     clean_data[[#This Row],[profit margin%]]&lt;0.6,"Medium Profit",
     TRUE,"High Profit")</f>
        <v>Low Profit</v>
      </c>
      <c r="V35" t="str">
        <f>TEXT(clean_data[[#This Row],[Date]],"mmm-yyyy")</f>
        <v>Oct-2022</v>
      </c>
      <c r="W35" s="8">
        <f>EOMONTH(clean_data[[#This Row],[Date]],-1)+1</f>
        <v>44835</v>
      </c>
    </row>
    <row r="36" spans="1:23" x14ac:dyDescent="0.3">
      <c r="A36" t="s">
        <v>103</v>
      </c>
      <c r="B36" s="1">
        <v>45083</v>
      </c>
      <c r="C36" t="s">
        <v>26</v>
      </c>
      <c r="D36" t="s">
        <v>69</v>
      </c>
      <c r="E36" t="s">
        <v>56</v>
      </c>
      <c r="F36" t="s">
        <v>65</v>
      </c>
      <c r="G36" t="s">
        <v>104</v>
      </c>
      <c r="H36">
        <v>13</v>
      </c>
      <c r="I36">
        <v>3000</v>
      </c>
      <c r="J36">
        <v>15</v>
      </c>
      <c r="K36">
        <v>33150</v>
      </c>
      <c r="L36">
        <v>14917.5</v>
      </c>
      <c r="M36">
        <v>18232.5</v>
      </c>
      <c r="N36" t="s">
        <v>49</v>
      </c>
      <c r="O36" t="s">
        <v>44</v>
      </c>
      <c r="P36" t="s">
        <v>24</v>
      </c>
      <c r="Q36" t="str">
        <f>TEXT(clean_data[[#This Row],[Date]],"mmm")</f>
        <v>Jun</v>
      </c>
      <c r="R36">
        <f>YEAR(clean_data[[#This Row],[Date]])</f>
        <v>2023</v>
      </c>
      <c r="S36" s="2">
        <f>clean_data[[#This Row],[Profit]]/clean_data[[#This Row],[Revenue]]</f>
        <v>0.55000000000000004</v>
      </c>
      <c r="T36" t="str" cm="1">
        <f t="array" ref="T36">_xlfn.IFS(clean_data[[#This Row],[Revenue]]&lt;300000,"Small",
     clean_data[[#This Row],[Revenue]]&lt;700000,"Medium",
     TRUE,"Large")</f>
        <v>Small</v>
      </c>
      <c r="U36" t="str" cm="1">
        <f t="array" ref="U36">_xlfn.IFS(clean_data[[#This Row],[profit margin%]]&lt;0.5,"Low Profit",
     clean_data[[#This Row],[profit margin%]]&lt;0.6,"Medium Profit",
     TRUE,"High Profit")</f>
        <v>Medium Profit</v>
      </c>
      <c r="V36" t="str">
        <f>TEXT(clean_data[[#This Row],[Date]],"mmm-yyyy")</f>
        <v>Jun-2023</v>
      </c>
      <c r="W36" s="8">
        <f>EOMONTH(clean_data[[#This Row],[Date]],-1)+1</f>
        <v>45078</v>
      </c>
    </row>
    <row r="37" spans="1:23" x14ac:dyDescent="0.3">
      <c r="A37" t="s">
        <v>105</v>
      </c>
      <c r="B37" s="1">
        <v>44986</v>
      </c>
      <c r="C37" t="s">
        <v>46</v>
      </c>
      <c r="D37" t="s">
        <v>55</v>
      </c>
      <c r="E37" t="s">
        <v>70</v>
      </c>
      <c r="F37" t="s">
        <v>33</v>
      </c>
      <c r="G37" t="s">
        <v>39</v>
      </c>
      <c r="H37">
        <v>50</v>
      </c>
      <c r="I37">
        <v>5000</v>
      </c>
      <c r="J37">
        <v>10</v>
      </c>
      <c r="K37">
        <v>225000</v>
      </c>
      <c r="L37">
        <v>112500</v>
      </c>
      <c r="M37">
        <v>112500</v>
      </c>
      <c r="N37" t="s">
        <v>22</v>
      </c>
      <c r="O37" t="s">
        <v>67</v>
      </c>
      <c r="P37" t="s">
        <v>24</v>
      </c>
      <c r="Q37" t="str">
        <f>TEXT(clean_data[[#This Row],[Date]],"mmm")</f>
        <v>Mar</v>
      </c>
      <c r="R37">
        <f>YEAR(clean_data[[#This Row],[Date]])</f>
        <v>2023</v>
      </c>
      <c r="S37" s="2">
        <f>clean_data[[#This Row],[Profit]]/clean_data[[#This Row],[Revenue]]</f>
        <v>0.5</v>
      </c>
      <c r="T37" t="str" cm="1">
        <f t="array" ref="T37">_xlfn.IFS(clean_data[[#This Row],[Revenue]]&lt;300000,"Small",
     clean_data[[#This Row],[Revenue]]&lt;700000,"Medium",
     TRUE,"Large")</f>
        <v>Small</v>
      </c>
      <c r="U37" t="str" cm="1">
        <f t="array" ref="U37">_xlfn.IFS(clean_data[[#This Row],[profit margin%]]&lt;0.5,"Low Profit",
     clean_data[[#This Row],[profit margin%]]&lt;0.6,"Medium Profit",
     TRUE,"High Profit")</f>
        <v>Medium Profit</v>
      </c>
      <c r="V37" t="str">
        <f>TEXT(clean_data[[#This Row],[Date]],"mmm-yyyy")</f>
        <v>Mar-2023</v>
      </c>
      <c r="W37" s="8">
        <f>EOMONTH(clean_data[[#This Row],[Date]],-1)+1</f>
        <v>44986</v>
      </c>
    </row>
    <row r="38" spans="1:23" x14ac:dyDescent="0.3">
      <c r="A38" t="s">
        <v>106</v>
      </c>
      <c r="B38" s="1">
        <v>45344</v>
      </c>
      <c r="C38" t="s">
        <v>17</v>
      </c>
      <c r="D38" t="s">
        <v>18</v>
      </c>
      <c r="E38" t="s">
        <v>52</v>
      </c>
      <c r="F38" t="s">
        <v>33</v>
      </c>
      <c r="G38" t="s">
        <v>76</v>
      </c>
      <c r="H38">
        <v>38</v>
      </c>
      <c r="I38">
        <v>8500</v>
      </c>
      <c r="J38">
        <v>10</v>
      </c>
      <c r="K38">
        <v>290700</v>
      </c>
      <c r="L38">
        <v>145350</v>
      </c>
      <c r="M38">
        <v>145350</v>
      </c>
      <c r="N38" t="s">
        <v>30</v>
      </c>
      <c r="O38" t="s">
        <v>67</v>
      </c>
      <c r="P38" t="s">
        <v>24</v>
      </c>
      <c r="Q38" t="str">
        <f>TEXT(clean_data[[#This Row],[Date]],"mmm")</f>
        <v>Feb</v>
      </c>
      <c r="R38">
        <f>YEAR(clean_data[[#This Row],[Date]])</f>
        <v>2024</v>
      </c>
      <c r="S38" s="2">
        <f>clean_data[[#This Row],[Profit]]/clean_data[[#This Row],[Revenue]]</f>
        <v>0.5</v>
      </c>
      <c r="T38" t="str" cm="1">
        <f t="array" ref="T38">_xlfn.IFS(clean_data[[#This Row],[Revenue]]&lt;300000,"Small",
     clean_data[[#This Row],[Revenue]]&lt;700000,"Medium",
     TRUE,"Large")</f>
        <v>Small</v>
      </c>
      <c r="U38" t="str" cm="1">
        <f t="array" ref="U38">_xlfn.IFS(clean_data[[#This Row],[profit margin%]]&lt;0.5,"Low Profit",
     clean_data[[#This Row],[profit margin%]]&lt;0.6,"Medium Profit",
     TRUE,"High Profit")</f>
        <v>Medium Profit</v>
      </c>
      <c r="V38" t="str">
        <f>TEXT(clean_data[[#This Row],[Date]],"mmm-yyyy")</f>
        <v>Feb-2024</v>
      </c>
      <c r="W38" s="8">
        <f>EOMONTH(clean_data[[#This Row],[Date]],-1)+1</f>
        <v>45323</v>
      </c>
    </row>
    <row r="39" spans="1:23" x14ac:dyDescent="0.3">
      <c r="A39" t="s">
        <v>107</v>
      </c>
      <c r="B39" s="1">
        <v>45394</v>
      </c>
      <c r="C39" t="s">
        <v>17</v>
      </c>
      <c r="D39" t="s">
        <v>37</v>
      </c>
      <c r="E39" t="s">
        <v>38</v>
      </c>
      <c r="F39" t="s">
        <v>28</v>
      </c>
      <c r="G39" t="s">
        <v>85</v>
      </c>
      <c r="H39">
        <v>37</v>
      </c>
      <c r="I39">
        <v>8000</v>
      </c>
      <c r="J39">
        <v>5</v>
      </c>
      <c r="K39">
        <v>281200</v>
      </c>
      <c r="L39">
        <v>154660</v>
      </c>
      <c r="M39">
        <v>126540</v>
      </c>
      <c r="N39" t="s">
        <v>30</v>
      </c>
      <c r="O39" t="s">
        <v>23</v>
      </c>
      <c r="P39" t="s">
        <v>24</v>
      </c>
      <c r="Q39" t="str">
        <f>TEXT(clean_data[[#This Row],[Date]],"mmm")</f>
        <v>Apr</v>
      </c>
      <c r="R39">
        <f>YEAR(clean_data[[#This Row],[Date]])</f>
        <v>2024</v>
      </c>
      <c r="S39" s="2">
        <f>clean_data[[#This Row],[Profit]]/clean_data[[#This Row],[Revenue]]</f>
        <v>0.45</v>
      </c>
      <c r="T39" t="str" cm="1">
        <f t="array" ref="T39">_xlfn.IFS(clean_data[[#This Row],[Revenue]]&lt;300000,"Small",
     clean_data[[#This Row],[Revenue]]&lt;700000,"Medium",
     TRUE,"Large")</f>
        <v>Small</v>
      </c>
      <c r="U39" t="str" cm="1">
        <f t="array" ref="U39">_xlfn.IFS(clean_data[[#This Row],[profit margin%]]&lt;0.5,"Low Profit",
     clean_data[[#This Row],[profit margin%]]&lt;0.6,"Medium Profit",
     TRUE,"High Profit")</f>
        <v>Low Profit</v>
      </c>
      <c r="V39" t="str">
        <f>TEXT(clean_data[[#This Row],[Date]],"mmm-yyyy")</f>
        <v>Apr-2024</v>
      </c>
      <c r="W39" s="8">
        <f>EOMONTH(clean_data[[#This Row],[Date]],-1)+1</f>
        <v>45383</v>
      </c>
    </row>
    <row r="40" spans="1:23" x14ac:dyDescent="0.3">
      <c r="A40" t="s">
        <v>108</v>
      </c>
      <c r="B40" s="1">
        <v>44578</v>
      </c>
      <c r="C40" t="s">
        <v>46</v>
      </c>
      <c r="D40" t="s">
        <v>55</v>
      </c>
      <c r="E40" t="s">
        <v>32</v>
      </c>
      <c r="F40" t="s">
        <v>28</v>
      </c>
      <c r="G40" t="s">
        <v>71</v>
      </c>
      <c r="H40">
        <v>40</v>
      </c>
      <c r="I40">
        <v>35000</v>
      </c>
      <c r="J40">
        <v>10</v>
      </c>
      <c r="K40">
        <v>1260000</v>
      </c>
      <c r="L40">
        <v>693000</v>
      </c>
      <c r="M40">
        <v>567000</v>
      </c>
      <c r="N40" t="s">
        <v>22</v>
      </c>
      <c r="O40" t="s">
        <v>50</v>
      </c>
      <c r="P40" t="s">
        <v>24</v>
      </c>
      <c r="Q40" t="str">
        <f>TEXT(clean_data[[#This Row],[Date]],"mmm")</f>
        <v>Jan</v>
      </c>
      <c r="R40">
        <f>YEAR(clean_data[[#This Row],[Date]])</f>
        <v>2022</v>
      </c>
      <c r="S40" s="2">
        <f>clean_data[[#This Row],[Profit]]/clean_data[[#This Row],[Revenue]]</f>
        <v>0.45</v>
      </c>
      <c r="T40" t="str" cm="1">
        <f t="array" ref="T40">_xlfn.IFS(clean_data[[#This Row],[Revenue]]&lt;300000,"Small",
     clean_data[[#This Row],[Revenue]]&lt;700000,"Medium",
     TRUE,"Large")</f>
        <v>Large</v>
      </c>
      <c r="U40" t="str" cm="1">
        <f t="array" ref="U40">_xlfn.IFS(clean_data[[#This Row],[profit margin%]]&lt;0.5,"Low Profit",
     clean_data[[#This Row],[profit margin%]]&lt;0.6,"Medium Profit",
     TRUE,"High Profit")</f>
        <v>Low Profit</v>
      </c>
      <c r="V40" t="str">
        <f>TEXT(clean_data[[#This Row],[Date]],"mmm-yyyy")</f>
        <v>Jan-2022</v>
      </c>
      <c r="W40" s="8">
        <f>EOMONTH(clean_data[[#This Row],[Date]],-1)+1</f>
        <v>44562</v>
      </c>
    </row>
    <row r="41" spans="1:23" x14ac:dyDescent="0.3">
      <c r="A41" t="s">
        <v>109</v>
      </c>
      <c r="B41" s="1">
        <v>45545</v>
      </c>
      <c r="C41" t="s">
        <v>58</v>
      </c>
      <c r="D41" t="s">
        <v>59</v>
      </c>
      <c r="E41" t="s">
        <v>32</v>
      </c>
      <c r="F41" t="s">
        <v>33</v>
      </c>
      <c r="G41" t="s">
        <v>43</v>
      </c>
      <c r="H41">
        <v>9</v>
      </c>
      <c r="I41">
        <v>4000</v>
      </c>
      <c r="J41">
        <v>5</v>
      </c>
      <c r="K41">
        <v>34200</v>
      </c>
      <c r="L41">
        <v>17100</v>
      </c>
      <c r="M41">
        <v>17100</v>
      </c>
      <c r="N41" t="s">
        <v>22</v>
      </c>
      <c r="O41" t="s">
        <v>23</v>
      </c>
      <c r="P41" t="s">
        <v>24</v>
      </c>
      <c r="Q41" t="str">
        <f>TEXT(clean_data[[#This Row],[Date]],"mmm")</f>
        <v>Sep</v>
      </c>
      <c r="R41">
        <f>YEAR(clean_data[[#This Row],[Date]])</f>
        <v>2024</v>
      </c>
      <c r="S41" s="2">
        <f>clean_data[[#This Row],[Profit]]/clean_data[[#This Row],[Revenue]]</f>
        <v>0.5</v>
      </c>
      <c r="T41" t="str" cm="1">
        <f t="array" ref="T41">_xlfn.IFS(clean_data[[#This Row],[Revenue]]&lt;300000,"Small",
     clean_data[[#This Row],[Revenue]]&lt;700000,"Medium",
     TRUE,"Large")</f>
        <v>Small</v>
      </c>
      <c r="U41" t="str" cm="1">
        <f t="array" ref="U41">_xlfn.IFS(clean_data[[#This Row],[profit margin%]]&lt;0.5,"Low Profit",
     clean_data[[#This Row],[profit margin%]]&lt;0.6,"Medium Profit",
     TRUE,"High Profit")</f>
        <v>Medium Profit</v>
      </c>
      <c r="V41" t="str">
        <f>TEXT(clean_data[[#This Row],[Date]],"mmm-yyyy")</f>
        <v>Sep-2024</v>
      </c>
      <c r="W41" s="8">
        <f>EOMONTH(clean_data[[#This Row],[Date]],-1)+1</f>
        <v>45536</v>
      </c>
    </row>
    <row r="42" spans="1:23" x14ac:dyDescent="0.3">
      <c r="A42" t="s">
        <v>110</v>
      </c>
      <c r="B42" s="1">
        <v>44915</v>
      </c>
      <c r="C42" t="s">
        <v>17</v>
      </c>
      <c r="D42" t="s">
        <v>37</v>
      </c>
      <c r="E42" t="s">
        <v>111</v>
      </c>
      <c r="F42" t="s">
        <v>28</v>
      </c>
      <c r="G42" t="s">
        <v>71</v>
      </c>
      <c r="H42">
        <v>19</v>
      </c>
      <c r="I42">
        <v>35000</v>
      </c>
      <c r="J42">
        <v>5</v>
      </c>
      <c r="K42">
        <v>631750</v>
      </c>
      <c r="L42">
        <v>347462.5</v>
      </c>
      <c r="M42">
        <v>284287.5</v>
      </c>
      <c r="N42" t="s">
        <v>22</v>
      </c>
      <c r="O42" t="s">
        <v>67</v>
      </c>
      <c r="P42" t="s">
        <v>24</v>
      </c>
      <c r="Q42" t="str">
        <f>TEXT(clean_data[[#This Row],[Date]],"mmm")</f>
        <v>Dec</v>
      </c>
      <c r="R42">
        <f>YEAR(clean_data[[#This Row],[Date]])</f>
        <v>2022</v>
      </c>
      <c r="S42" s="2">
        <f>clean_data[[#This Row],[Profit]]/clean_data[[#This Row],[Revenue]]</f>
        <v>0.45</v>
      </c>
      <c r="T42" t="str" cm="1">
        <f t="array" ref="T42">_xlfn.IFS(clean_data[[#This Row],[Revenue]]&lt;300000,"Small",
     clean_data[[#This Row],[Revenue]]&lt;700000,"Medium",
     TRUE,"Large")</f>
        <v>Medium</v>
      </c>
      <c r="U42" t="str" cm="1">
        <f t="array" ref="U42">_xlfn.IFS(clean_data[[#This Row],[profit margin%]]&lt;0.5,"Low Profit",
     clean_data[[#This Row],[profit margin%]]&lt;0.6,"Medium Profit",
     TRUE,"High Profit")</f>
        <v>Low Profit</v>
      </c>
      <c r="V42" t="str">
        <f>TEXT(clean_data[[#This Row],[Date]],"mmm-yyyy")</f>
        <v>Dec-2022</v>
      </c>
      <c r="W42" s="8">
        <f>EOMONTH(clean_data[[#This Row],[Date]],-1)+1</f>
        <v>44896</v>
      </c>
    </row>
    <row r="43" spans="1:23" x14ac:dyDescent="0.3">
      <c r="A43" t="s">
        <v>112</v>
      </c>
      <c r="B43" s="1">
        <v>45184</v>
      </c>
      <c r="C43" t="s">
        <v>58</v>
      </c>
      <c r="D43" t="s">
        <v>59</v>
      </c>
      <c r="E43" t="s">
        <v>19</v>
      </c>
      <c r="F43" t="s">
        <v>65</v>
      </c>
      <c r="G43" t="s">
        <v>104</v>
      </c>
      <c r="H43">
        <v>43</v>
      </c>
      <c r="I43">
        <v>3000</v>
      </c>
      <c r="J43">
        <v>0</v>
      </c>
      <c r="K43">
        <v>129000</v>
      </c>
      <c r="L43">
        <v>58050</v>
      </c>
      <c r="M43">
        <v>70950</v>
      </c>
      <c r="N43" t="s">
        <v>22</v>
      </c>
      <c r="O43" t="s">
        <v>67</v>
      </c>
      <c r="P43" t="s">
        <v>24</v>
      </c>
      <c r="Q43" t="str">
        <f>TEXT(clean_data[[#This Row],[Date]],"mmm")</f>
        <v>Sep</v>
      </c>
      <c r="R43">
        <f>YEAR(clean_data[[#This Row],[Date]])</f>
        <v>2023</v>
      </c>
      <c r="S43" s="2">
        <f>clean_data[[#This Row],[Profit]]/clean_data[[#This Row],[Revenue]]</f>
        <v>0.55000000000000004</v>
      </c>
      <c r="T43" t="str" cm="1">
        <f t="array" ref="T43">_xlfn.IFS(clean_data[[#This Row],[Revenue]]&lt;300000,"Small",
     clean_data[[#This Row],[Revenue]]&lt;700000,"Medium",
     TRUE,"Large")</f>
        <v>Small</v>
      </c>
      <c r="U43" t="str" cm="1">
        <f t="array" ref="U43">_xlfn.IFS(clean_data[[#This Row],[profit margin%]]&lt;0.5,"Low Profit",
     clean_data[[#This Row],[profit margin%]]&lt;0.6,"Medium Profit",
     TRUE,"High Profit")</f>
        <v>Medium Profit</v>
      </c>
      <c r="V43" t="str">
        <f>TEXT(clean_data[[#This Row],[Date]],"mmm-yyyy")</f>
        <v>Sep-2023</v>
      </c>
      <c r="W43" s="8">
        <f>EOMONTH(clean_data[[#This Row],[Date]],-1)+1</f>
        <v>45170</v>
      </c>
    </row>
    <row r="44" spans="1:23" x14ac:dyDescent="0.3">
      <c r="A44" t="s">
        <v>113</v>
      </c>
      <c r="B44" s="1">
        <v>45202</v>
      </c>
      <c r="C44" t="s">
        <v>46</v>
      </c>
      <c r="D44" t="s">
        <v>55</v>
      </c>
      <c r="E44" t="s">
        <v>19</v>
      </c>
      <c r="F44" t="s">
        <v>20</v>
      </c>
      <c r="G44" t="s">
        <v>74</v>
      </c>
      <c r="H44">
        <v>2</v>
      </c>
      <c r="I44">
        <v>4200</v>
      </c>
      <c r="J44">
        <v>0</v>
      </c>
      <c r="K44">
        <v>8400</v>
      </c>
      <c r="L44">
        <v>3360</v>
      </c>
      <c r="M44">
        <v>5040</v>
      </c>
      <c r="N44" t="s">
        <v>49</v>
      </c>
      <c r="O44" t="s">
        <v>67</v>
      </c>
      <c r="P44" t="s">
        <v>24</v>
      </c>
      <c r="Q44" t="str">
        <f>TEXT(clean_data[[#This Row],[Date]],"mmm")</f>
        <v>Oct</v>
      </c>
      <c r="R44">
        <f>YEAR(clean_data[[#This Row],[Date]])</f>
        <v>2023</v>
      </c>
      <c r="S44" s="2">
        <f>clean_data[[#This Row],[Profit]]/clean_data[[#This Row],[Revenue]]</f>
        <v>0.6</v>
      </c>
      <c r="T44" t="str" cm="1">
        <f t="array" ref="T44">_xlfn.IFS(clean_data[[#This Row],[Revenue]]&lt;300000,"Small",
     clean_data[[#This Row],[Revenue]]&lt;700000,"Medium",
     TRUE,"Large")</f>
        <v>Small</v>
      </c>
      <c r="U44" t="str" cm="1">
        <f t="array" ref="U44">_xlfn.IFS(clean_data[[#This Row],[profit margin%]]&lt;0.5,"Low Profit",
     clean_data[[#This Row],[profit margin%]]&lt;0.6,"Medium Profit",
     TRUE,"High Profit")</f>
        <v>High Profit</v>
      </c>
      <c r="V44" t="str">
        <f>TEXT(clean_data[[#This Row],[Date]],"mmm-yyyy")</f>
        <v>Oct-2023</v>
      </c>
      <c r="W44" s="8">
        <f>EOMONTH(clean_data[[#This Row],[Date]],-1)+1</f>
        <v>45200</v>
      </c>
    </row>
    <row r="45" spans="1:23" x14ac:dyDescent="0.3">
      <c r="A45" t="s">
        <v>114</v>
      </c>
      <c r="B45" s="1">
        <v>44696</v>
      </c>
      <c r="C45" t="s">
        <v>58</v>
      </c>
      <c r="D45" t="s">
        <v>64</v>
      </c>
      <c r="E45" t="s">
        <v>38</v>
      </c>
      <c r="F45" t="s">
        <v>20</v>
      </c>
      <c r="G45" t="s">
        <v>115</v>
      </c>
      <c r="H45">
        <v>32</v>
      </c>
      <c r="I45">
        <v>2500</v>
      </c>
      <c r="J45">
        <v>15</v>
      </c>
      <c r="K45">
        <v>68000</v>
      </c>
      <c r="L45">
        <v>27200</v>
      </c>
      <c r="M45">
        <v>40800</v>
      </c>
      <c r="N45" t="s">
        <v>30</v>
      </c>
      <c r="O45" t="s">
        <v>35</v>
      </c>
      <c r="P45" t="s">
        <v>24</v>
      </c>
      <c r="Q45" t="str">
        <f>TEXT(clean_data[[#This Row],[Date]],"mmm")</f>
        <v>May</v>
      </c>
      <c r="R45">
        <f>YEAR(clean_data[[#This Row],[Date]])</f>
        <v>2022</v>
      </c>
      <c r="S45" s="2">
        <f>clean_data[[#This Row],[Profit]]/clean_data[[#This Row],[Revenue]]</f>
        <v>0.6</v>
      </c>
      <c r="T45" t="str" cm="1">
        <f t="array" ref="T45">_xlfn.IFS(clean_data[[#This Row],[Revenue]]&lt;300000,"Small",
     clean_data[[#This Row],[Revenue]]&lt;700000,"Medium",
     TRUE,"Large")</f>
        <v>Small</v>
      </c>
      <c r="U45" t="str" cm="1">
        <f t="array" ref="U45">_xlfn.IFS(clean_data[[#This Row],[profit margin%]]&lt;0.5,"Low Profit",
     clean_data[[#This Row],[profit margin%]]&lt;0.6,"Medium Profit",
     TRUE,"High Profit")</f>
        <v>High Profit</v>
      </c>
      <c r="V45" t="str">
        <f>TEXT(clean_data[[#This Row],[Date]],"mmm-yyyy")</f>
        <v>May-2022</v>
      </c>
      <c r="W45" s="8">
        <f>EOMONTH(clean_data[[#This Row],[Date]],-1)+1</f>
        <v>44682</v>
      </c>
    </row>
    <row r="46" spans="1:23" x14ac:dyDescent="0.3">
      <c r="A46" t="s">
        <v>116</v>
      </c>
      <c r="B46" s="1">
        <v>44767</v>
      </c>
      <c r="C46" t="s">
        <v>58</v>
      </c>
      <c r="D46" t="s">
        <v>84</v>
      </c>
      <c r="E46" t="s">
        <v>78</v>
      </c>
      <c r="F46" t="s">
        <v>65</v>
      </c>
      <c r="G46" t="s">
        <v>117</v>
      </c>
      <c r="H46">
        <v>36</v>
      </c>
      <c r="I46">
        <v>1200</v>
      </c>
      <c r="J46">
        <v>5</v>
      </c>
      <c r="K46">
        <v>41040</v>
      </c>
      <c r="L46">
        <v>18468</v>
      </c>
      <c r="M46">
        <v>22572</v>
      </c>
      <c r="N46" t="s">
        <v>49</v>
      </c>
      <c r="O46" t="s">
        <v>44</v>
      </c>
      <c r="P46" t="s">
        <v>24</v>
      </c>
      <c r="Q46" t="str">
        <f>TEXT(clean_data[[#This Row],[Date]],"mmm")</f>
        <v>Jul</v>
      </c>
      <c r="R46">
        <f>YEAR(clean_data[[#This Row],[Date]])</f>
        <v>2022</v>
      </c>
      <c r="S46" s="2">
        <f>clean_data[[#This Row],[Profit]]/clean_data[[#This Row],[Revenue]]</f>
        <v>0.55000000000000004</v>
      </c>
      <c r="T46" t="str" cm="1">
        <f t="array" ref="T46">_xlfn.IFS(clean_data[[#This Row],[Revenue]]&lt;300000,"Small",
     clean_data[[#This Row],[Revenue]]&lt;700000,"Medium",
     TRUE,"Large")</f>
        <v>Small</v>
      </c>
      <c r="U46" t="str" cm="1">
        <f t="array" ref="U46">_xlfn.IFS(clean_data[[#This Row],[profit margin%]]&lt;0.5,"Low Profit",
     clean_data[[#This Row],[profit margin%]]&lt;0.6,"Medium Profit",
     TRUE,"High Profit")</f>
        <v>Medium Profit</v>
      </c>
      <c r="V46" t="str">
        <f>TEXT(clean_data[[#This Row],[Date]],"mmm-yyyy")</f>
        <v>Jul-2022</v>
      </c>
      <c r="W46" s="8">
        <f>EOMONTH(clean_data[[#This Row],[Date]],-1)+1</f>
        <v>44743</v>
      </c>
    </row>
    <row r="47" spans="1:23" x14ac:dyDescent="0.3">
      <c r="A47" t="s">
        <v>118</v>
      </c>
      <c r="B47" s="1">
        <v>45465</v>
      </c>
      <c r="C47" t="s">
        <v>17</v>
      </c>
      <c r="D47" t="s">
        <v>37</v>
      </c>
      <c r="E47" t="s">
        <v>38</v>
      </c>
      <c r="F47" t="s">
        <v>65</v>
      </c>
      <c r="G47" t="s">
        <v>79</v>
      </c>
      <c r="H47">
        <v>29</v>
      </c>
      <c r="I47">
        <v>900</v>
      </c>
      <c r="J47">
        <v>5</v>
      </c>
      <c r="K47">
        <v>24795</v>
      </c>
      <c r="L47">
        <v>11157.75</v>
      </c>
      <c r="M47">
        <v>13637.25</v>
      </c>
      <c r="N47" t="s">
        <v>49</v>
      </c>
      <c r="O47" t="s">
        <v>50</v>
      </c>
      <c r="P47" t="s">
        <v>24</v>
      </c>
      <c r="Q47" t="str">
        <f>TEXT(clean_data[[#This Row],[Date]],"mmm")</f>
        <v>Jun</v>
      </c>
      <c r="R47">
        <f>YEAR(clean_data[[#This Row],[Date]])</f>
        <v>2024</v>
      </c>
      <c r="S47" s="2">
        <f>clean_data[[#This Row],[Profit]]/clean_data[[#This Row],[Revenue]]</f>
        <v>0.55000000000000004</v>
      </c>
      <c r="T47" t="str" cm="1">
        <f t="array" ref="T47">_xlfn.IFS(clean_data[[#This Row],[Revenue]]&lt;300000,"Small",
     clean_data[[#This Row],[Revenue]]&lt;700000,"Medium",
     TRUE,"Large")</f>
        <v>Small</v>
      </c>
      <c r="U47" t="str" cm="1">
        <f t="array" ref="U47">_xlfn.IFS(clean_data[[#This Row],[profit margin%]]&lt;0.5,"Low Profit",
     clean_data[[#This Row],[profit margin%]]&lt;0.6,"Medium Profit",
     TRUE,"High Profit")</f>
        <v>Medium Profit</v>
      </c>
      <c r="V47" t="str">
        <f>TEXT(clean_data[[#This Row],[Date]],"mmm-yyyy")</f>
        <v>Jun-2024</v>
      </c>
      <c r="W47" s="8">
        <f>EOMONTH(clean_data[[#This Row],[Date]],-1)+1</f>
        <v>45444</v>
      </c>
    </row>
    <row r="48" spans="1:23" x14ac:dyDescent="0.3">
      <c r="A48" t="s">
        <v>119</v>
      </c>
      <c r="B48" s="1">
        <v>45043</v>
      </c>
      <c r="C48" t="s">
        <v>17</v>
      </c>
      <c r="D48" t="s">
        <v>42</v>
      </c>
      <c r="E48" t="s">
        <v>60</v>
      </c>
      <c r="F48" t="s">
        <v>20</v>
      </c>
      <c r="G48" t="s">
        <v>61</v>
      </c>
      <c r="H48">
        <v>29</v>
      </c>
      <c r="I48">
        <v>800</v>
      </c>
      <c r="J48">
        <v>0</v>
      </c>
      <c r="K48">
        <v>23200</v>
      </c>
      <c r="L48">
        <v>9280</v>
      </c>
      <c r="M48">
        <v>13920</v>
      </c>
      <c r="N48" t="s">
        <v>30</v>
      </c>
      <c r="O48" t="s">
        <v>50</v>
      </c>
      <c r="P48" t="s">
        <v>24</v>
      </c>
      <c r="Q48" t="str">
        <f>TEXT(clean_data[[#This Row],[Date]],"mmm")</f>
        <v>Apr</v>
      </c>
      <c r="R48">
        <f>YEAR(clean_data[[#This Row],[Date]])</f>
        <v>2023</v>
      </c>
      <c r="S48" s="2">
        <f>clean_data[[#This Row],[Profit]]/clean_data[[#This Row],[Revenue]]</f>
        <v>0.6</v>
      </c>
      <c r="T48" t="str" cm="1">
        <f t="array" ref="T48">_xlfn.IFS(clean_data[[#This Row],[Revenue]]&lt;300000,"Small",
     clean_data[[#This Row],[Revenue]]&lt;700000,"Medium",
     TRUE,"Large")</f>
        <v>Small</v>
      </c>
      <c r="U48" t="str" cm="1">
        <f t="array" ref="U48">_xlfn.IFS(clean_data[[#This Row],[profit margin%]]&lt;0.5,"Low Profit",
     clean_data[[#This Row],[profit margin%]]&lt;0.6,"Medium Profit",
     TRUE,"High Profit")</f>
        <v>High Profit</v>
      </c>
      <c r="V48" t="str">
        <f>TEXT(clean_data[[#This Row],[Date]],"mmm-yyyy")</f>
        <v>Apr-2023</v>
      </c>
      <c r="W48" s="8">
        <f>EOMONTH(clean_data[[#This Row],[Date]],-1)+1</f>
        <v>45017</v>
      </c>
    </row>
    <row r="49" spans="1:23" x14ac:dyDescent="0.3">
      <c r="A49" t="s">
        <v>120</v>
      </c>
      <c r="B49" s="1">
        <v>45210</v>
      </c>
      <c r="C49" t="s">
        <v>26</v>
      </c>
      <c r="D49" t="s">
        <v>27</v>
      </c>
      <c r="E49" t="s">
        <v>78</v>
      </c>
      <c r="F49" t="s">
        <v>20</v>
      </c>
      <c r="G49" t="s">
        <v>115</v>
      </c>
      <c r="H49">
        <v>45</v>
      </c>
      <c r="I49">
        <v>2500</v>
      </c>
      <c r="J49">
        <v>5</v>
      </c>
      <c r="K49">
        <v>106875</v>
      </c>
      <c r="L49">
        <v>42750</v>
      </c>
      <c r="M49">
        <v>64125</v>
      </c>
      <c r="N49" t="s">
        <v>30</v>
      </c>
      <c r="O49" t="s">
        <v>23</v>
      </c>
      <c r="P49" t="s">
        <v>24</v>
      </c>
      <c r="Q49" t="str">
        <f>TEXT(clean_data[[#This Row],[Date]],"mmm")</f>
        <v>Oct</v>
      </c>
      <c r="R49">
        <f>YEAR(clean_data[[#This Row],[Date]])</f>
        <v>2023</v>
      </c>
      <c r="S49" s="2">
        <f>clean_data[[#This Row],[Profit]]/clean_data[[#This Row],[Revenue]]</f>
        <v>0.6</v>
      </c>
      <c r="T49" t="str" cm="1">
        <f t="array" ref="T49">_xlfn.IFS(clean_data[[#This Row],[Revenue]]&lt;300000,"Small",
     clean_data[[#This Row],[Revenue]]&lt;700000,"Medium",
     TRUE,"Large")</f>
        <v>Small</v>
      </c>
      <c r="U49" t="str" cm="1">
        <f t="array" ref="U49">_xlfn.IFS(clean_data[[#This Row],[profit margin%]]&lt;0.5,"Low Profit",
     clean_data[[#This Row],[profit margin%]]&lt;0.6,"Medium Profit",
     TRUE,"High Profit")</f>
        <v>High Profit</v>
      </c>
      <c r="V49" t="str">
        <f>TEXT(clean_data[[#This Row],[Date]],"mmm-yyyy")</f>
        <v>Oct-2023</v>
      </c>
      <c r="W49" s="8">
        <f>EOMONTH(clean_data[[#This Row],[Date]],-1)+1</f>
        <v>45200</v>
      </c>
    </row>
    <row r="50" spans="1:23" x14ac:dyDescent="0.3">
      <c r="A50" t="s">
        <v>121</v>
      </c>
      <c r="B50" s="1">
        <v>45362</v>
      </c>
      <c r="C50" t="s">
        <v>58</v>
      </c>
      <c r="D50" t="s">
        <v>59</v>
      </c>
      <c r="E50" t="s">
        <v>56</v>
      </c>
      <c r="F50" t="s">
        <v>20</v>
      </c>
      <c r="G50" t="s">
        <v>115</v>
      </c>
      <c r="H50">
        <v>25</v>
      </c>
      <c r="I50">
        <v>2500</v>
      </c>
      <c r="J50">
        <v>20</v>
      </c>
      <c r="K50">
        <v>50000</v>
      </c>
      <c r="L50">
        <v>20000</v>
      </c>
      <c r="M50">
        <v>30000</v>
      </c>
      <c r="N50" t="s">
        <v>22</v>
      </c>
      <c r="O50" t="s">
        <v>23</v>
      </c>
      <c r="P50" t="s">
        <v>24</v>
      </c>
      <c r="Q50" t="str">
        <f>TEXT(clean_data[[#This Row],[Date]],"mmm")</f>
        <v>Mar</v>
      </c>
      <c r="R50">
        <f>YEAR(clean_data[[#This Row],[Date]])</f>
        <v>2024</v>
      </c>
      <c r="S50" s="2">
        <f>clean_data[[#This Row],[Profit]]/clean_data[[#This Row],[Revenue]]</f>
        <v>0.6</v>
      </c>
      <c r="T50" t="str" cm="1">
        <f t="array" ref="T50">_xlfn.IFS(clean_data[[#This Row],[Revenue]]&lt;300000,"Small",
     clean_data[[#This Row],[Revenue]]&lt;700000,"Medium",
     TRUE,"Large")</f>
        <v>Small</v>
      </c>
      <c r="U50" t="str" cm="1">
        <f t="array" ref="U50">_xlfn.IFS(clean_data[[#This Row],[profit margin%]]&lt;0.5,"Low Profit",
     clean_data[[#This Row],[profit margin%]]&lt;0.6,"Medium Profit",
     TRUE,"High Profit")</f>
        <v>High Profit</v>
      </c>
      <c r="V50" t="str">
        <f>TEXT(clean_data[[#This Row],[Date]],"mmm-yyyy")</f>
        <v>Mar-2024</v>
      </c>
      <c r="W50" s="8">
        <f>EOMONTH(clean_data[[#This Row],[Date]],-1)+1</f>
        <v>45352</v>
      </c>
    </row>
    <row r="51" spans="1:23" x14ac:dyDescent="0.3">
      <c r="A51" t="s">
        <v>122</v>
      </c>
      <c r="B51" s="1">
        <v>45474</v>
      </c>
      <c r="C51" t="s">
        <v>17</v>
      </c>
      <c r="D51" t="s">
        <v>37</v>
      </c>
      <c r="E51" t="s">
        <v>32</v>
      </c>
      <c r="F51" t="s">
        <v>65</v>
      </c>
      <c r="G51" t="s">
        <v>79</v>
      </c>
      <c r="H51">
        <v>48</v>
      </c>
      <c r="I51">
        <v>900</v>
      </c>
      <c r="J51">
        <v>20</v>
      </c>
      <c r="K51">
        <v>34560</v>
      </c>
      <c r="L51">
        <v>15552</v>
      </c>
      <c r="M51">
        <v>19008</v>
      </c>
      <c r="N51" t="s">
        <v>30</v>
      </c>
      <c r="O51" t="s">
        <v>23</v>
      </c>
      <c r="P51" t="s">
        <v>40</v>
      </c>
      <c r="Q51" t="str">
        <f>TEXT(clean_data[[#This Row],[Date]],"mmm")</f>
        <v>Jul</v>
      </c>
      <c r="R51">
        <f>YEAR(clean_data[[#This Row],[Date]])</f>
        <v>2024</v>
      </c>
      <c r="S51" s="2">
        <f>clean_data[[#This Row],[Profit]]/clean_data[[#This Row],[Revenue]]</f>
        <v>0.55000000000000004</v>
      </c>
      <c r="T51" t="str" cm="1">
        <f t="array" ref="T51">_xlfn.IFS(clean_data[[#This Row],[Revenue]]&lt;300000,"Small",
     clean_data[[#This Row],[Revenue]]&lt;700000,"Medium",
     TRUE,"Large")</f>
        <v>Small</v>
      </c>
      <c r="U51" t="str" cm="1">
        <f t="array" ref="U51">_xlfn.IFS(clean_data[[#This Row],[profit margin%]]&lt;0.5,"Low Profit",
     clean_data[[#This Row],[profit margin%]]&lt;0.6,"Medium Profit",
     TRUE,"High Profit")</f>
        <v>Medium Profit</v>
      </c>
      <c r="V51" t="str">
        <f>TEXT(clean_data[[#This Row],[Date]],"mmm-yyyy")</f>
        <v>Jul-2024</v>
      </c>
      <c r="W51" s="8">
        <f>EOMONTH(clean_data[[#This Row],[Date]],-1)+1</f>
        <v>45474</v>
      </c>
    </row>
    <row r="52" spans="1:23" x14ac:dyDescent="0.3">
      <c r="A52" t="s">
        <v>123</v>
      </c>
      <c r="B52" s="1">
        <v>44994</v>
      </c>
      <c r="C52" t="s">
        <v>58</v>
      </c>
      <c r="D52" t="s">
        <v>59</v>
      </c>
      <c r="E52" t="s">
        <v>56</v>
      </c>
      <c r="F52" t="s">
        <v>65</v>
      </c>
      <c r="G52" t="s">
        <v>124</v>
      </c>
      <c r="H52">
        <v>43</v>
      </c>
      <c r="I52">
        <v>18000</v>
      </c>
      <c r="J52">
        <v>15</v>
      </c>
      <c r="K52">
        <v>657900</v>
      </c>
      <c r="L52">
        <v>296055</v>
      </c>
      <c r="M52">
        <v>361845</v>
      </c>
      <c r="N52" t="s">
        <v>49</v>
      </c>
      <c r="O52" t="s">
        <v>44</v>
      </c>
      <c r="P52" t="s">
        <v>24</v>
      </c>
      <c r="Q52" t="str">
        <f>TEXT(clean_data[[#This Row],[Date]],"mmm")</f>
        <v>Mar</v>
      </c>
      <c r="R52">
        <f>YEAR(clean_data[[#This Row],[Date]])</f>
        <v>2023</v>
      </c>
      <c r="S52" s="2">
        <f>clean_data[[#This Row],[Profit]]/clean_data[[#This Row],[Revenue]]</f>
        <v>0.55000000000000004</v>
      </c>
      <c r="T52" t="str" cm="1">
        <f t="array" ref="T52">_xlfn.IFS(clean_data[[#This Row],[Revenue]]&lt;300000,"Small",
     clean_data[[#This Row],[Revenue]]&lt;700000,"Medium",
     TRUE,"Large")</f>
        <v>Medium</v>
      </c>
      <c r="U52" t="str" cm="1">
        <f t="array" ref="U52">_xlfn.IFS(clean_data[[#This Row],[profit margin%]]&lt;0.5,"Low Profit",
     clean_data[[#This Row],[profit margin%]]&lt;0.6,"Medium Profit",
     TRUE,"High Profit")</f>
        <v>Medium Profit</v>
      </c>
      <c r="V52" t="str">
        <f>TEXT(clean_data[[#This Row],[Date]],"mmm-yyyy")</f>
        <v>Mar-2023</v>
      </c>
      <c r="W52" s="8">
        <f>EOMONTH(clean_data[[#This Row],[Date]],-1)+1</f>
        <v>44986</v>
      </c>
    </row>
    <row r="53" spans="1:23" x14ac:dyDescent="0.3">
      <c r="A53" t="s">
        <v>125</v>
      </c>
      <c r="B53" s="1">
        <v>45597</v>
      </c>
      <c r="C53" t="s">
        <v>58</v>
      </c>
      <c r="D53" t="s">
        <v>64</v>
      </c>
      <c r="E53" t="s">
        <v>38</v>
      </c>
      <c r="F53" t="s">
        <v>28</v>
      </c>
      <c r="G53" t="s">
        <v>95</v>
      </c>
      <c r="H53">
        <v>42</v>
      </c>
      <c r="I53">
        <v>75000</v>
      </c>
      <c r="J53">
        <v>15</v>
      </c>
      <c r="K53">
        <v>2677500</v>
      </c>
      <c r="L53">
        <v>1472625</v>
      </c>
      <c r="M53">
        <v>1204875</v>
      </c>
      <c r="N53" t="s">
        <v>49</v>
      </c>
      <c r="O53" t="s">
        <v>44</v>
      </c>
      <c r="P53" t="s">
        <v>24</v>
      </c>
      <c r="Q53" t="str">
        <f>TEXT(clean_data[[#This Row],[Date]],"mmm")</f>
        <v>Nov</v>
      </c>
      <c r="R53">
        <f>YEAR(clean_data[[#This Row],[Date]])</f>
        <v>2024</v>
      </c>
      <c r="S53" s="2">
        <f>clean_data[[#This Row],[Profit]]/clean_data[[#This Row],[Revenue]]</f>
        <v>0.45</v>
      </c>
      <c r="T53" t="str" cm="1">
        <f t="array" ref="T53">_xlfn.IFS(clean_data[[#This Row],[Revenue]]&lt;300000,"Small",
     clean_data[[#This Row],[Revenue]]&lt;700000,"Medium",
     TRUE,"Large")</f>
        <v>Large</v>
      </c>
      <c r="U53" t="str" cm="1">
        <f t="array" ref="U53">_xlfn.IFS(clean_data[[#This Row],[profit margin%]]&lt;0.5,"Low Profit",
     clean_data[[#This Row],[profit margin%]]&lt;0.6,"Medium Profit",
     TRUE,"High Profit")</f>
        <v>Low Profit</v>
      </c>
      <c r="V53" t="str">
        <f>TEXT(clean_data[[#This Row],[Date]],"mmm-yyyy")</f>
        <v>Nov-2024</v>
      </c>
      <c r="W53" s="8">
        <f>EOMONTH(clean_data[[#This Row],[Date]],-1)+1</f>
        <v>45597</v>
      </c>
    </row>
    <row r="54" spans="1:23" x14ac:dyDescent="0.3">
      <c r="A54" t="s">
        <v>126</v>
      </c>
      <c r="B54" s="1">
        <v>44660</v>
      </c>
      <c r="C54" t="s">
        <v>58</v>
      </c>
      <c r="D54" t="s">
        <v>59</v>
      </c>
      <c r="E54" t="s">
        <v>19</v>
      </c>
      <c r="F54" t="s">
        <v>65</v>
      </c>
      <c r="G54" t="s">
        <v>124</v>
      </c>
      <c r="H54">
        <v>22</v>
      </c>
      <c r="I54">
        <v>18000</v>
      </c>
      <c r="J54">
        <v>15</v>
      </c>
      <c r="K54">
        <v>336600</v>
      </c>
      <c r="L54">
        <v>151470</v>
      </c>
      <c r="M54">
        <v>185130</v>
      </c>
      <c r="N54" t="s">
        <v>49</v>
      </c>
      <c r="O54" t="s">
        <v>50</v>
      </c>
      <c r="P54" t="s">
        <v>24</v>
      </c>
      <c r="Q54" t="str">
        <f>TEXT(clean_data[[#This Row],[Date]],"mmm")</f>
        <v>Apr</v>
      </c>
      <c r="R54">
        <f>YEAR(clean_data[[#This Row],[Date]])</f>
        <v>2022</v>
      </c>
      <c r="S54" s="2">
        <f>clean_data[[#This Row],[Profit]]/clean_data[[#This Row],[Revenue]]</f>
        <v>0.55000000000000004</v>
      </c>
      <c r="T54" t="str" cm="1">
        <f t="array" ref="T54">_xlfn.IFS(clean_data[[#This Row],[Revenue]]&lt;300000,"Small",
     clean_data[[#This Row],[Revenue]]&lt;700000,"Medium",
     TRUE,"Large")</f>
        <v>Medium</v>
      </c>
      <c r="U54" t="str" cm="1">
        <f t="array" ref="U54">_xlfn.IFS(clean_data[[#This Row],[profit margin%]]&lt;0.5,"Low Profit",
     clean_data[[#This Row],[profit margin%]]&lt;0.6,"Medium Profit",
     TRUE,"High Profit")</f>
        <v>Medium Profit</v>
      </c>
      <c r="V54" t="str">
        <f>TEXT(clean_data[[#This Row],[Date]],"mmm-yyyy")</f>
        <v>Apr-2022</v>
      </c>
      <c r="W54" s="8">
        <f>EOMONTH(clean_data[[#This Row],[Date]],-1)+1</f>
        <v>44652</v>
      </c>
    </row>
    <row r="55" spans="1:23" x14ac:dyDescent="0.3">
      <c r="A55" t="s">
        <v>127</v>
      </c>
      <c r="B55" s="1">
        <v>44728</v>
      </c>
      <c r="C55" t="s">
        <v>26</v>
      </c>
      <c r="D55" t="s">
        <v>27</v>
      </c>
      <c r="E55" t="s">
        <v>70</v>
      </c>
      <c r="F55" t="s">
        <v>20</v>
      </c>
      <c r="G55" t="s">
        <v>21</v>
      </c>
      <c r="H55">
        <v>50</v>
      </c>
      <c r="I55">
        <v>3500</v>
      </c>
      <c r="J55">
        <v>0</v>
      </c>
      <c r="K55">
        <v>175000</v>
      </c>
      <c r="L55">
        <v>70000</v>
      </c>
      <c r="M55">
        <v>105000</v>
      </c>
      <c r="N55" t="s">
        <v>30</v>
      </c>
      <c r="O55" t="s">
        <v>44</v>
      </c>
      <c r="P55" t="s">
        <v>24</v>
      </c>
      <c r="Q55" t="str">
        <f>TEXT(clean_data[[#This Row],[Date]],"mmm")</f>
        <v>Jun</v>
      </c>
      <c r="R55">
        <f>YEAR(clean_data[[#This Row],[Date]])</f>
        <v>2022</v>
      </c>
      <c r="S55" s="2">
        <f>clean_data[[#This Row],[Profit]]/clean_data[[#This Row],[Revenue]]</f>
        <v>0.6</v>
      </c>
      <c r="T55" t="str" cm="1">
        <f t="array" ref="T55">_xlfn.IFS(clean_data[[#This Row],[Revenue]]&lt;300000,"Small",
     clean_data[[#This Row],[Revenue]]&lt;700000,"Medium",
     TRUE,"Large")</f>
        <v>Small</v>
      </c>
      <c r="U55" t="str" cm="1">
        <f t="array" ref="U55">_xlfn.IFS(clean_data[[#This Row],[profit margin%]]&lt;0.5,"Low Profit",
     clean_data[[#This Row],[profit margin%]]&lt;0.6,"Medium Profit",
     TRUE,"High Profit")</f>
        <v>High Profit</v>
      </c>
      <c r="V55" t="str">
        <f>TEXT(clean_data[[#This Row],[Date]],"mmm-yyyy")</f>
        <v>Jun-2022</v>
      </c>
      <c r="W55" s="8">
        <f>EOMONTH(clean_data[[#This Row],[Date]],-1)+1</f>
        <v>44713</v>
      </c>
    </row>
    <row r="56" spans="1:23" x14ac:dyDescent="0.3">
      <c r="A56" t="s">
        <v>128</v>
      </c>
      <c r="B56" s="1">
        <v>44612</v>
      </c>
      <c r="C56" t="s">
        <v>46</v>
      </c>
      <c r="D56" t="s">
        <v>47</v>
      </c>
      <c r="E56" t="s">
        <v>78</v>
      </c>
      <c r="F56" t="s">
        <v>65</v>
      </c>
      <c r="G56" t="s">
        <v>117</v>
      </c>
      <c r="H56">
        <v>37</v>
      </c>
      <c r="I56">
        <v>1200</v>
      </c>
      <c r="J56">
        <v>5</v>
      </c>
      <c r="K56">
        <v>42180</v>
      </c>
      <c r="L56">
        <v>18981</v>
      </c>
      <c r="M56">
        <v>23199</v>
      </c>
      <c r="N56" t="s">
        <v>22</v>
      </c>
      <c r="O56" t="s">
        <v>50</v>
      </c>
      <c r="P56" t="s">
        <v>24</v>
      </c>
      <c r="Q56" t="str">
        <f>TEXT(clean_data[[#This Row],[Date]],"mmm")</f>
        <v>Feb</v>
      </c>
      <c r="R56">
        <f>YEAR(clean_data[[#This Row],[Date]])</f>
        <v>2022</v>
      </c>
      <c r="S56" s="2">
        <f>clean_data[[#This Row],[Profit]]/clean_data[[#This Row],[Revenue]]</f>
        <v>0.55000000000000004</v>
      </c>
      <c r="T56" t="str" cm="1">
        <f t="array" ref="T56">_xlfn.IFS(clean_data[[#This Row],[Revenue]]&lt;300000,"Small",
     clean_data[[#This Row],[Revenue]]&lt;700000,"Medium",
     TRUE,"Large")</f>
        <v>Small</v>
      </c>
      <c r="U56" t="str" cm="1">
        <f t="array" ref="U56">_xlfn.IFS(clean_data[[#This Row],[profit margin%]]&lt;0.5,"Low Profit",
     clean_data[[#This Row],[profit margin%]]&lt;0.6,"Medium Profit",
     TRUE,"High Profit")</f>
        <v>Medium Profit</v>
      </c>
      <c r="V56" t="str">
        <f>TEXT(clean_data[[#This Row],[Date]],"mmm-yyyy")</f>
        <v>Feb-2022</v>
      </c>
      <c r="W56" s="8">
        <f>EOMONTH(clean_data[[#This Row],[Date]],-1)+1</f>
        <v>44593</v>
      </c>
    </row>
    <row r="57" spans="1:23" x14ac:dyDescent="0.3">
      <c r="A57" t="s">
        <v>129</v>
      </c>
      <c r="B57" s="1">
        <v>45266</v>
      </c>
      <c r="C57" t="s">
        <v>26</v>
      </c>
      <c r="D57" t="s">
        <v>27</v>
      </c>
      <c r="E57" t="s">
        <v>73</v>
      </c>
      <c r="F57" t="s">
        <v>28</v>
      </c>
      <c r="G57" t="s">
        <v>29</v>
      </c>
      <c r="H57">
        <v>2</v>
      </c>
      <c r="I57">
        <v>15000</v>
      </c>
      <c r="J57">
        <v>10</v>
      </c>
      <c r="K57">
        <v>27000</v>
      </c>
      <c r="L57">
        <v>14850</v>
      </c>
      <c r="M57">
        <v>12150</v>
      </c>
      <c r="N57" t="s">
        <v>22</v>
      </c>
      <c r="O57" t="s">
        <v>23</v>
      </c>
      <c r="P57" t="s">
        <v>40</v>
      </c>
      <c r="Q57" t="str">
        <f>TEXT(clean_data[[#This Row],[Date]],"mmm")</f>
        <v>Dec</v>
      </c>
      <c r="R57">
        <f>YEAR(clean_data[[#This Row],[Date]])</f>
        <v>2023</v>
      </c>
      <c r="S57" s="2">
        <f>clean_data[[#This Row],[Profit]]/clean_data[[#This Row],[Revenue]]</f>
        <v>0.45</v>
      </c>
      <c r="T57" t="str" cm="1">
        <f t="array" ref="T57">_xlfn.IFS(clean_data[[#This Row],[Revenue]]&lt;300000,"Small",
     clean_data[[#This Row],[Revenue]]&lt;700000,"Medium",
     TRUE,"Large")</f>
        <v>Small</v>
      </c>
      <c r="U57" t="str" cm="1">
        <f t="array" ref="U57">_xlfn.IFS(clean_data[[#This Row],[profit margin%]]&lt;0.5,"Low Profit",
     clean_data[[#This Row],[profit margin%]]&lt;0.6,"Medium Profit",
     TRUE,"High Profit")</f>
        <v>Low Profit</v>
      </c>
      <c r="V57" t="str">
        <f>TEXT(clean_data[[#This Row],[Date]],"mmm-yyyy")</f>
        <v>Dec-2023</v>
      </c>
      <c r="W57" s="8">
        <f>EOMONTH(clean_data[[#This Row],[Date]],-1)+1</f>
        <v>45261</v>
      </c>
    </row>
    <row r="58" spans="1:23" x14ac:dyDescent="0.3">
      <c r="A58" t="s">
        <v>130</v>
      </c>
      <c r="B58" s="1">
        <v>45345</v>
      </c>
      <c r="C58" t="s">
        <v>46</v>
      </c>
      <c r="D58" t="s">
        <v>47</v>
      </c>
      <c r="E58" t="s">
        <v>38</v>
      </c>
      <c r="F58" t="s">
        <v>20</v>
      </c>
      <c r="G58" t="s">
        <v>21</v>
      </c>
      <c r="H58">
        <v>45</v>
      </c>
      <c r="I58">
        <v>3500</v>
      </c>
      <c r="J58">
        <v>10</v>
      </c>
      <c r="K58">
        <v>141750</v>
      </c>
      <c r="L58">
        <v>56700</v>
      </c>
      <c r="M58">
        <v>85050</v>
      </c>
      <c r="N58" t="s">
        <v>30</v>
      </c>
      <c r="O58" t="s">
        <v>67</v>
      </c>
      <c r="P58" t="s">
        <v>40</v>
      </c>
      <c r="Q58" t="str">
        <f>TEXT(clean_data[[#This Row],[Date]],"mmm")</f>
        <v>Feb</v>
      </c>
      <c r="R58">
        <f>YEAR(clean_data[[#This Row],[Date]])</f>
        <v>2024</v>
      </c>
      <c r="S58" s="2">
        <f>clean_data[[#This Row],[Profit]]/clean_data[[#This Row],[Revenue]]</f>
        <v>0.6</v>
      </c>
      <c r="T58" t="str" cm="1">
        <f t="array" ref="T58">_xlfn.IFS(clean_data[[#This Row],[Revenue]]&lt;300000,"Small",
     clean_data[[#This Row],[Revenue]]&lt;700000,"Medium",
     TRUE,"Large")</f>
        <v>Small</v>
      </c>
      <c r="U58" t="str" cm="1">
        <f t="array" ref="U58">_xlfn.IFS(clean_data[[#This Row],[profit margin%]]&lt;0.5,"Low Profit",
     clean_data[[#This Row],[profit margin%]]&lt;0.6,"Medium Profit",
     TRUE,"High Profit")</f>
        <v>High Profit</v>
      </c>
      <c r="V58" t="str">
        <f>TEXT(clean_data[[#This Row],[Date]],"mmm-yyyy")</f>
        <v>Feb-2024</v>
      </c>
      <c r="W58" s="8">
        <f>EOMONTH(clean_data[[#This Row],[Date]],-1)+1</f>
        <v>45323</v>
      </c>
    </row>
    <row r="59" spans="1:23" x14ac:dyDescent="0.3">
      <c r="A59" t="s">
        <v>131</v>
      </c>
      <c r="B59" s="1">
        <v>44632</v>
      </c>
      <c r="C59" t="s">
        <v>58</v>
      </c>
      <c r="D59" t="s">
        <v>64</v>
      </c>
      <c r="E59" t="s">
        <v>70</v>
      </c>
      <c r="F59" t="s">
        <v>28</v>
      </c>
      <c r="G59" t="s">
        <v>29</v>
      </c>
      <c r="H59">
        <v>42</v>
      </c>
      <c r="I59">
        <v>15000</v>
      </c>
      <c r="J59">
        <v>10</v>
      </c>
      <c r="K59">
        <v>567000</v>
      </c>
      <c r="L59">
        <v>311850</v>
      </c>
      <c r="M59">
        <v>255150</v>
      </c>
      <c r="N59" t="s">
        <v>49</v>
      </c>
      <c r="O59" t="s">
        <v>23</v>
      </c>
      <c r="P59" t="s">
        <v>24</v>
      </c>
      <c r="Q59" t="str">
        <f>TEXT(clean_data[[#This Row],[Date]],"mmm")</f>
        <v>Mar</v>
      </c>
      <c r="R59">
        <f>YEAR(clean_data[[#This Row],[Date]])</f>
        <v>2022</v>
      </c>
      <c r="S59" s="2">
        <f>clean_data[[#This Row],[Profit]]/clean_data[[#This Row],[Revenue]]</f>
        <v>0.45</v>
      </c>
      <c r="T59" t="str" cm="1">
        <f t="array" ref="T59">_xlfn.IFS(clean_data[[#This Row],[Revenue]]&lt;300000,"Small",
     clean_data[[#This Row],[Revenue]]&lt;700000,"Medium",
     TRUE,"Large")</f>
        <v>Medium</v>
      </c>
      <c r="U59" t="str" cm="1">
        <f t="array" ref="U59">_xlfn.IFS(clean_data[[#This Row],[profit margin%]]&lt;0.5,"Low Profit",
     clean_data[[#This Row],[profit margin%]]&lt;0.6,"Medium Profit",
     TRUE,"High Profit")</f>
        <v>Low Profit</v>
      </c>
      <c r="V59" t="str">
        <f>TEXT(clean_data[[#This Row],[Date]],"mmm-yyyy")</f>
        <v>Mar-2022</v>
      </c>
      <c r="W59" s="8">
        <f>EOMONTH(clean_data[[#This Row],[Date]],-1)+1</f>
        <v>44621</v>
      </c>
    </row>
    <row r="60" spans="1:23" x14ac:dyDescent="0.3">
      <c r="A60" t="s">
        <v>132</v>
      </c>
      <c r="B60" s="1">
        <v>44756</v>
      </c>
      <c r="C60" t="s">
        <v>17</v>
      </c>
      <c r="D60" t="s">
        <v>42</v>
      </c>
      <c r="E60" t="s">
        <v>60</v>
      </c>
      <c r="F60" t="s">
        <v>20</v>
      </c>
      <c r="G60" t="s">
        <v>115</v>
      </c>
      <c r="H60">
        <v>12</v>
      </c>
      <c r="I60">
        <v>2500</v>
      </c>
      <c r="J60">
        <v>20</v>
      </c>
      <c r="K60">
        <v>24000</v>
      </c>
      <c r="L60">
        <v>9600</v>
      </c>
      <c r="M60">
        <v>14400</v>
      </c>
      <c r="N60" t="s">
        <v>22</v>
      </c>
      <c r="O60" t="s">
        <v>67</v>
      </c>
      <c r="P60" t="s">
        <v>24</v>
      </c>
      <c r="Q60" t="str">
        <f>TEXT(clean_data[[#This Row],[Date]],"mmm")</f>
        <v>Jul</v>
      </c>
      <c r="R60">
        <f>YEAR(clean_data[[#This Row],[Date]])</f>
        <v>2022</v>
      </c>
      <c r="S60" s="2">
        <f>clean_data[[#This Row],[Profit]]/clean_data[[#This Row],[Revenue]]</f>
        <v>0.6</v>
      </c>
      <c r="T60" t="str" cm="1">
        <f t="array" ref="T60">_xlfn.IFS(clean_data[[#This Row],[Revenue]]&lt;300000,"Small",
     clean_data[[#This Row],[Revenue]]&lt;700000,"Medium",
     TRUE,"Large")</f>
        <v>Small</v>
      </c>
      <c r="U60" t="str" cm="1">
        <f t="array" ref="U60">_xlfn.IFS(clean_data[[#This Row],[profit margin%]]&lt;0.5,"Low Profit",
     clean_data[[#This Row],[profit margin%]]&lt;0.6,"Medium Profit",
     TRUE,"High Profit")</f>
        <v>High Profit</v>
      </c>
      <c r="V60" t="str">
        <f>TEXT(clean_data[[#This Row],[Date]],"mmm-yyyy")</f>
        <v>Jul-2022</v>
      </c>
      <c r="W60" s="8">
        <f>EOMONTH(clean_data[[#This Row],[Date]],-1)+1</f>
        <v>44743</v>
      </c>
    </row>
    <row r="61" spans="1:23" x14ac:dyDescent="0.3">
      <c r="A61" t="s">
        <v>133</v>
      </c>
      <c r="B61" s="1">
        <v>45488</v>
      </c>
      <c r="C61" t="s">
        <v>58</v>
      </c>
      <c r="D61" t="s">
        <v>64</v>
      </c>
      <c r="E61" t="s">
        <v>38</v>
      </c>
      <c r="F61" t="s">
        <v>33</v>
      </c>
      <c r="G61" t="s">
        <v>34</v>
      </c>
      <c r="H61">
        <v>16</v>
      </c>
      <c r="I61">
        <v>25000</v>
      </c>
      <c r="J61">
        <v>0</v>
      </c>
      <c r="K61">
        <v>400000</v>
      </c>
      <c r="L61">
        <v>200000</v>
      </c>
      <c r="M61">
        <v>200000</v>
      </c>
      <c r="N61" t="s">
        <v>49</v>
      </c>
      <c r="O61" t="s">
        <v>44</v>
      </c>
      <c r="P61" t="s">
        <v>24</v>
      </c>
      <c r="Q61" t="str">
        <f>TEXT(clean_data[[#This Row],[Date]],"mmm")</f>
        <v>Jul</v>
      </c>
      <c r="R61">
        <f>YEAR(clean_data[[#This Row],[Date]])</f>
        <v>2024</v>
      </c>
      <c r="S61" s="2">
        <f>clean_data[[#This Row],[Profit]]/clean_data[[#This Row],[Revenue]]</f>
        <v>0.5</v>
      </c>
      <c r="T61" t="str" cm="1">
        <f t="array" ref="T61">_xlfn.IFS(clean_data[[#This Row],[Revenue]]&lt;300000,"Small",
     clean_data[[#This Row],[Revenue]]&lt;700000,"Medium",
     TRUE,"Large")</f>
        <v>Medium</v>
      </c>
      <c r="U61" t="str" cm="1">
        <f t="array" ref="U61">_xlfn.IFS(clean_data[[#This Row],[profit margin%]]&lt;0.5,"Low Profit",
     clean_data[[#This Row],[profit margin%]]&lt;0.6,"Medium Profit",
     TRUE,"High Profit")</f>
        <v>Medium Profit</v>
      </c>
      <c r="V61" t="str">
        <f>TEXT(clean_data[[#This Row],[Date]],"mmm-yyyy")</f>
        <v>Jul-2024</v>
      </c>
      <c r="W61" s="8">
        <f>EOMONTH(clean_data[[#This Row],[Date]],-1)+1</f>
        <v>45474</v>
      </c>
    </row>
    <row r="62" spans="1:23" x14ac:dyDescent="0.3">
      <c r="A62" t="s">
        <v>134</v>
      </c>
      <c r="B62" s="1">
        <v>45462</v>
      </c>
      <c r="C62" t="s">
        <v>58</v>
      </c>
      <c r="D62" t="s">
        <v>59</v>
      </c>
      <c r="E62" t="s">
        <v>56</v>
      </c>
      <c r="F62" t="s">
        <v>65</v>
      </c>
      <c r="G62" t="s">
        <v>124</v>
      </c>
      <c r="H62">
        <v>12</v>
      </c>
      <c r="I62">
        <v>18000</v>
      </c>
      <c r="J62">
        <v>15</v>
      </c>
      <c r="K62">
        <v>183600</v>
      </c>
      <c r="L62">
        <v>82620</v>
      </c>
      <c r="M62">
        <v>100980</v>
      </c>
      <c r="N62" t="s">
        <v>49</v>
      </c>
      <c r="O62" t="s">
        <v>50</v>
      </c>
      <c r="P62" t="s">
        <v>24</v>
      </c>
      <c r="Q62" t="str">
        <f>TEXT(clean_data[[#This Row],[Date]],"mmm")</f>
        <v>Jun</v>
      </c>
      <c r="R62">
        <f>YEAR(clean_data[[#This Row],[Date]])</f>
        <v>2024</v>
      </c>
      <c r="S62" s="2">
        <f>clean_data[[#This Row],[Profit]]/clean_data[[#This Row],[Revenue]]</f>
        <v>0.55000000000000004</v>
      </c>
      <c r="T62" t="str" cm="1">
        <f t="array" ref="T62">_xlfn.IFS(clean_data[[#This Row],[Revenue]]&lt;300000,"Small",
     clean_data[[#This Row],[Revenue]]&lt;700000,"Medium",
     TRUE,"Large")</f>
        <v>Small</v>
      </c>
      <c r="U62" t="str" cm="1">
        <f t="array" ref="U62">_xlfn.IFS(clean_data[[#This Row],[profit margin%]]&lt;0.5,"Low Profit",
     clean_data[[#This Row],[profit margin%]]&lt;0.6,"Medium Profit",
     TRUE,"High Profit")</f>
        <v>Medium Profit</v>
      </c>
      <c r="V62" t="str">
        <f>TEXT(clean_data[[#This Row],[Date]],"mmm-yyyy")</f>
        <v>Jun-2024</v>
      </c>
      <c r="W62" s="8">
        <f>EOMONTH(clean_data[[#This Row],[Date]],-1)+1</f>
        <v>45444</v>
      </c>
    </row>
    <row r="63" spans="1:23" x14ac:dyDescent="0.3">
      <c r="A63" t="s">
        <v>135</v>
      </c>
      <c r="B63" s="1">
        <v>45208</v>
      </c>
      <c r="C63" t="s">
        <v>17</v>
      </c>
      <c r="D63" t="s">
        <v>42</v>
      </c>
      <c r="E63" t="s">
        <v>56</v>
      </c>
      <c r="F63" t="s">
        <v>20</v>
      </c>
      <c r="G63" t="s">
        <v>21</v>
      </c>
      <c r="H63">
        <v>16</v>
      </c>
      <c r="I63">
        <v>3500</v>
      </c>
      <c r="J63">
        <v>15</v>
      </c>
      <c r="K63">
        <v>47600</v>
      </c>
      <c r="L63">
        <v>19040</v>
      </c>
      <c r="M63">
        <v>28560</v>
      </c>
      <c r="N63" t="s">
        <v>22</v>
      </c>
      <c r="O63" t="s">
        <v>44</v>
      </c>
      <c r="P63" t="s">
        <v>24</v>
      </c>
      <c r="Q63" t="str">
        <f>TEXT(clean_data[[#This Row],[Date]],"mmm")</f>
        <v>Oct</v>
      </c>
      <c r="R63">
        <f>YEAR(clean_data[[#This Row],[Date]])</f>
        <v>2023</v>
      </c>
      <c r="S63" s="2">
        <f>clean_data[[#This Row],[Profit]]/clean_data[[#This Row],[Revenue]]</f>
        <v>0.6</v>
      </c>
      <c r="T63" t="str" cm="1">
        <f t="array" ref="T63">_xlfn.IFS(clean_data[[#This Row],[Revenue]]&lt;300000,"Small",
     clean_data[[#This Row],[Revenue]]&lt;700000,"Medium",
     TRUE,"Large")</f>
        <v>Small</v>
      </c>
      <c r="U63" t="str" cm="1">
        <f t="array" ref="U63">_xlfn.IFS(clean_data[[#This Row],[profit margin%]]&lt;0.5,"Low Profit",
     clean_data[[#This Row],[profit margin%]]&lt;0.6,"Medium Profit",
     TRUE,"High Profit")</f>
        <v>High Profit</v>
      </c>
      <c r="V63" t="str">
        <f>TEXT(clean_data[[#This Row],[Date]],"mmm-yyyy")</f>
        <v>Oct-2023</v>
      </c>
      <c r="W63" s="8">
        <f>EOMONTH(clean_data[[#This Row],[Date]],-1)+1</f>
        <v>45200</v>
      </c>
    </row>
    <row r="64" spans="1:23" x14ac:dyDescent="0.3">
      <c r="A64" t="s">
        <v>136</v>
      </c>
      <c r="B64" s="1">
        <v>45494</v>
      </c>
      <c r="C64" t="s">
        <v>58</v>
      </c>
      <c r="D64" t="s">
        <v>59</v>
      </c>
      <c r="E64" t="s">
        <v>56</v>
      </c>
      <c r="F64" t="s">
        <v>28</v>
      </c>
      <c r="G64" t="s">
        <v>71</v>
      </c>
      <c r="H64">
        <v>15</v>
      </c>
      <c r="I64">
        <v>35000</v>
      </c>
      <c r="J64">
        <v>15</v>
      </c>
      <c r="K64">
        <v>446250</v>
      </c>
      <c r="L64">
        <v>245437.5</v>
      </c>
      <c r="M64">
        <v>200812.5</v>
      </c>
      <c r="N64" t="s">
        <v>49</v>
      </c>
      <c r="O64" t="s">
        <v>67</v>
      </c>
      <c r="P64" t="s">
        <v>24</v>
      </c>
      <c r="Q64" t="str">
        <f>TEXT(clean_data[[#This Row],[Date]],"mmm")</f>
        <v>Jul</v>
      </c>
      <c r="R64">
        <f>YEAR(clean_data[[#This Row],[Date]])</f>
        <v>2024</v>
      </c>
      <c r="S64" s="2">
        <f>clean_data[[#This Row],[Profit]]/clean_data[[#This Row],[Revenue]]</f>
        <v>0.45</v>
      </c>
      <c r="T64" t="str" cm="1">
        <f t="array" ref="T64">_xlfn.IFS(clean_data[[#This Row],[Revenue]]&lt;300000,"Small",
     clean_data[[#This Row],[Revenue]]&lt;700000,"Medium",
     TRUE,"Large")</f>
        <v>Medium</v>
      </c>
      <c r="U64" t="str" cm="1">
        <f t="array" ref="U64">_xlfn.IFS(clean_data[[#This Row],[profit margin%]]&lt;0.5,"Low Profit",
     clean_data[[#This Row],[profit margin%]]&lt;0.6,"Medium Profit",
     TRUE,"High Profit")</f>
        <v>Low Profit</v>
      </c>
      <c r="V64" t="str">
        <f>TEXT(clean_data[[#This Row],[Date]],"mmm-yyyy")</f>
        <v>Jul-2024</v>
      </c>
      <c r="W64" s="8">
        <f>EOMONTH(clean_data[[#This Row],[Date]],-1)+1</f>
        <v>45474</v>
      </c>
    </row>
    <row r="65" spans="1:23" x14ac:dyDescent="0.3">
      <c r="A65" t="s">
        <v>137</v>
      </c>
      <c r="B65" s="1">
        <v>45276</v>
      </c>
      <c r="C65" t="s">
        <v>17</v>
      </c>
      <c r="D65" t="s">
        <v>37</v>
      </c>
      <c r="E65" t="s">
        <v>111</v>
      </c>
      <c r="F65" t="s">
        <v>33</v>
      </c>
      <c r="G65" t="s">
        <v>34</v>
      </c>
      <c r="H65">
        <v>45</v>
      </c>
      <c r="I65">
        <v>25000</v>
      </c>
      <c r="J65">
        <v>15</v>
      </c>
      <c r="K65">
        <v>956250</v>
      </c>
      <c r="L65">
        <v>478125</v>
      </c>
      <c r="M65">
        <v>478125</v>
      </c>
      <c r="N65" t="s">
        <v>49</v>
      </c>
      <c r="O65" t="s">
        <v>50</v>
      </c>
      <c r="P65" t="s">
        <v>24</v>
      </c>
      <c r="Q65" t="str">
        <f>TEXT(clean_data[[#This Row],[Date]],"mmm")</f>
        <v>Dec</v>
      </c>
      <c r="R65">
        <f>YEAR(clean_data[[#This Row],[Date]])</f>
        <v>2023</v>
      </c>
      <c r="S65" s="2">
        <f>clean_data[[#This Row],[Profit]]/clean_data[[#This Row],[Revenue]]</f>
        <v>0.5</v>
      </c>
      <c r="T65" t="str" cm="1">
        <f t="array" ref="T65">_xlfn.IFS(clean_data[[#This Row],[Revenue]]&lt;300000,"Small",
     clean_data[[#This Row],[Revenue]]&lt;700000,"Medium",
     TRUE,"Large")</f>
        <v>Large</v>
      </c>
      <c r="U65" t="str" cm="1">
        <f t="array" ref="U65">_xlfn.IFS(clean_data[[#This Row],[profit margin%]]&lt;0.5,"Low Profit",
     clean_data[[#This Row],[profit margin%]]&lt;0.6,"Medium Profit",
     TRUE,"High Profit")</f>
        <v>Medium Profit</v>
      </c>
      <c r="V65" t="str">
        <f>TEXT(clean_data[[#This Row],[Date]],"mmm-yyyy")</f>
        <v>Dec-2023</v>
      </c>
      <c r="W65" s="8">
        <f>EOMONTH(clean_data[[#This Row],[Date]],-1)+1</f>
        <v>45261</v>
      </c>
    </row>
    <row r="66" spans="1:23" x14ac:dyDescent="0.3">
      <c r="A66" t="s">
        <v>138</v>
      </c>
      <c r="B66" s="1">
        <v>44989</v>
      </c>
      <c r="C66" t="s">
        <v>46</v>
      </c>
      <c r="D66" t="s">
        <v>55</v>
      </c>
      <c r="E66" t="s">
        <v>52</v>
      </c>
      <c r="F66" t="s">
        <v>20</v>
      </c>
      <c r="G66" t="s">
        <v>74</v>
      </c>
      <c r="H66">
        <v>14</v>
      </c>
      <c r="I66">
        <v>4200</v>
      </c>
      <c r="J66">
        <v>15</v>
      </c>
      <c r="K66">
        <v>49980</v>
      </c>
      <c r="L66">
        <v>19992</v>
      </c>
      <c r="M66">
        <v>29988</v>
      </c>
      <c r="N66" t="s">
        <v>22</v>
      </c>
      <c r="O66" t="s">
        <v>67</v>
      </c>
      <c r="P66" t="s">
        <v>24</v>
      </c>
      <c r="Q66" t="str">
        <f>TEXT(clean_data[[#This Row],[Date]],"mmm")</f>
        <v>Mar</v>
      </c>
      <c r="R66">
        <f>YEAR(clean_data[[#This Row],[Date]])</f>
        <v>2023</v>
      </c>
      <c r="S66" s="2">
        <f>clean_data[[#This Row],[Profit]]/clean_data[[#This Row],[Revenue]]</f>
        <v>0.6</v>
      </c>
      <c r="T66" t="str" cm="1">
        <f t="array" ref="T66">_xlfn.IFS(clean_data[[#This Row],[Revenue]]&lt;300000,"Small",
     clean_data[[#This Row],[Revenue]]&lt;700000,"Medium",
     TRUE,"Large")</f>
        <v>Small</v>
      </c>
      <c r="U66" t="str" cm="1">
        <f t="array" ref="U66">_xlfn.IFS(clean_data[[#This Row],[profit margin%]]&lt;0.5,"Low Profit",
     clean_data[[#This Row],[profit margin%]]&lt;0.6,"Medium Profit",
     TRUE,"High Profit")</f>
        <v>High Profit</v>
      </c>
      <c r="V66" t="str">
        <f>TEXT(clean_data[[#This Row],[Date]],"mmm-yyyy")</f>
        <v>Mar-2023</v>
      </c>
      <c r="W66" s="8">
        <f>EOMONTH(clean_data[[#This Row],[Date]],-1)+1</f>
        <v>44986</v>
      </c>
    </row>
    <row r="67" spans="1:23" x14ac:dyDescent="0.3">
      <c r="A67" t="s">
        <v>139</v>
      </c>
      <c r="B67" s="1">
        <v>45585</v>
      </c>
      <c r="C67" t="s">
        <v>17</v>
      </c>
      <c r="D67" t="s">
        <v>18</v>
      </c>
      <c r="E67" t="s">
        <v>19</v>
      </c>
      <c r="F67" t="s">
        <v>33</v>
      </c>
      <c r="G67" t="s">
        <v>76</v>
      </c>
      <c r="H67">
        <v>24</v>
      </c>
      <c r="I67">
        <v>8500</v>
      </c>
      <c r="J67">
        <v>5</v>
      </c>
      <c r="K67">
        <v>193800</v>
      </c>
      <c r="L67">
        <v>96900</v>
      </c>
      <c r="M67">
        <v>96900</v>
      </c>
      <c r="N67" t="s">
        <v>30</v>
      </c>
      <c r="O67" t="s">
        <v>67</v>
      </c>
      <c r="P67" t="s">
        <v>24</v>
      </c>
      <c r="Q67" t="str">
        <f>TEXT(clean_data[[#This Row],[Date]],"mmm")</f>
        <v>Oct</v>
      </c>
      <c r="R67">
        <f>YEAR(clean_data[[#This Row],[Date]])</f>
        <v>2024</v>
      </c>
      <c r="S67" s="2">
        <f>clean_data[[#This Row],[Profit]]/clean_data[[#This Row],[Revenue]]</f>
        <v>0.5</v>
      </c>
      <c r="T67" t="str" cm="1">
        <f t="array" ref="T67">_xlfn.IFS(clean_data[[#This Row],[Revenue]]&lt;300000,"Small",
     clean_data[[#This Row],[Revenue]]&lt;700000,"Medium",
     TRUE,"Large")</f>
        <v>Small</v>
      </c>
      <c r="U67" t="str" cm="1">
        <f t="array" ref="U67">_xlfn.IFS(clean_data[[#This Row],[profit margin%]]&lt;0.5,"Low Profit",
     clean_data[[#This Row],[profit margin%]]&lt;0.6,"Medium Profit",
     TRUE,"High Profit")</f>
        <v>Medium Profit</v>
      </c>
      <c r="V67" t="str">
        <f>TEXT(clean_data[[#This Row],[Date]],"mmm-yyyy")</f>
        <v>Oct-2024</v>
      </c>
      <c r="W67" s="8">
        <f>EOMONTH(clean_data[[#This Row],[Date]],-1)+1</f>
        <v>45566</v>
      </c>
    </row>
    <row r="68" spans="1:23" x14ac:dyDescent="0.3">
      <c r="A68" t="s">
        <v>140</v>
      </c>
      <c r="B68" s="1">
        <v>44813</v>
      </c>
      <c r="C68" t="s">
        <v>26</v>
      </c>
      <c r="D68" t="s">
        <v>27</v>
      </c>
      <c r="E68" t="s">
        <v>111</v>
      </c>
      <c r="F68" t="s">
        <v>33</v>
      </c>
      <c r="G68" t="s">
        <v>76</v>
      </c>
      <c r="H68">
        <v>41</v>
      </c>
      <c r="I68">
        <v>8500</v>
      </c>
      <c r="J68">
        <v>15</v>
      </c>
      <c r="K68">
        <v>296225</v>
      </c>
      <c r="L68">
        <v>148112.5</v>
      </c>
      <c r="M68">
        <v>148112.5</v>
      </c>
      <c r="N68" t="s">
        <v>30</v>
      </c>
      <c r="O68" t="s">
        <v>67</v>
      </c>
      <c r="P68" t="s">
        <v>24</v>
      </c>
      <c r="Q68" t="str">
        <f>TEXT(clean_data[[#This Row],[Date]],"mmm")</f>
        <v>Sep</v>
      </c>
      <c r="R68">
        <f>YEAR(clean_data[[#This Row],[Date]])</f>
        <v>2022</v>
      </c>
      <c r="S68" s="2">
        <f>clean_data[[#This Row],[Profit]]/clean_data[[#This Row],[Revenue]]</f>
        <v>0.5</v>
      </c>
      <c r="T68" t="str" cm="1">
        <f t="array" ref="T68">_xlfn.IFS(clean_data[[#This Row],[Revenue]]&lt;300000,"Small",
     clean_data[[#This Row],[Revenue]]&lt;700000,"Medium",
     TRUE,"Large")</f>
        <v>Small</v>
      </c>
      <c r="U68" t="str" cm="1">
        <f t="array" ref="U68">_xlfn.IFS(clean_data[[#This Row],[profit margin%]]&lt;0.5,"Low Profit",
     clean_data[[#This Row],[profit margin%]]&lt;0.6,"Medium Profit",
     TRUE,"High Profit")</f>
        <v>Medium Profit</v>
      </c>
      <c r="V68" t="str">
        <f>TEXT(clean_data[[#This Row],[Date]],"mmm-yyyy")</f>
        <v>Sep-2022</v>
      </c>
      <c r="W68" s="8">
        <f>EOMONTH(clean_data[[#This Row],[Date]],-1)+1</f>
        <v>44805</v>
      </c>
    </row>
    <row r="69" spans="1:23" x14ac:dyDescent="0.3">
      <c r="A69" t="s">
        <v>141</v>
      </c>
      <c r="B69" s="1">
        <v>45123</v>
      </c>
      <c r="C69" t="s">
        <v>58</v>
      </c>
      <c r="D69" t="s">
        <v>59</v>
      </c>
      <c r="E69" t="s">
        <v>70</v>
      </c>
      <c r="F69" t="s">
        <v>20</v>
      </c>
      <c r="G69" t="s">
        <v>21</v>
      </c>
      <c r="H69">
        <v>17</v>
      </c>
      <c r="I69">
        <v>3500</v>
      </c>
      <c r="J69">
        <v>15</v>
      </c>
      <c r="K69">
        <v>50575</v>
      </c>
      <c r="L69">
        <v>20230</v>
      </c>
      <c r="M69">
        <v>30345</v>
      </c>
      <c r="N69" t="s">
        <v>30</v>
      </c>
      <c r="O69" t="s">
        <v>23</v>
      </c>
      <c r="P69" t="s">
        <v>24</v>
      </c>
      <c r="Q69" t="str">
        <f>TEXT(clean_data[[#This Row],[Date]],"mmm")</f>
        <v>Jul</v>
      </c>
      <c r="R69">
        <f>YEAR(clean_data[[#This Row],[Date]])</f>
        <v>2023</v>
      </c>
      <c r="S69" s="2">
        <f>clean_data[[#This Row],[Profit]]/clean_data[[#This Row],[Revenue]]</f>
        <v>0.6</v>
      </c>
      <c r="T69" t="str" cm="1">
        <f t="array" ref="T69">_xlfn.IFS(clean_data[[#This Row],[Revenue]]&lt;300000,"Small",
     clean_data[[#This Row],[Revenue]]&lt;700000,"Medium",
     TRUE,"Large")</f>
        <v>Small</v>
      </c>
      <c r="U69" t="str" cm="1">
        <f t="array" ref="U69">_xlfn.IFS(clean_data[[#This Row],[profit margin%]]&lt;0.5,"Low Profit",
     clean_data[[#This Row],[profit margin%]]&lt;0.6,"Medium Profit",
     TRUE,"High Profit")</f>
        <v>High Profit</v>
      </c>
      <c r="V69" t="str">
        <f>TEXT(clean_data[[#This Row],[Date]],"mmm-yyyy")</f>
        <v>Jul-2023</v>
      </c>
      <c r="W69" s="8">
        <f>EOMONTH(clean_data[[#This Row],[Date]],-1)+1</f>
        <v>45108</v>
      </c>
    </row>
    <row r="70" spans="1:23" x14ac:dyDescent="0.3">
      <c r="A70" t="s">
        <v>142</v>
      </c>
      <c r="B70" s="1">
        <v>45507</v>
      </c>
      <c r="C70" t="s">
        <v>26</v>
      </c>
      <c r="D70" t="s">
        <v>27</v>
      </c>
      <c r="E70" t="s">
        <v>78</v>
      </c>
      <c r="F70" t="s">
        <v>33</v>
      </c>
      <c r="G70" t="s">
        <v>39</v>
      </c>
      <c r="H70">
        <v>16</v>
      </c>
      <c r="I70">
        <v>5000</v>
      </c>
      <c r="J70">
        <v>0</v>
      </c>
      <c r="K70">
        <v>80000</v>
      </c>
      <c r="L70">
        <v>40000</v>
      </c>
      <c r="M70">
        <v>40000</v>
      </c>
      <c r="N70" t="s">
        <v>49</v>
      </c>
      <c r="O70" t="s">
        <v>67</v>
      </c>
      <c r="P70" t="s">
        <v>40</v>
      </c>
      <c r="Q70" t="str">
        <f>TEXT(clean_data[[#This Row],[Date]],"mmm")</f>
        <v>Aug</v>
      </c>
      <c r="R70">
        <f>YEAR(clean_data[[#This Row],[Date]])</f>
        <v>2024</v>
      </c>
      <c r="S70" s="2">
        <f>clean_data[[#This Row],[Profit]]/clean_data[[#This Row],[Revenue]]</f>
        <v>0.5</v>
      </c>
      <c r="T70" t="str" cm="1">
        <f t="array" ref="T70">_xlfn.IFS(clean_data[[#This Row],[Revenue]]&lt;300000,"Small",
     clean_data[[#This Row],[Revenue]]&lt;700000,"Medium",
     TRUE,"Large")</f>
        <v>Small</v>
      </c>
      <c r="U70" t="str" cm="1">
        <f t="array" ref="U70">_xlfn.IFS(clean_data[[#This Row],[profit margin%]]&lt;0.5,"Low Profit",
     clean_data[[#This Row],[profit margin%]]&lt;0.6,"Medium Profit",
     TRUE,"High Profit")</f>
        <v>Medium Profit</v>
      </c>
      <c r="V70" t="str">
        <f>TEXT(clean_data[[#This Row],[Date]],"mmm-yyyy")</f>
        <v>Aug-2024</v>
      </c>
      <c r="W70" s="8">
        <f>EOMONTH(clean_data[[#This Row],[Date]],-1)+1</f>
        <v>45505</v>
      </c>
    </row>
    <row r="71" spans="1:23" x14ac:dyDescent="0.3">
      <c r="A71" t="s">
        <v>143</v>
      </c>
      <c r="B71" s="1">
        <v>45010</v>
      </c>
      <c r="C71" t="s">
        <v>58</v>
      </c>
      <c r="D71" t="s">
        <v>59</v>
      </c>
      <c r="E71" t="s">
        <v>60</v>
      </c>
      <c r="F71" t="s">
        <v>33</v>
      </c>
      <c r="G71" t="s">
        <v>43</v>
      </c>
      <c r="H71">
        <v>28</v>
      </c>
      <c r="I71">
        <v>4000</v>
      </c>
      <c r="J71">
        <v>10</v>
      </c>
      <c r="K71">
        <v>100800</v>
      </c>
      <c r="L71">
        <v>50400</v>
      </c>
      <c r="M71">
        <v>50400</v>
      </c>
      <c r="N71" t="s">
        <v>22</v>
      </c>
      <c r="O71" t="s">
        <v>35</v>
      </c>
      <c r="P71" t="s">
        <v>40</v>
      </c>
      <c r="Q71" t="str">
        <f>TEXT(clean_data[[#This Row],[Date]],"mmm")</f>
        <v>Mar</v>
      </c>
      <c r="R71">
        <f>YEAR(clean_data[[#This Row],[Date]])</f>
        <v>2023</v>
      </c>
      <c r="S71" s="2">
        <f>clean_data[[#This Row],[Profit]]/clean_data[[#This Row],[Revenue]]</f>
        <v>0.5</v>
      </c>
      <c r="T71" t="str" cm="1">
        <f t="array" ref="T71">_xlfn.IFS(clean_data[[#This Row],[Revenue]]&lt;300000,"Small",
     clean_data[[#This Row],[Revenue]]&lt;700000,"Medium",
     TRUE,"Large")</f>
        <v>Small</v>
      </c>
      <c r="U71" t="str" cm="1">
        <f t="array" ref="U71">_xlfn.IFS(clean_data[[#This Row],[profit margin%]]&lt;0.5,"Low Profit",
     clean_data[[#This Row],[profit margin%]]&lt;0.6,"Medium Profit",
     TRUE,"High Profit")</f>
        <v>Medium Profit</v>
      </c>
      <c r="V71" t="str">
        <f>TEXT(clean_data[[#This Row],[Date]],"mmm-yyyy")</f>
        <v>Mar-2023</v>
      </c>
      <c r="W71" s="8">
        <f>EOMONTH(clean_data[[#This Row],[Date]],-1)+1</f>
        <v>44986</v>
      </c>
    </row>
    <row r="72" spans="1:23" x14ac:dyDescent="0.3">
      <c r="A72" t="s">
        <v>144</v>
      </c>
      <c r="B72" s="1">
        <v>44767</v>
      </c>
      <c r="C72" t="s">
        <v>46</v>
      </c>
      <c r="D72" t="s">
        <v>47</v>
      </c>
      <c r="E72" t="s">
        <v>73</v>
      </c>
      <c r="F72" t="s">
        <v>28</v>
      </c>
      <c r="G72" t="s">
        <v>87</v>
      </c>
      <c r="H72">
        <v>16</v>
      </c>
      <c r="I72">
        <v>45000</v>
      </c>
      <c r="J72">
        <v>5</v>
      </c>
      <c r="K72">
        <v>684000</v>
      </c>
      <c r="L72">
        <v>376200</v>
      </c>
      <c r="M72">
        <v>307800</v>
      </c>
      <c r="N72" t="s">
        <v>30</v>
      </c>
      <c r="O72" t="s">
        <v>44</v>
      </c>
      <c r="P72" t="s">
        <v>40</v>
      </c>
      <c r="Q72" t="str">
        <f>TEXT(clean_data[[#This Row],[Date]],"mmm")</f>
        <v>Jul</v>
      </c>
      <c r="R72">
        <f>YEAR(clean_data[[#This Row],[Date]])</f>
        <v>2022</v>
      </c>
      <c r="S72" s="2">
        <f>clean_data[[#This Row],[Profit]]/clean_data[[#This Row],[Revenue]]</f>
        <v>0.45</v>
      </c>
      <c r="T72" t="str" cm="1">
        <f t="array" ref="T72">_xlfn.IFS(clean_data[[#This Row],[Revenue]]&lt;300000,"Small",
     clean_data[[#This Row],[Revenue]]&lt;700000,"Medium",
     TRUE,"Large")</f>
        <v>Medium</v>
      </c>
      <c r="U72" t="str" cm="1">
        <f t="array" ref="U72">_xlfn.IFS(clean_data[[#This Row],[profit margin%]]&lt;0.5,"Low Profit",
     clean_data[[#This Row],[profit margin%]]&lt;0.6,"Medium Profit",
     TRUE,"High Profit")</f>
        <v>Low Profit</v>
      </c>
      <c r="V72" t="str">
        <f>TEXT(clean_data[[#This Row],[Date]],"mmm-yyyy")</f>
        <v>Jul-2022</v>
      </c>
      <c r="W72" s="8">
        <f>EOMONTH(clean_data[[#This Row],[Date]],-1)+1</f>
        <v>44743</v>
      </c>
    </row>
    <row r="73" spans="1:23" x14ac:dyDescent="0.3">
      <c r="A73" t="s">
        <v>145</v>
      </c>
      <c r="B73" s="1">
        <v>44575</v>
      </c>
      <c r="C73" t="s">
        <v>58</v>
      </c>
      <c r="D73" t="s">
        <v>64</v>
      </c>
      <c r="E73" t="s">
        <v>38</v>
      </c>
      <c r="F73" t="s">
        <v>65</v>
      </c>
      <c r="G73" t="s">
        <v>124</v>
      </c>
      <c r="H73">
        <v>3</v>
      </c>
      <c r="I73">
        <v>18000</v>
      </c>
      <c r="J73">
        <v>5</v>
      </c>
      <c r="K73">
        <v>51300</v>
      </c>
      <c r="L73">
        <v>23085</v>
      </c>
      <c r="M73">
        <v>28215</v>
      </c>
      <c r="N73" t="s">
        <v>22</v>
      </c>
      <c r="O73" t="s">
        <v>50</v>
      </c>
      <c r="P73" t="s">
        <v>24</v>
      </c>
      <c r="Q73" t="str">
        <f>TEXT(clean_data[[#This Row],[Date]],"mmm")</f>
        <v>Jan</v>
      </c>
      <c r="R73">
        <f>YEAR(clean_data[[#This Row],[Date]])</f>
        <v>2022</v>
      </c>
      <c r="S73" s="2">
        <f>clean_data[[#This Row],[Profit]]/clean_data[[#This Row],[Revenue]]</f>
        <v>0.55000000000000004</v>
      </c>
      <c r="T73" t="str" cm="1">
        <f t="array" ref="T73">_xlfn.IFS(clean_data[[#This Row],[Revenue]]&lt;300000,"Small",
     clean_data[[#This Row],[Revenue]]&lt;700000,"Medium",
     TRUE,"Large")</f>
        <v>Small</v>
      </c>
      <c r="U73" t="str" cm="1">
        <f t="array" ref="U73">_xlfn.IFS(clean_data[[#This Row],[profit margin%]]&lt;0.5,"Low Profit",
     clean_data[[#This Row],[profit margin%]]&lt;0.6,"Medium Profit",
     TRUE,"High Profit")</f>
        <v>Medium Profit</v>
      </c>
      <c r="V73" t="str">
        <f>TEXT(clean_data[[#This Row],[Date]],"mmm-yyyy")</f>
        <v>Jan-2022</v>
      </c>
      <c r="W73" s="8">
        <f>EOMONTH(clean_data[[#This Row],[Date]],-1)+1</f>
        <v>44562</v>
      </c>
    </row>
    <row r="74" spans="1:23" x14ac:dyDescent="0.3">
      <c r="A74" t="s">
        <v>146</v>
      </c>
      <c r="B74" s="1">
        <v>45446</v>
      </c>
      <c r="C74" t="s">
        <v>46</v>
      </c>
      <c r="D74" t="s">
        <v>55</v>
      </c>
      <c r="E74" t="s">
        <v>38</v>
      </c>
      <c r="F74" t="s">
        <v>20</v>
      </c>
      <c r="G74" t="s">
        <v>115</v>
      </c>
      <c r="H74">
        <v>8</v>
      </c>
      <c r="I74">
        <v>2500</v>
      </c>
      <c r="J74">
        <v>20</v>
      </c>
      <c r="K74">
        <v>16000</v>
      </c>
      <c r="L74">
        <v>6400</v>
      </c>
      <c r="M74">
        <v>9600</v>
      </c>
      <c r="N74" t="s">
        <v>22</v>
      </c>
      <c r="O74" t="s">
        <v>44</v>
      </c>
      <c r="P74" t="s">
        <v>24</v>
      </c>
      <c r="Q74" t="str">
        <f>TEXT(clean_data[[#This Row],[Date]],"mmm")</f>
        <v>Jun</v>
      </c>
      <c r="R74">
        <f>YEAR(clean_data[[#This Row],[Date]])</f>
        <v>2024</v>
      </c>
      <c r="S74" s="2">
        <f>clean_data[[#This Row],[Profit]]/clean_data[[#This Row],[Revenue]]</f>
        <v>0.6</v>
      </c>
      <c r="T74" t="str" cm="1">
        <f t="array" ref="T74">_xlfn.IFS(clean_data[[#This Row],[Revenue]]&lt;300000,"Small",
     clean_data[[#This Row],[Revenue]]&lt;700000,"Medium",
     TRUE,"Large")</f>
        <v>Small</v>
      </c>
      <c r="U74" t="str" cm="1">
        <f t="array" ref="U74">_xlfn.IFS(clean_data[[#This Row],[profit margin%]]&lt;0.5,"Low Profit",
     clean_data[[#This Row],[profit margin%]]&lt;0.6,"Medium Profit",
     TRUE,"High Profit")</f>
        <v>High Profit</v>
      </c>
      <c r="V74" t="str">
        <f>TEXT(clean_data[[#This Row],[Date]],"mmm-yyyy")</f>
        <v>Jun-2024</v>
      </c>
      <c r="W74" s="8">
        <f>EOMONTH(clean_data[[#This Row],[Date]],-1)+1</f>
        <v>45444</v>
      </c>
    </row>
    <row r="75" spans="1:23" x14ac:dyDescent="0.3">
      <c r="A75" t="s">
        <v>147</v>
      </c>
      <c r="B75" s="1">
        <v>45104</v>
      </c>
      <c r="C75" t="s">
        <v>46</v>
      </c>
      <c r="D75" t="s">
        <v>47</v>
      </c>
      <c r="E75" t="s">
        <v>56</v>
      </c>
      <c r="F75" t="s">
        <v>20</v>
      </c>
      <c r="G75" t="s">
        <v>61</v>
      </c>
      <c r="H75">
        <v>39</v>
      </c>
      <c r="I75">
        <v>800</v>
      </c>
      <c r="J75">
        <v>20</v>
      </c>
      <c r="K75">
        <v>24960</v>
      </c>
      <c r="L75">
        <v>9984</v>
      </c>
      <c r="M75">
        <v>14976</v>
      </c>
      <c r="N75" t="s">
        <v>49</v>
      </c>
      <c r="O75" t="s">
        <v>35</v>
      </c>
      <c r="P75" t="s">
        <v>24</v>
      </c>
      <c r="Q75" t="str">
        <f>TEXT(clean_data[[#This Row],[Date]],"mmm")</f>
        <v>Jun</v>
      </c>
      <c r="R75">
        <f>YEAR(clean_data[[#This Row],[Date]])</f>
        <v>2023</v>
      </c>
      <c r="S75" s="2">
        <f>clean_data[[#This Row],[Profit]]/clean_data[[#This Row],[Revenue]]</f>
        <v>0.6</v>
      </c>
      <c r="T75" t="str" cm="1">
        <f t="array" ref="T75">_xlfn.IFS(clean_data[[#This Row],[Revenue]]&lt;300000,"Small",
     clean_data[[#This Row],[Revenue]]&lt;700000,"Medium",
     TRUE,"Large")</f>
        <v>Small</v>
      </c>
      <c r="U75" t="str" cm="1">
        <f t="array" ref="U75">_xlfn.IFS(clean_data[[#This Row],[profit margin%]]&lt;0.5,"Low Profit",
     clean_data[[#This Row],[profit margin%]]&lt;0.6,"Medium Profit",
     TRUE,"High Profit")</f>
        <v>High Profit</v>
      </c>
      <c r="V75" t="str">
        <f>TEXT(clean_data[[#This Row],[Date]],"mmm-yyyy")</f>
        <v>Jun-2023</v>
      </c>
      <c r="W75" s="8">
        <f>EOMONTH(clean_data[[#This Row],[Date]],-1)+1</f>
        <v>45078</v>
      </c>
    </row>
    <row r="76" spans="1:23" x14ac:dyDescent="0.3">
      <c r="A76" t="s">
        <v>148</v>
      </c>
      <c r="B76" s="1">
        <v>45466</v>
      </c>
      <c r="C76" t="s">
        <v>17</v>
      </c>
      <c r="D76" t="s">
        <v>42</v>
      </c>
      <c r="E76" t="s">
        <v>32</v>
      </c>
      <c r="F76" t="s">
        <v>33</v>
      </c>
      <c r="G76" t="s">
        <v>43</v>
      </c>
      <c r="H76">
        <v>35</v>
      </c>
      <c r="I76">
        <v>4000</v>
      </c>
      <c r="J76">
        <v>15</v>
      </c>
      <c r="K76">
        <v>119000</v>
      </c>
      <c r="L76">
        <v>59500</v>
      </c>
      <c r="M76">
        <v>59500</v>
      </c>
      <c r="N76" t="s">
        <v>30</v>
      </c>
      <c r="O76" t="s">
        <v>67</v>
      </c>
      <c r="P76" t="s">
        <v>24</v>
      </c>
      <c r="Q76" t="str">
        <f>TEXT(clean_data[[#This Row],[Date]],"mmm")</f>
        <v>Jun</v>
      </c>
      <c r="R76">
        <f>YEAR(clean_data[[#This Row],[Date]])</f>
        <v>2024</v>
      </c>
      <c r="S76" s="2">
        <f>clean_data[[#This Row],[Profit]]/clean_data[[#This Row],[Revenue]]</f>
        <v>0.5</v>
      </c>
      <c r="T76" t="str" cm="1">
        <f t="array" ref="T76">_xlfn.IFS(clean_data[[#This Row],[Revenue]]&lt;300000,"Small",
     clean_data[[#This Row],[Revenue]]&lt;700000,"Medium",
     TRUE,"Large")</f>
        <v>Small</v>
      </c>
      <c r="U76" t="str" cm="1">
        <f t="array" ref="U76">_xlfn.IFS(clean_data[[#This Row],[profit margin%]]&lt;0.5,"Low Profit",
     clean_data[[#This Row],[profit margin%]]&lt;0.6,"Medium Profit",
     TRUE,"High Profit")</f>
        <v>Medium Profit</v>
      </c>
      <c r="V76" t="str">
        <f>TEXT(clean_data[[#This Row],[Date]],"mmm-yyyy")</f>
        <v>Jun-2024</v>
      </c>
      <c r="W76" s="8">
        <f>EOMONTH(clean_data[[#This Row],[Date]],-1)+1</f>
        <v>45444</v>
      </c>
    </row>
    <row r="77" spans="1:23" x14ac:dyDescent="0.3">
      <c r="A77" t="s">
        <v>149</v>
      </c>
      <c r="B77" s="1">
        <v>44634</v>
      </c>
      <c r="C77" t="s">
        <v>17</v>
      </c>
      <c r="D77" t="s">
        <v>42</v>
      </c>
      <c r="E77" t="s">
        <v>73</v>
      </c>
      <c r="F77" t="s">
        <v>28</v>
      </c>
      <c r="G77" t="s">
        <v>95</v>
      </c>
      <c r="H77">
        <v>15</v>
      </c>
      <c r="I77">
        <v>75000</v>
      </c>
      <c r="J77">
        <v>20</v>
      </c>
      <c r="K77">
        <v>900000</v>
      </c>
      <c r="L77">
        <v>495000</v>
      </c>
      <c r="M77">
        <v>405000</v>
      </c>
      <c r="N77" t="s">
        <v>30</v>
      </c>
      <c r="O77" t="s">
        <v>50</v>
      </c>
      <c r="P77" t="s">
        <v>40</v>
      </c>
      <c r="Q77" t="str">
        <f>TEXT(clean_data[[#This Row],[Date]],"mmm")</f>
        <v>Mar</v>
      </c>
      <c r="R77">
        <f>YEAR(clean_data[[#This Row],[Date]])</f>
        <v>2022</v>
      </c>
      <c r="S77" s="2">
        <f>clean_data[[#This Row],[Profit]]/clean_data[[#This Row],[Revenue]]</f>
        <v>0.45</v>
      </c>
      <c r="T77" t="str" cm="1">
        <f t="array" ref="T77">_xlfn.IFS(clean_data[[#This Row],[Revenue]]&lt;300000,"Small",
     clean_data[[#This Row],[Revenue]]&lt;700000,"Medium",
     TRUE,"Large")</f>
        <v>Large</v>
      </c>
      <c r="U77" t="str" cm="1">
        <f t="array" ref="U77">_xlfn.IFS(clean_data[[#This Row],[profit margin%]]&lt;0.5,"Low Profit",
     clean_data[[#This Row],[profit margin%]]&lt;0.6,"Medium Profit",
     TRUE,"High Profit")</f>
        <v>Low Profit</v>
      </c>
      <c r="V77" t="str">
        <f>TEXT(clean_data[[#This Row],[Date]],"mmm-yyyy")</f>
        <v>Mar-2022</v>
      </c>
      <c r="W77" s="8">
        <f>EOMONTH(clean_data[[#This Row],[Date]],-1)+1</f>
        <v>44621</v>
      </c>
    </row>
    <row r="78" spans="1:23" x14ac:dyDescent="0.3">
      <c r="A78" t="s">
        <v>150</v>
      </c>
      <c r="B78" s="1">
        <v>44645</v>
      </c>
      <c r="C78" t="s">
        <v>46</v>
      </c>
      <c r="D78" t="s">
        <v>55</v>
      </c>
      <c r="E78" t="s">
        <v>111</v>
      </c>
      <c r="F78" t="s">
        <v>65</v>
      </c>
      <c r="G78" t="s">
        <v>124</v>
      </c>
      <c r="H78">
        <v>12</v>
      </c>
      <c r="I78">
        <v>18000</v>
      </c>
      <c r="J78">
        <v>20</v>
      </c>
      <c r="K78">
        <v>172800</v>
      </c>
      <c r="L78">
        <v>77760</v>
      </c>
      <c r="M78">
        <v>95040</v>
      </c>
      <c r="N78" t="s">
        <v>22</v>
      </c>
      <c r="O78" t="s">
        <v>23</v>
      </c>
      <c r="P78" t="s">
        <v>24</v>
      </c>
      <c r="Q78" t="str">
        <f>TEXT(clean_data[[#This Row],[Date]],"mmm")</f>
        <v>Mar</v>
      </c>
      <c r="R78">
        <f>YEAR(clean_data[[#This Row],[Date]])</f>
        <v>2022</v>
      </c>
      <c r="S78" s="2">
        <f>clean_data[[#This Row],[Profit]]/clean_data[[#This Row],[Revenue]]</f>
        <v>0.55000000000000004</v>
      </c>
      <c r="T78" t="str" cm="1">
        <f t="array" ref="T78">_xlfn.IFS(clean_data[[#This Row],[Revenue]]&lt;300000,"Small",
     clean_data[[#This Row],[Revenue]]&lt;700000,"Medium",
     TRUE,"Large")</f>
        <v>Small</v>
      </c>
      <c r="U78" t="str" cm="1">
        <f t="array" ref="U78">_xlfn.IFS(clean_data[[#This Row],[profit margin%]]&lt;0.5,"Low Profit",
     clean_data[[#This Row],[profit margin%]]&lt;0.6,"Medium Profit",
     TRUE,"High Profit")</f>
        <v>Medium Profit</v>
      </c>
      <c r="V78" t="str">
        <f>TEXT(clean_data[[#This Row],[Date]],"mmm-yyyy")</f>
        <v>Mar-2022</v>
      </c>
      <c r="W78" s="8">
        <f>EOMONTH(clean_data[[#This Row],[Date]],-1)+1</f>
        <v>44621</v>
      </c>
    </row>
    <row r="79" spans="1:23" x14ac:dyDescent="0.3">
      <c r="A79" t="s">
        <v>151</v>
      </c>
      <c r="B79" s="1">
        <v>44728</v>
      </c>
      <c r="C79" t="s">
        <v>17</v>
      </c>
      <c r="D79" t="s">
        <v>37</v>
      </c>
      <c r="E79" t="s">
        <v>70</v>
      </c>
      <c r="F79" t="s">
        <v>33</v>
      </c>
      <c r="G79" t="s">
        <v>39</v>
      </c>
      <c r="H79">
        <v>11</v>
      </c>
      <c r="I79">
        <v>5000</v>
      </c>
      <c r="J79">
        <v>10</v>
      </c>
      <c r="K79">
        <v>49500</v>
      </c>
      <c r="L79">
        <v>24750</v>
      </c>
      <c r="M79">
        <v>24750</v>
      </c>
      <c r="N79" t="s">
        <v>22</v>
      </c>
      <c r="O79" t="s">
        <v>23</v>
      </c>
      <c r="P79" t="s">
        <v>24</v>
      </c>
      <c r="Q79" t="str">
        <f>TEXT(clean_data[[#This Row],[Date]],"mmm")</f>
        <v>Jun</v>
      </c>
      <c r="R79">
        <f>YEAR(clean_data[[#This Row],[Date]])</f>
        <v>2022</v>
      </c>
      <c r="S79" s="2">
        <f>clean_data[[#This Row],[Profit]]/clean_data[[#This Row],[Revenue]]</f>
        <v>0.5</v>
      </c>
      <c r="T79" t="str" cm="1">
        <f t="array" ref="T79">_xlfn.IFS(clean_data[[#This Row],[Revenue]]&lt;300000,"Small",
     clean_data[[#This Row],[Revenue]]&lt;700000,"Medium",
     TRUE,"Large")</f>
        <v>Small</v>
      </c>
      <c r="U79" t="str" cm="1">
        <f t="array" ref="U79">_xlfn.IFS(clean_data[[#This Row],[profit margin%]]&lt;0.5,"Low Profit",
     clean_data[[#This Row],[profit margin%]]&lt;0.6,"Medium Profit",
     TRUE,"High Profit")</f>
        <v>Medium Profit</v>
      </c>
      <c r="V79" t="str">
        <f>TEXT(clean_data[[#This Row],[Date]],"mmm-yyyy")</f>
        <v>Jun-2022</v>
      </c>
      <c r="W79" s="8">
        <f>EOMONTH(clean_data[[#This Row],[Date]],-1)+1</f>
        <v>44713</v>
      </c>
    </row>
    <row r="80" spans="1:23" x14ac:dyDescent="0.3">
      <c r="A80" t="s">
        <v>152</v>
      </c>
      <c r="B80" s="1">
        <v>45129</v>
      </c>
      <c r="C80" t="s">
        <v>58</v>
      </c>
      <c r="D80" t="s">
        <v>64</v>
      </c>
      <c r="E80" t="s">
        <v>56</v>
      </c>
      <c r="F80" t="s">
        <v>65</v>
      </c>
      <c r="G80" t="s">
        <v>117</v>
      </c>
      <c r="H80">
        <v>21</v>
      </c>
      <c r="I80">
        <v>1200</v>
      </c>
      <c r="J80">
        <v>10</v>
      </c>
      <c r="K80">
        <v>22680</v>
      </c>
      <c r="L80">
        <v>10206</v>
      </c>
      <c r="M80">
        <v>12474</v>
      </c>
      <c r="N80" t="s">
        <v>30</v>
      </c>
      <c r="O80" t="s">
        <v>23</v>
      </c>
      <c r="P80" t="s">
        <v>24</v>
      </c>
      <c r="Q80" t="str">
        <f>TEXT(clean_data[[#This Row],[Date]],"mmm")</f>
        <v>Jul</v>
      </c>
      <c r="R80">
        <f>YEAR(clean_data[[#This Row],[Date]])</f>
        <v>2023</v>
      </c>
      <c r="S80" s="2">
        <f>clean_data[[#This Row],[Profit]]/clean_data[[#This Row],[Revenue]]</f>
        <v>0.55000000000000004</v>
      </c>
      <c r="T80" t="str" cm="1">
        <f t="array" ref="T80">_xlfn.IFS(clean_data[[#This Row],[Revenue]]&lt;300000,"Small",
     clean_data[[#This Row],[Revenue]]&lt;700000,"Medium",
     TRUE,"Large")</f>
        <v>Small</v>
      </c>
      <c r="U80" t="str" cm="1">
        <f t="array" ref="U80">_xlfn.IFS(clean_data[[#This Row],[profit margin%]]&lt;0.5,"Low Profit",
     clean_data[[#This Row],[profit margin%]]&lt;0.6,"Medium Profit",
     TRUE,"High Profit")</f>
        <v>Medium Profit</v>
      </c>
      <c r="V80" t="str">
        <f>TEXT(clean_data[[#This Row],[Date]],"mmm-yyyy")</f>
        <v>Jul-2023</v>
      </c>
      <c r="W80" s="8">
        <f>EOMONTH(clean_data[[#This Row],[Date]],-1)+1</f>
        <v>45108</v>
      </c>
    </row>
    <row r="81" spans="1:23" x14ac:dyDescent="0.3">
      <c r="A81" t="s">
        <v>153</v>
      </c>
      <c r="B81" s="1">
        <v>45562</v>
      </c>
      <c r="C81" t="s">
        <v>26</v>
      </c>
      <c r="D81" t="s">
        <v>69</v>
      </c>
      <c r="E81" t="s">
        <v>32</v>
      </c>
      <c r="F81" t="s">
        <v>28</v>
      </c>
      <c r="G81" t="s">
        <v>87</v>
      </c>
      <c r="H81">
        <v>34</v>
      </c>
      <c r="I81">
        <v>45000</v>
      </c>
      <c r="J81">
        <v>10</v>
      </c>
      <c r="K81">
        <v>1377000</v>
      </c>
      <c r="L81">
        <v>757350</v>
      </c>
      <c r="M81">
        <v>619650</v>
      </c>
      <c r="N81" t="s">
        <v>49</v>
      </c>
      <c r="O81" t="s">
        <v>23</v>
      </c>
      <c r="P81" t="s">
        <v>40</v>
      </c>
      <c r="Q81" t="str">
        <f>TEXT(clean_data[[#This Row],[Date]],"mmm")</f>
        <v>Sep</v>
      </c>
      <c r="R81">
        <f>YEAR(clean_data[[#This Row],[Date]])</f>
        <v>2024</v>
      </c>
      <c r="S81" s="2">
        <f>clean_data[[#This Row],[Profit]]/clean_data[[#This Row],[Revenue]]</f>
        <v>0.45</v>
      </c>
      <c r="T81" t="str" cm="1">
        <f t="array" ref="T81">_xlfn.IFS(clean_data[[#This Row],[Revenue]]&lt;300000,"Small",
     clean_data[[#This Row],[Revenue]]&lt;700000,"Medium",
     TRUE,"Large")</f>
        <v>Large</v>
      </c>
      <c r="U81" t="str" cm="1">
        <f t="array" ref="U81">_xlfn.IFS(clean_data[[#This Row],[profit margin%]]&lt;0.5,"Low Profit",
     clean_data[[#This Row],[profit margin%]]&lt;0.6,"Medium Profit",
     TRUE,"High Profit")</f>
        <v>Low Profit</v>
      </c>
      <c r="V81" t="str">
        <f>TEXT(clean_data[[#This Row],[Date]],"mmm-yyyy")</f>
        <v>Sep-2024</v>
      </c>
      <c r="W81" s="8">
        <f>EOMONTH(clean_data[[#This Row],[Date]],-1)+1</f>
        <v>45536</v>
      </c>
    </row>
    <row r="82" spans="1:23" x14ac:dyDescent="0.3">
      <c r="A82" t="s">
        <v>154</v>
      </c>
      <c r="B82" s="1">
        <v>44658</v>
      </c>
      <c r="C82" t="s">
        <v>17</v>
      </c>
      <c r="D82" t="s">
        <v>42</v>
      </c>
      <c r="E82" t="s">
        <v>78</v>
      </c>
      <c r="F82" t="s">
        <v>33</v>
      </c>
      <c r="G82" t="s">
        <v>48</v>
      </c>
      <c r="H82">
        <v>45</v>
      </c>
      <c r="I82">
        <v>1500</v>
      </c>
      <c r="J82">
        <v>15</v>
      </c>
      <c r="K82">
        <v>57375</v>
      </c>
      <c r="L82">
        <v>28687.5</v>
      </c>
      <c r="M82">
        <v>28687.5</v>
      </c>
      <c r="N82" t="s">
        <v>30</v>
      </c>
      <c r="O82" t="s">
        <v>67</v>
      </c>
      <c r="P82" t="s">
        <v>24</v>
      </c>
      <c r="Q82" t="str">
        <f>TEXT(clean_data[[#This Row],[Date]],"mmm")</f>
        <v>Apr</v>
      </c>
      <c r="R82">
        <f>YEAR(clean_data[[#This Row],[Date]])</f>
        <v>2022</v>
      </c>
      <c r="S82" s="2">
        <f>clean_data[[#This Row],[Profit]]/clean_data[[#This Row],[Revenue]]</f>
        <v>0.5</v>
      </c>
      <c r="T82" t="str" cm="1">
        <f t="array" ref="T82">_xlfn.IFS(clean_data[[#This Row],[Revenue]]&lt;300000,"Small",
     clean_data[[#This Row],[Revenue]]&lt;700000,"Medium",
     TRUE,"Large")</f>
        <v>Small</v>
      </c>
      <c r="U82" t="str" cm="1">
        <f t="array" ref="U82">_xlfn.IFS(clean_data[[#This Row],[profit margin%]]&lt;0.5,"Low Profit",
     clean_data[[#This Row],[profit margin%]]&lt;0.6,"Medium Profit",
     TRUE,"High Profit")</f>
        <v>Medium Profit</v>
      </c>
      <c r="V82" t="str">
        <f>TEXT(clean_data[[#This Row],[Date]],"mmm-yyyy")</f>
        <v>Apr-2022</v>
      </c>
      <c r="W82" s="8">
        <f>EOMONTH(clean_data[[#This Row],[Date]],-1)+1</f>
        <v>44652</v>
      </c>
    </row>
    <row r="83" spans="1:23" x14ac:dyDescent="0.3">
      <c r="A83" t="s">
        <v>155</v>
      </c>
      <c r="B83" s="1">
        <v>45039</v>
      </c>
      <c r="C83" t="s">
        <v>46</v>
      </c>
      <c r="D83" t="s">
        <v>55</v>
      </c>
      <c r="E83" t="s">
        <v>111</v>
      </c>
      <c r="F83" t="s">
        <v>28</v>
      </c>
      <c r="G83" t="s">
        <v>29</v>
      </c>
      <c r="H83">
        <v>27</v>
      </c>
      <c r="I83">
        <v>15000</v>
      </c>
      <c r="J83">
        <v>0</v>
      </c>
      <c r="K83">
        <v>405000</v>
      </c>
      <c r="L83">
        <v>222750</v>
      </c>
      <c r="M83">
        <v>182250</v>
      </c>
      <c r="N83" t="s">
        <v>30</v>
      </c>
      <c r="O83" t="s">
        <v>23</v>
      </c>
      <c r="P83" t="s">
        <v>24</v>
      </c>
      <c r="Q83" t="str">
        <f>TEXT(clean_data[[#This Row],[Date]],"mmm")</f>
        <v>Apr</v>
      </c>
      <c r="R83">
        <f>YEAR(clean_data[[#This Row],[Date]])</f>
        <v>2023</v>
      </c>
      <c r="S83" s="2">
        <f>clean_data[[#This Row],[Profit]]/clean_data[[#This Row],[Revenue]]</f>
        <v>0.45</v>
      </c>
      <c r="T83" t="str" cm="1">
        <f t="array" ref="T83">_xlfn.IFS(clean_data[[#This Row],[Revenue]]&lt;300000,"Small",
     clean_data[[#This Row],[Revenue]]&lt;700000,"Medium",
     TRUE,"Large")</f>
        <v>Medium</v>
      </c>
      <c r="U83" t="str" cm="1">
        <f t="array" ref="U83">_xlfn.IFS(clean_data[[#This Row],[profit margin%]]&lt;0.5,"Low Profit",
     clean_data[[#This Row],[profit margin%]]&lt;0.6,"Medium Profit",
     TRUE,"High Profit")</f>
        <v>Low Profit</v>
      </c>
      <c r="V83" t="str">
        <f>TEXT(clean_data[[#This Row],[Date]],"mmm-yyyy")</f>
        <v>Apr-2023</v>
      </c>
      <c r="W83" s="8">
        <f>EOMONTH(clean_data[[#This Row],[Date]],-1)+1</f>
        <v>45017</v>
      </c>
    </row>
    <row r="84" spans="1:23" x14ac:dyDescent="0.3">
      <c r="A84" t="s">
        <v>156</v>
      </c>
      <c r="B84" s="1">
        <v>44794</v>
      </c>
      <c r="C84" t="s">
        <v>46</v>
      </c>
      <c r="D84" t="s">
        <v>55</v>
      </c>
      <c r="E84" t="s">
        <v>73</v>
      </c>
      <c r="F84" t="s">
        <v>33</v>
      </c>
      <c r="G84" t="s">
        <v>48</v>
      </c>
      <c r="H84">
        <v>31</v>
      </c>
      <c r="I84">
        <v>1500</v>
      </c>
      <c r="J84">
        <v>15</v>
      </c>
      <c r="K84">
        <v>39525</v>
      </c>
      <c r="L84">
        <v>19762.5</v>
      </c>
      <c r="M84">
        <v>19762.5</v>
      </c>
      <c r="N84" t="s">
        <v>49</v>
      </c>
      <c r="O84" t="s">
        <v>67</v>
      </c>
      <c r="P84" t="s">
        <v>24</v>
      </c>
      <c r="Q84" t="str">
        <f>TEXT(clean_data[[#This Row],[Date]],"mmm")</f>
        <v>Aug</v>
      </c>
      <c r="R84">
        <f>YEAR(clean_data[[#This Row],[Date]])</f>
        <v>2022</v>
      </c>
      <c r="S84" s="2">
        <f>clean_data[[#This Row],[Profit]]/clean_data[[#This Row],[Revenue]]</f>
        <v>0.5</v>
      </c>
      <c r="T84" t="str" cm="1">
        <f t="array" ref="T84">_xlfn.IFS(clean_data[[#This Row],[Revenue]]&lt;300000,"Small",
     clean_data[[#This Row],[Revenue]]&lt;700000,"Medium",
     TRUE,"Large")</f>
        <v>Small</v>
      </c>
      <c r="U84" t="str" cm="1">
        <f t="array" ref="U84">_xlfn.IFS(clean_data[[#This Row],[profit margin%]]&lt;0.5,"Low Profit",
     clean_data[[#This Row],[profit margin%]]&lt;0.6,"Medium Profit",
     TRUE,"High Profit")</f>
        <v>Medium Profit</v>
      </c>
      <c r="V84" t="str">
        <f>TEXT(clean_data[[#This Row],[Date]],"mmm-yyyy")</f>
        <v>Aug-2022</v>
      </c>
      <c r="W84" s="8">
        <f>EOMONTH(clean_data[[#This Row],[Date]],-1)+1</f>
        <v>44774</v>
      </c>
    </row>
    <row r="85" spans="1:23" x14ac:dyDescent="0.3">
      <c r="A85" t="s">
        <v>157</v>
      </c>
      <c r="B85" s="1">
        <v>44847</v>
      </c>
      <c r="C85" t="s">
        <v>46</v>
      </c>
      <c r="D85" t="s">
        <v>47</v>
      </c>
      <c r="E85" t="s">
        <v>52</v>
      </c>
      <c r="F85" t="s">
        <v>33</v>
      </c>
      <c r="G85" t="s">
        <v>48</v>
      </c>
      <c r="H85">
        <v>22</v>
      </c>
      <c r="I85">
        <v>1500</v>
      </c>
      <c r="J85">
        <v>20</v>
      </c>
      <c r="K85">
        <v>26400</v>
      </c>
      <c r="L85">
        <v>13200</v>
      </c>
      <c r="M85">
        <v>13200</v>
      </c>
      <c r="N85" t="s">
        <v>30</v>
      </c>
      <c r="O85" t="s">
        <v>50</v>
      </c>
      <c r="P85" t="s">
        <v>24</v>
      </c>
      <c r="Q85" t="str">
        <f>TEXT(clean_data[[#This Row],[Date]],"mmm")</f>
        <v>Oct</v>
      </c>
      <c r="R85">
        <f>YEAR(clean_data[[#This Row],[Date]])</f>
        <v>2022</v>
      </c>
      <c r="S85" s="2">
        <f>clean_data[[#This Row],[Profit]]/clean_data[[#This Row],[Revenue]]</f>
        <v>0.5</v>
      </c>
      <c r="T85" t="str" cm="1">
        <f t="array" ref="T85">_xlfn.IFS(clean_data[[#This Row],[Revenue]]&lt;300000,"Small",
     clean_data[[#This Row],[Revenue]]&lt;700000,"Medium",
     TRUE,"Large")</f>
        <v>Small</v>
      </c>
      <c r="U85" t="str" cm="1">
        <f t="array" ref="U85">_xlfn.IFS(clean_data[[#This Row],[profit margin%]]&lt;0.5,"Low Profit",
     clean_data[[#This Row],[profit margin%]]&lt;0.6,"Medium Profit",
     TRUE,"High Profit")</f>
        <v>Medium Profit</v>
      </c>
      <c r="V85" t="str">
        <f>TEXT(clean_data[[#This Row],[Date]],"mmm-yyyy")</f>
        <v>Oct-2022</v>
      </c>
      <c r="W85" s="8">
        <f>EOMONTH(clean_data[[#This Row],[Date]],-1)+1</f>
        <v>44835</v>
      </c>
    </row>
    <row r="86" spans="1:23" x14ac:dyDescent="0.3">
      <c r="A86" t="s">
        <v>158</v>
      </c>
      <c r="B86" s="1">
        <v>45165</v>
      </c>
      <c r="C86" t="s">
        <v>58</v>
      </c>
      <c r="D86" t="s">
        <v>84</v>
      </c>
      <c r="E86" t="s">
        <v>60</v>
      </c>
      <c r="F86" t="s">
        <v>65</v>
      </c>
      <c r="G86" t="s">
        <v>124</v>
      </c>
      <c r="H86">
        <v>22</v>
      </c>
      <c r="I86">
        <v>18000</v>
      </c>
      <c r="J86">
        <v>20</v>
      </c>
      <c r="K86">
        <v>316800</v>
      </c>
      <c r="L86">
        <v>142560</v>
      </c>
      <c r="M86">
        <v>174240</v>
      </c>
      <c r="N86" t="s">
        <v>49</v>
      </c>
      <c r="O86" t="s">
        <v>23</v>
      </c>
      <c r="P86" t="s">
        <v>40</v>
      </c>
      <c r="Q86" t="str">
        <f>TEXT(clean_data[[#This Row],[Date]],"mmm")</f>
        <v>Aug</v>
      </c>
      <c r="R86">
        <f>YEAR(clean_data[[#This Row],[Date]])</f>
        <v>2023</v>
      </c>
      <c r="S86" s="2">
        <f>clean_data[[#This Row],[Profit]]/clean_data[[#This Row],[Revenue]]</f>
        <v>0.55000000000000004</v>
      </c>
      <c r="T86" t="str" cm="1">
        <f t="array" ref="T86">_xlfn.IFS(clean_data[[#This Row],[Revenue]]&lt;300000,"Small",
     clean_data[[#This Row],[Revenue]]&lt;700000,"Medium",
     TRUE,"Large")</f>
        <v>Medium</v>
      </c>
      <c r="U86" t="str" cm="1">
        <f t="array" ref="U86">_xlfn.IFS(clean_data[[#This Row],[profit margin%]]&lt;0.5,"Low Profit",
     clean_data[[#This Row],[profit margin%]]&lt;0.6,"Medium Profit",
     TRUE,"High Profit")</f>
        <v>Medium Profit</v>
      </c>
      <c r="V86" t="str">
        <f>TEXT(clean_data[[#This Row],[Date]],"mmm-yyyy")</f>
        <v>Aug-2023</v>
      </c>
      <c r="W86" s="8">
        <f>EOMONTH(clean_data[[#This Row],[Date]],-1)+1</f>
        <v>45139</v>
      </c>
    </row>
    <row r="87" spans="1:23" x14ac:dyDescent="0.3">
      <c r="A87" t="s">
        <v>159</v>
      </c>
      <c r="B87" s="1">
        <v>45197</v>
      </c>
      <c r="C87" t="s">
        <v>46</v>
      </c>
      <c r="D87" t="s">
        <v>47</v>
      </c>
      <c r="E87" t="s">
        <v>38</v>
      </c>
      <c r="F87" t="s">
        <v>65</v>
      </c>
      <c r="G87" t="s">
        <v>104</v>
      </c>
      <c r="H87">
        <v>50</v>
      </c>
      <c r="I87">
        <v>3000</v>
      </c>
      <c r="J87">
        <v>15</v>
      </c>
      <c r="K87">
        <v>127500</v>
      </c>
      <c r="L87">
        <v>57375</v>
      </c>
      <c r="M87">
        <v>70125</v>
      </c>
      <c r="N87" t="s">
        <v>49</v>
      </c>
      <c r="O87" t="s">
        <v>23</v>
      </c>
      <c r="P87" t="s">
        <v>24</v>
      </c>
      <c r="Q87" t="str">
        <f>TEXT(clean_data[[#This Row],[Date]],"mmm")</f>
        <v>Sep</v>
      </c>
      <c r="R87">
        <f>YEAR(clean_data[[#This Row],[Date]])</f>
        <v>2023</v>
      </c>
      <c r="S87" s="2">
        <f>clean_data[[#This Row],[Profit]]/clean_data[[#This Row],[Revenue]]</f>
        <v>0.55000000000000004</v>
      </c>
      <c r="T87" t="str" cm="1">
        <f t="array" ref="T87">_xlfn.IFS(clean_data[[#This Row],[Revenue]]&lt;300000,"Small",
     clean_data[[#This Row],[Revenue]]&lt;700000,"Medium",
     TRUE,"Large")</f>
        <v>Small</v>
      </c>
      <c r="U87" t="str" cm="1">
        <f t="array" ref="U87">_xlfn.IFS(clean_data[[#This Row],[profit margin%]]&lt;0.5,"Low Profit",
     clean_data[[#This Row],[profit margin%]]&lt;0.6,"Medium Profit",
     TRUE,"High Profit")</f>
        <v>Medium Profit</v>
      </c>
      <c r="V87" t="str">
        <f>TEXT(clean_data[[#This Row],[Date]],"mmm-yyyy")</f>
        <v>Sep-2023</v>
      </c>
      <c r="W87" s="8">
        <f>EOMONTH(clean_data[[#This Row],[Date]],-1)+1</f>
        <v>45170</v>
      </c>
    </row>
    <row r="88" spans="1:23" x14ac:dyDescent="0.3">
      <c r="A88" t="s">
        <v>160</v>
      </c>
      <c r="B88" s="1">
        <v>45304</v>
      </c>
      <c r="C88" t="s">
        <v>46</v>
      </c>
      <c r="D88" t="s">
        <v>55</v>
      </c>
      <c r="E88" t="s">
        <v>56</v>
      </c>
      <c r="F88" t="s">
        <v>20</v>
      </c>
      <c r="G88" t="s">
        <v>53</v>
      </c>
      <c r="H88">
        <v>38</v>
      </c>
      <c r="I88">
        <v>600</v>
      </c>
      <c r="J88">
        <v>10</v>
      </c>
      <c r="K88">
        <v>20520</v>
      </c>
      <c r="L88">
        <v>8208</v>
      </c>
      <c r="M88">
        <v>12312</v>
      </c>
      <c r="N88" t="s">
        <v>49</v>
      </c>
      <c r="O88" t="s">
        <v>35</v>
      </c>
      <c r="P88" t="s">
        <v>24</v>
      </c>
      <c r="Q88" t="str">
        <f>TEXT(clean_data[[#This Row],[Date]],"mmm")</f>
        <v>Jan</v>
      </c>
      <c r="R88">
        <f>YEAR(clean_data[[#This Row],[Date]])</f>
        <v>2024</v>
      </c>
      <c r="S88" s="2">
        <f>clean_data[[#This Row],[Profit]]/clean_data[[#This Row],[Revenue]]</f>
        <v>0.6</v>
      </c>
      <c r="T88" t="str" cm="1">
        <f t="array" ref="T88">_xlfn.IFS(clean_data[[#This Row],[Revenue]]&lt;300000,"Small",
     clean_data[[#This Row],[Revenue]]&lt;700000,"Medium",
     TRUE,"Large")</f>
        <v>Small</v>
      </c>
      <c r="U88" t="str" cm="1">
        <f t="array" ref="U88">_xlfn.IFS(clean_data[[#This Row],[profit margin%]]&lt;0.5,"Low Profit",
     clean_data[[#This Row],[profit margin%]]&lt;0.6,"Medium Profit",
     TRUE,"High Profit")</f>
        <v>High Profit</v>
      </c>
      <c r="V88" t="str">
        <f>TEXT(clean_data[[#This Row],[Date]],"mmm-yyyy")</f>
        <v>Jan-2024</v>
      </c>
      <c r="W88" s="8">
        <f>EOMONTH(clean_data[[#This Row],[Date]],-1)+1</f>
        <v>45292</v>
      </c>
    </row>
    <row r="89" spans="1:23" x14ac:dyDescent="0.3">
      <c r="A89" t="s">
        <v>161</v>
      </c>
      <c r="B89" s="1">
        <v>45580</v>
      </c>
      <c r="C89" t="s">
        <v>26</v>
      </c>
      <c r="D89" t="s">
        <v>27</v>
      </c>
      <c r="E89" t="s">
        <v>32</v>
      </c>
      <c r="F89" t="s">
        <v>20</v>
      </c>
      <c r="G89" t="s">
        <v>21</v>
      </c>
      <c r="H89">
        <v>31</v>
      </c>
      <c r="I89">
        <v>3500</v>
      </c>
      <c r="J89">
        <v>10</v>
      </c>
      <c r="K89">
        <v>97650</v>
      </c>
      <c r="L89">
        <v>39060</v>
      </c>
      <c r="M89">
        <v>58590</v>
      </c>
      <c r="N89" t="s">
        <v>22</v>
      </c>
      <c r="O89" t="s">
        <v>23</v>
      </c>
      <c r="P89" t="s">
        <v>24</v>
      </c>
      <c r="Q89" t="str">
        <f>TEXT(clean_data[[#This Row],[Date]],"mmm")</f>
        <v>Oct</v>
      </c>
      <c r="R89">
        <f>YEAR(clean_data[[#This Row],[Date]])</f>
        <v>2024</v>
      </c>
      <c r="S89" s="2">
        <f>clean_data[[#This Row],[Profit]]/clean_data[[#This Row],[Revenue]]</f>
        <v>0.6</v>
      </c>
      <c r="T89" t="str" cm="1">
        <f t="array" ref="T89">_xlfn.IFS(clean_data[[#This Row],[Revenue]]&lt;300000,"Small",
     clean_data[[#This Row],[Revenue]]&lt;700000,"Medium",
     TRUE,"Large")</f>
        <v>Small</v>
      </c>
      <c r="U89" t="str" cm="1">
        <f t="array" ref="U89">_xlfn.IFS(clean_data[[#This Row],[profit margin%]]&lt;0.5,"Low Profit",
     clean_data[[#This Row],[profit margin%]]&lt;0.6,"Medium Profit",
     TRUE,"High Profit")</f>
        <v>High Profit</v>
      </c>
      <c r="V89" t="str">
        <f>TEXT(clean_data[[#This Row],[Date]],"mmm-yyyy")</f>
        <v>Oct-2024</v>
      </c>
      <c r="W89" s="8">
        <f>EOMONTH(clean_data[[#This Row],[Date]],-1)+1</f>
        <v>45566</v>
      </c>
    </row>
    <row r="90" spans="1:23" x14ac:dyDescent="0.3">
      <c r="A90" t="s">
        <v>162</v>
      </c>
      <c r="B90" s="1">
        <v>44740</v>
      </c>
      <c r="C90" t="s">
        <v>17</v>
      </c>
      <c r="D90" t="s">
        <v>42</v>
      </c>
      <c r="E90" t="s">
        <v>111</v>
      </c>
      <c r="F90" t="s">
        <v>65</v>
      </c>
      <c r="G90" t="s">
        <v>124</v>
      </c>
      <c r="H90">
        <v>41</v>
      </c>
      <c r="I90">
        <v>18000</v>
      </c>
      <c r="J90">
        <v>15</v>
      </c>
      <c r="K90">
        <v>627300</v>
      </c>
      <c r="L90">
        <v>282285</v>
      </c>
      <c r="M90">
        <v>345015</v>
      </c>
      <c r="N90" t="s">
        <v>30</v>
      </c>
      <c r="O90" t="s">
        <v>67</v>
      </c>
      <c r="P90" t="s">
        <v>40</v>
      </c>
      <c r="Q90" t="str">
        <f>TEXT(clean_data[[#This Row],[Date]],"mmm")</f>
        <v>Jun</v>
      </c>
      <c r="R90">
        <f>YEAR(clean_data[[#This Row],[Date]])</f>
        <v>2022</v>
      </c>
      <c r="S90" s="2">
        <f>clean_data[[#This Row],[Profit]]/clean_data[[#This Row],[Revenue]]</f>
        <v>0.55000000000000004</v>
      </c>
      <c r="T90" t="str" cm="1">
        <f t="array" ref="T90">_xlfn.IFS(clean_data[[#This Row],[Revenue]]&lt;300000,"Small",
     clean_data[[#This Row],[Revenue]]&lt;700000,"Medium",
     TRUE,"Large")</f>
        <v>Medium</v>
      </c>
      <c r="U90" t="str" cm="1">
        <f t="array" ref="U90">_xlfn.IFS(clean_data[[#This Row],[profit margin%]]&lt;0.5,"Low Profit",
     clean_data[[#This Row],[profit margin%]]&lt;0.6,"Medium Profit",
     TRUE,"High Profit")</f>
        <v>Medium Profit</v>
      </c>
      <c r="V90" t="str">
        <f>TEXT(clean_data[[#This Row],[Date]],"mmm-yyyy")</f>
        <v>Jun-2022</v>
      </c>
      <c r="W90" s="8">
        <f>EOMONTH(clean_data[[#This Row],[Date]],-1)+1</f>
        <v>44713</v>
      </c>
    </row>
    <row r="91" spans="1:23" x14ac:dyDescent="0.3">
      <c r="A91" t="s">
        <v>163</v>
      </c>
      <c r="B91" s="1">
        <v>44689</v>
      </c>
      <c r="C91" t="s">
        <v>17</v>
      </c>
      <c r="D91" t="s">
        <v>18</v>
      </c>
      <c r="E91" t="s">
        <v>52</v>
      </c>
      <c r="F91" t="s">
        <v>65</v>
      </c>
      <c r="G91" t="s">
        <v>117</v>
      </c>
      <c r="H91">
        <v>49</v>
      </c>
      <c r="I91">
        <v>1200</v>
      </c>
      <c r="J91">
        <v>0</v>
      </c>
      <c r="K91">
        <v>58800</v>
      </c>
      <c r="L91">
        <v>26460</v>
      </c>
      <c r="M91">
        <v>32340</v>
      </c>
      <c r="N91" t="s">
        <v>30</v>
      </c>
      <c r="O91" t="s">
        <v>50</v>
      </c>
      <c r="P91" t="s">
        <v>24</v>
      </c>
      <c r="Q91" t="str">
        <f>TEXT(clean_data[[#This Row],[Date]],"mmm")</f>
        <v>May</v>
      </c>
      <c r="R91">
        <f>YEAR(clean_data[[#This Row],[Date]])</f>
        <v>2022</v>
      </c>
      <c r="S91" s="2">
        <f>clean_data[[#This Row],[Profit]]/clean_data[[#This Row],[Revenue]]</f>
        <v>0.55000000000000004</v>
      </c>
      <c r="T91" t="str" cm="1">
        <f t="array" ref="T91">_xlfn.IFS(clean_data[[#This Row],[Revenue]]&lt;300000,"Small",
     clean_data[[#This Row],[Revenue]]&lt;700000,"Medium",
     TRUE,"Large")</f>
        <v>Small</v>
      </c>
      <c r="U91" t="str" cm="1">
        <f t="array" ref="U91">_xlfn.IFS(clean_data[[#This Row],[profit margin%]]&lt;0.5,"Low Profit",
     clean_data[[#This Row],[profit margin%]]&lt;0.6,"Medium Profit",
     TRUE,"High Profit")</f>
        <v>Medium Profit</v>
      </c>
      <c r="V91" t="str">
        <f>TEXT(clean_data[[#This Row],[Date]],"mmm-yyyy")</f>
        <v>May-2022</v>
      </c>
      <c r="W91" s="8">
        <f>EOMONTH(clean_data[[#This Row],[Date]],-1)+1</f>
        <v>44682</v>
      </c>
    </row>
    <row r="92" spans="1:23" x14ac:dyDescent="0.3">
      <c r="A92" t="s">
        <v>164</v>
      </c>
      <c r="B92" s="1">
        <v>44594</v>
      </c>
      <c r="C92" t="s">
        <v>17</v>
      </c>
      <c r="D92" t="s">
        <v>18</v>
      </c>
      <c r="E92" t="s">
        <v>73</v>
      </c>
      <c r="F92" t="s">
        <v>33</v>
      </c>
      <c r="G92" t="s">
        <v>34</v>
      </c>
      <c r="H92">
        <v>28</v>
      </c>
      <c r="I92">
        <v>25000</v>
      </c>
      <c r="J92">
        <v>5</v>
      </c>
      <c r="K92">
        <v>665000</v>
      </c>
      <c r="L92">
        <v>332500</v>
      </c>
      <c r="M92">
        <v>332500</v>
      </c>
      <c r="N92" t="s">
        <v>22</v>
      </c>
      <c r="O92" t="s">
        <v>23</v>
      </c>
      <c r="P92" t="s">
        <v>24</v>
      </c>
      <c r="Q92" t="str">
        <f>TEXT(clean_data[[#This Row],[Date]],"mmm")</f>
        <v>Feb</v>
      </c>
      <c r="R92">
        <f>YEAR(clean_data[[#This Row],[Date]])</f>
        <v>2022</v>
      </c>
      <c r="S92" s="2">
        <f>clean_data[[#This Row],[Profit]]/clean_data[[#This Row],[Revenue]]</f>
        <v>0.5</v>
      </c>
      <c r="T92" t="str" cm="1">
        <f t="array" ref="T92">_xlfn.IFS(clean_data[[#This Row],[Revenue]]&lt;300000,"Small",
     clean_data[[#This Row],[Revenue]]&lt;700000,"Medium",
     TRUE,"Large")</f>
        <v>Medium</v>
      </c>
      <c r="U92" t="str" cm="1">
        <f t="array" ref="U92">_xlfn.IFS(clean_data[[#This Row],[profit margin%]]&lt;0.5,"Low Profit",
     clean_data[[#This Row],[profit margin%]]&lt;0.6,"Medium Profit",
     TRUE,"High Profit")</f>
        <v>Medium Profit</v>
      </c>
      <c r="V92" t="str">
        <f>TEXT(clean_data[[#This Row],[Date]],"mmm-yyyy")</f>
        <v>Feb-2022</v>
      </c>
      <c r="W92" s="8">
        <f>EOMONTH(clean_data[[#This Row],[Date]],-1)+1</f>
        <v>44593</v>
      </c>
    </row>
    <row r="93" spans="1:23" x14ac:dyDescent="0.3">
      <c r="A93" t="s">
        <v>165</v>
      </c>
      <c r="B93" s="1">
        <v>44901</v>
      </c>
      <c r="C93" t="s">
        <v>46</v>
      </c>
      <c r="D93" t="s">
        <v>47</v>
      </c>
      <c r="E93" t="s">
        <v>38</v>
      </c>
      <c r="F93" t="s">
        <v>65</v>
      </c>
      <c r="G93" t="s">
        <v>79</v>
      </c>
      <c r="H93">
        <v>44</v>
      </c>
      <c r="I93">
        <v>900</v>
      </c>
      <c r="J93">
        <v>5</v>
      </c>
      <c r="K93">
        <v>37620</v>
      </c>
      <c r="L93">
        <v>16929</v>
      </c>
      <c r="M93">
        <v>20691</v>
      </c>
      <c r="N93" t="s">
        <v>22</v>
      </c>
      <c r="O93" t="s">
        <v>44</v>
      </c>
      <c r="P93" t="s">
        <v>24</v>
      </c>
      <c r="Q93" t="str">
        <f>TEXT(clean_data[[#This Row],[Date]],"mmm")</f>
        <v>Dec</v>
      </c>
      <c r="R93">
        <f>YEAR(clean_data[[#This Row],[Date]])</f>
        <v>2022</v>
      </c>
      <c r="S93" s="2">
        <f>clean_data[[#This Row],[Profit]]/clean_data[[#This Row],[Revenue]]</f>
        <v>0.55000000000000004</v>
      </c>
      <c r="T93" t="str" cm="1">
        <f t="array" ref="T93">_xlfn.IFS(clean_data[[#This Row],[Revenue]]&lt;300000,"Small",
     clean_data[[#This Row],[Revenue]]&lt;700000,"Medium",
     TRUE,"Large")</f>
        <v>Small</v>
      </c>
      <c r="U93" t="str" cm="1">
        <f t="array" ref="U93">_xlfn.IFS(clean_data[[#This Row],[profit margin%]]&lt;0.5,"Low Profit",
     clean_data[[#This Row],[profit margin%]]&lt;0.6,"Medium Profit",
     TRUE,"High Profit")</f>
        <v>Medium Profit</v>
      </c>
      <c r="V93" t="str">
        <f>TEXT(clean_data[[#This Row],[Date]],"mmm-yyyy")</f>
        <v>Dec-2022</v>
      </c>
      <c r="W93" s="8">
        <f>EOMONTH(clean_data[[#This Row],[Date]],-1)+1</f>
        <v>44896</v>
      </c>
    </row>
    <row r="94" spans="1:23" x14ac:dyDescent="0.3">
      <c r="A94" t="s">
        <v>166</v>
      </c>
      <c r="B94" s="1">
        <v>45000</v>
      </c>
      <c r="C94" t="s">
        <v>17</v>
      </c>
      <c r="D94" t="s">
        <v>37</v>
      </c>
      <c r="E94" t="s">
        <v>73</v>
      </c>
      <c r="F94" t="s">
        <v>28</v>
      </c>
      <c r="G94" t="s">
        <v>85</v>
      </c>
      <c r="H94">
        <v>19</v>
      </c>
      <c r="I94">
        <v>8000</v>
      </c>
      <c r="J94">
        <v>20</v>
      </c>
      <c r="K94">
        <v>121600</v>
      </c>
      <c r="L94">
        <v>66880</v>
      </c>
      <c r="M94">
        <v>54720</v>
      </c>
      <c r="N94" t="s">
        <v>30</v>
      </c>
      <c r="O94" t="s">
        <v>23</v>
      </c>
      <c r="P94" t="s">
        <v>24</v>
      </c>
      <c r="Q94" t="str">
        <f>TEXT(clean_data[[#This Row],[Date]],"mmm")</f>
        <v>Mar</v>
      </c>
      <c r="R94">
        <f>YEAR(clean_data[[#This Row],[Date]])</f>
        <v>2023</v>
      </c>
      <c r="S94" s="2">
        <f>clean_data[[#This Row],[Profit]]/clean_data[[#This Row],[Revenue]]</f>
        <v>0.45</v>
      </c>
      <c r="T94" t="str" cm="1">
        <f t="array" ref="T94">_xlfn.IFS(clean_data[[#This Row],[Revenue]]&lt;300000,"Small",
     clean_data[[#This Row],[Revenue]]&lt;700000,"Medium",
     TRUE,"Large")</f>
        <v>Small</v>
      </c>
      <c r="U94" t="str" cm="1">
        <f t="array" ref="U94">_xlfn.IFS(clean_data[[#This Row],[profit margin%]]&lt;0.5,"Low Profit",
     clean_data[[#This Row],[profit margin%]]&lt;0.6,"Medium Profit",
     TRUE,"High Profit")</f>
        <v>Low Profit</v>
      </c>
      <c r="V94" t="str">
        <f>TEXT(clean_data[[#This Row],[Date]],"mmm-yyyy")</f>
        <v>Mar-2023</v>
      </c>
      <c r="W94" s="8">
        <f>EOMONTH(clean_data[[#This Row],[Date]],-1)+1</f>
        <v>44986</v>
      </c>
    </row>
    <row r="95" spans="1:23" x14ac:dyDescent="0.3">
      <c r="A95" t="s">
        <v>167</v>
      </c>
      <c r="B95" s="1">
        <v>45249</v>
      </c>
      <c r="C95" t="s">
        <v>17</v>
      </c>
      <c r="D95" t="s">
        <v>42</v>
      </c>
      <c r="E95" t="s">
        <v>32</v>
      </c>
      <c r="F95" t="s">
        <v>33</v>
      </c>
      <c r="G95" t="s">
        <v>48</v>
      </c>
      <c r="H95">
        <v>20</v>
      </c>
      <c r="I95">
        <v>1500</v>
      </c>
      <c r="J95">
        <v>5</v>
      </c>
      <c r="K95">
        <v>28500</v>
      </c>
      <c r="L95">
        <v>14250</v>
      </c>
      <c r="M95">
        <v>14250</v>
      </c>
      <c r="N95" t="s">
        <v>49</v>
      </c>
      <c r="O95" t="s">
        <v>35</v>
      </c>
      <c r="P95" t="s">
        <v>24</v>
      </c>
      <c r="Q95" t="str">
        <f>TEXT(clean_data[[#This Row],[Date]],"mmm")</f>
        <v>Nov</v>
      </c>
      <c r="R95">
        <f>YEAR(clean_data[[#This Row],[Date]])</f>
        <v>2023</v>
      </c>
      <c r="S95" s="2">
        <f>clean_data[[#This Row],[Profit]]/clean_data[[#This Row],[Revenue]]</f>
        <v>0.5</v>
      </c>
      <c r="T95" t="str" cm="1">
        <f t="array" ref="T95">_xlfn.IFS(clean_data[[#This Row],[Revenue]]&lt;300000,"Small",
     clean_data[[#This Row],[Revenue]]&lt;700000,"Medium",
     TRUE,"Large")</f>
        <v>Small</v>
      </c>
      <c r="U95" t="str" cm="1">
        <f t="array" ref="U95">_xlfn.IFS(clean_data[[#This Row],[profit margin%]]&lt;0.5,"Low Profit",
     clean_data[[#This Row],[profit margin%]]&lt;0.6,"Medium Profit",
     TRUE,"High Profit")</f>
        <v>Medium Profit</v>
      </c>
      <c r="V95" t="str">
        <f>TEXT(clean_data[[#This Row],[Date]],"mmm-yyyy")</f>
        <v>Nov-2023</v>
      </c>
      <c r="W95" s="8">
        <f>EOMONTH(clean_data[[#This Row],[Date]],-1)+1</f>
        <v>45231</v>
      </c>
    </row>
    <row r="96" spans="1:23" x14ac:dyDescent="0.3">
      <c r="A96" t="s">
        <v>168</v>
      </c>
      <c r="B96" s="1">
        <v>45029</v>
      </c>
      <c r="C96" t="s">
        <v>17</v>
      </c>
      <c r="D96" t="s">
        <v>42</v>
      </c>
      <c r="E96" t="s">
        <v>73</v>
      </c>
      <c r="F96" t="s">
        <v>33</v>
      </c>
      <c r="G96" t="s">
        <v>39</v>
      </c>
      <c r="H96">
        <v>43</v>
      </c>
      <c r="I96">
        <v>5000</v>
      </c>
      <c r="J96">
        <v>15</v>
      </c>
      <c r="K96">
        <v>182750</v>
      </c>
      <c r="L96">
        <v>91375</v>
      </c>
      <c r="M96">
        <v>91375</v>
      </c>
      <c r="N96" t="s">
        <v>30</v>
      </c>
      <c r="O96" t="s">
        <v>67</v>
      </c>
      <c r="P96" t="s">
        <v>24</v>
      </c>
      <c r="Q96" t="str">
        <f>TEXT(clean_data[[#This Row],[Date]],"mmm")</f>
        <v>Apr</v>
      </c>
      <c r="R96">
        <f>YEAR(clean_data[[#This Row],[Date]])</f>
        <v>2023</v>
      </c>
      <c r="S96" s="2">
        <f>clean_data[[#This Row],[Profit]]/clean_data[[#This Row],[Revenue]]</f>
        <v>0.5</v>
      </c>
      <c r="T96" t="str" cm="1">
        <f t="array" ref="T96">_xlfn.IFS(clean_data[[#This Row],[Revenue]]&lt;300000,"Small",
     clean_data[[#This Row],[Revenue]]&lt;700000,"Medium",
     TRUE,"Large")</f>
        <v>Small</v>
      </c>
      <c r="U96" t="str" cm="1">
        <f t="array" ref="U96">_xlfn.IFS(clean_data[[#This Row],[profit margin%]]&lt;0.5,"Low Profit",
     clean_data[[#This Row],[profit margin%]]&lt;0.6,"Medium Profit",
     TRUE,"High Profit")</f>
        <v>Medium Profit</v>
      </c>
      <c r="V96" t="str">
        <f>TEXT(clean_data[[#This Row],[Date]],"mmm-yyyy")</f>
        <v>Apr-2023</v>
      </c>
      <c r="W96" s="8">
        <f>EOMONTH(clean_data[[#This Row],[Date]],-1)+1</f>
        <v>45017</v>
      </c>
    </row>
    <row r="97" spans="1:23" x14ac:dyDescent="0.3">
      <c r="A97" t="s">
        <v>169</v>
      </c>
      <c r="B97" s="1">
        <v>44671</v>
      </c>
      <c r="C97" t="s">
        <v>58</v>
      </c>
      <c r="D97" t="s">
        <v>59</v>
      </c>
      <c r="E97" t="s">
        <v>19</v>
      </c>
      <c r="F97" t="s">
        <v>33</v>
      </c>
      <c r="G97" t="s">
        <v>76</v>
      </c>
      <c r="H97">
        <v>41</v>
      </c>
      <c r="I97">
        <v>8500</v>
      </c>
      <c r="J97">
        <v>5</v>
      </c>
      <c r="K97">
        <v>331075</v>
      </c>
      <c r="L97">
        <v>165537.5</v>
      </c>
      <c r="M97">
        <v>165537.5</v>
      </c>
      <c r="N97" t="s">
        <v>49</v>
      </c>
      <c r="O97" t="s">
        <v>44</v>
      </c>
      <c r="P97" t="s">
        <v>40</v>
      </c>
      <c r="Q97" t="str">
        <f>TEXT(clean_data[[#This Row],[Date]],"mmm")</f>
        <v>Apr</v>
      </c>
      <c r="R97">
        <f>YEAR(clean_data[[#This Row],[Date]])</f>
        <v>2022</v>
      </c>
      <c r="S97" s="2">
        <f>clean_data[[#This Row],[Profit]]/clean_data[[#This Row],[Revenue]]</f>
        <v>0.5</v>
      </c>
      <c r="T97" t="str" cm="1">
        <f t="array" ref="T97">_xlfn.IFS(clean_data[[#This Row],[Revenue]]&lt;300000,"Small",
     clean_data[[#This Row],[Revenue]]&lt;700000,"Medium",
     TRUE,"Large")</f>
        <v>Medium</v>
      </c>
      <c r="U97" t="str" cm="1">
        <f t="array" ref="U97">_xlfn.IFS(clean_data[[#This Row],[profit margin%]]&lt;0.5,"Low Profit",
     clean_data[[#This Row],[profit margin%]]&lt;0.6,"Medium Profit",
     TRUE,"High Profit")</f>
        <v>Medium Profit</v>
      </c>
      <c r="V97" t="str">
        <f>TEXT(clean_data[[#This Row],[Date]],"mmm-yyyy")</f>
        <v>Apr-2022</v>
      </c>
      <c r="W97" s="8">
        <f>EOMONTH(clean_data[[#This Row],[Date]],-1)+1</f>
        <v>44652</v>
      </c>
    </row>
    <row r="98" spans="1:23" x14ac:dyDescent="0.3">
      <c r="A98" t="s">
        <v>170</v>
      </c>
      <c r="B98" s="1">
        <v>44763</v>
      </c>
      <c r="C98" t="s">
        <v>26</v>
      </c>
      <c r="D98" t="s">
        <v>69</v>
      </c>
      <c r="E98" t="s">
        <v>60</v>
      </c>
      <c r="F98" t="s">
        <v>28</v>
      </c>
      <c r="G98" t="s">
        <v>29</v>
      </c>
      <c r="H98">
        <v>24</v>
      </c>
      <c r="I98">
        <v>15000</v>
      </c>
      <c r="J98">
        <v>5</v>
      </c>
      <c r="K98">
        <v>342000</v>
      </c>
      <c r="L98">
        <v>188100</v>
      </c>
      <c r="M98">
        <v>153900</v>
      </c>
      <c r="N98" t="s">
        <v>49</v>
      </c>
      <c r="O98" t="s">
        <v>50</v>
      </c>
      <c r="P98" t="s">
        <v>24</v>
      </c>
      <c r="Q98" t="str">
        <f>TEXT(clean_data[[#This Row],[Date]],"mmm")</f>
        <v>Jul</v>
      </c>
      <c r="R98">
        <f>YEAR(clean_data[[#This Row],[Date]])</f>
        <v>2022</v>
      </c>
      <c r="S98" s="2">
        <f>clean_data[[#This Row],[Profit]]/clean_data[[#This Row],[Revenue]]</f>
        <v>0.45</v>
      </c>
      <c r="T98" t="str" cm="1">
        <f t="array" ref="T98">_xlfn.IFS(clean_data[[#This Row],[Revenue]]&lt;300000,"Small",
     clean_data[[#This Row],[Revenue]]&lt;700000,"Medium",
     TRUE,"Large")</f>
        <v>Medium</v>
      </c>
      <c r="U98" t="str" cm="1">
        <f t="array" ref="U98">_xlfn.IFS(clean_data[[#This Row],[profit margin%]]&lt;0.5,"Low Profit",
     clean_data[[#This Row],[profit margin%]]&lt;0.6,"Medium Profit",
     TRUE,"High Profit")</f>
        <v>Low Profit</v>
      </c>
      <c r="V98" t="str">
        <f>TEXT(clean_data[[#This Row],[Date]],"mmm-yyyy")</f>
        <v>Jul-2022</v>
      </c>
      <c r="W98" s="8">
        <f>EOMONTH(clean_data[[#This Row],[Date]],-1)+1</f>
        <v>44743</v>
      </c>
    </row>
    <row r="99" spans="1:23" x14ac:dyDescent="0.3">
      <c r="A99" t="s">
        <v>171</v>
      </c>
      <c r="B99" s="1">
        <v>45357</v>
      </c>
      <c r="C99" t="s">
        <v>46</v>
      </c>
      <c r="D99" t="s">
        <v>47</v>
      </c>
      <c r="E99" t="s">
        <v>111</v>
      </c>
      <c r="F99" t="s">
        <v>33</v>
      </c>
      <c r="G99" t="s">
        <v>43</v>
      </c>
      <c r="H99">
        <v>33</v>
      </c>
      <c r="I99">
        <v>4000</v>
      </c>
      <c r="J99">
        <v>10</v>
      </c>
      <c r="K99">
        <v>118800</v>
      </c>
      <c r="L99">
        <v>59400</v>
      </c>
      <c r="M99">
        <v>59400</v>
      </c>
      <c r="N99" t="s">
        <v>49</v>
      </c>
      <c r="O99" t="s">
        <v>23</v>
      </c>
      <c r="P99" t="s">
        <v>24</v>
      </c>
      <c r="Q99" t="str">
        <f>TEXT(clean_data[[#This Row],[Date]],"mmm")</f>
        <v>Mar</v>
      </c>
      <c r="R99">
        <f>YEAR(clean_data[[#This Row],[Date]])</f>
        <v>2024</v>
      </c>
      <c r="S99" s="2">
        <f>clean_data[[#This Row],[Profit]]/clean_data[[#This Row],[Revenue]]</f>
        <v>0.5</v>
      </c>
      <c r="T99" t="str" cm="1">
        <f t="array" ref="T99">_xlfn.IFS(clean_data[[#This Row],[Revenue]]&lt;300000,"Small",
     clean_data[[#This Row],[Revenue]]&lt;700000,"Medium",
     TRUE,"Large")</f>
        <v>Small</v>
      </c>
      <c r="U99" t="str" cm="1">
        <f t="array" ref="U99">_xlfn.IFS(clean_data[[#This Row],[profit margin%]]&lt;0.5,"Low Profit",
     clean_data[[#This Row],[profit margin%]]&lt;0.6,"Medium Profit",
     TRUE,"High Profit")</f>
        <v>Medium Profit</v>
      </c>
      <c r="V99" t="str">
        <f>TEXT(clean_data[[#This Row],[Date]],"mmm-yyyy")</f>
        <v>Mar-2024</v>
      </c>
      <c r="W99" s="8">
        <f>EOMONTH(clean_data[[#This Row],[Date]],-1)+1</f>
        <v>45352</v>
      </c>
    </row>
    <row r="100" spans="1:23" x14ac:dyDescent="0.3">
      <c r="A100" t="s">
        <v>172</v>
      </c>
      <c r="B100" s="1">
        <v>45131</v>
      </c>
      <c r="C100" t="s">
        <v>17</v>
      </c>
      <c r="D100" t="s">
        <v>18</v>
      </c>
      <c r="E100" t="s">
        <v>60</v>
      </c>
      <c r="F100" t="s">
        <v>28</v>
      </c>
      <c r="G100" t="s">
        <v>87</v>
      </c>
      <c r="H100">
        <v>49</v>
      </c>
      <c r="I100">
        <v>45000</v>
      </c>
      <c r="J100">
        <v>5</v>
      </c>
      <c r="K100">
        <v>2094750</v>
      </c>
      <c r="L100">
        <v>1152112.5</v>
      </c>
      <c r="M100">
        <v>942637.5</v>
      </c>
      <c r="N100" t="s">
        <v>22</v>
      </c>
      <c r="O100" t="s">
        <v>50</v>
      </c>
      <c r="P100" t="s">
        <v>24</v>
      </c>
      <c r="Q100" t="str">
        <f>TEXT(clean_data[[#This Row],[Date]],"mmm")</f>
        <v>Jul</v>
      </c>
      <c r="R100">
        <f>YEAR(clean_data[[#This Row],[Date]])</f>
        <v>2023</v>
      </c>
      <c r="S100" s="2">
        <f>clean_data[[#This Row],[Profit]]/clean_data[[#This Row],[Revenue]]</f>
        <v>0.45</v>
      </c>
      <c r="T100" t="str" cm="1">
        <f t="array" ref="T100">_xlfn.IFS(clean_data[[#This Row],[Revenue]]&lt;300000,"Small",
     clean_data[[#This Row],[Revenue]]&lt;700000,"Medium",
     TRUE,"Large")</f>
        <v>Large</v>
      </c>
      <c r="U100" t="str" cm="1">
        <f t="array" ref="U100">_xlfn.IFS(clean_data[[#This Row],[profit margin%]]&lt;0.5,"Low Profit",
     clean_data[[#This Row],[profit margin%]]&lt;0.6,"Medium Profit",
     TRUE,"High Profit")</f>
        <v>Low Profit</v>
      </c>
      <c r="V100" t="str">
        <f>TEXT(clean_data[[#This Row],[Date]],"mmm-yyyy")</f>
        <v>Jul-2023</v>
      </c>
      <c r="W100" s="8">
        <f>EOMONTH(clean_data[[#This Row],[Date]],-1)+1</f>
        <v>45108</v>
      </c>
    </row>
    <row r="101" spans="1:23" x14ac:dyDescent="0.3">
      <c r="A101" t="s">
        <v>173</v>
      </c>
      <c r="B101" s="1">
        <v>44738</v>
      </c>
      <c r="C101" t="s">
        <v>58</v>
      </c>
      <c r="D101" t="s">
        <v>84</v>
      </c>
      <c r="E101" t="s">
        <v>73</v>
      </c>
      <c r="F101" t="s">
        <v>28</v>
      </c>
      <c r="G101" t="s">
        <v>85</v>
      </c>
      <c r="H101">
        <v>24</v>
      </c>
      <c r="I101">
        <v>8000</v>
      </c>
      <c r="J101">
        <v>10</v>
      </c>
      <c r="K101">
        <v>172800</v>
      </c>
      <c r="L101">
        <v>95040</v>
      </c>
      <c r="M101">
        <v>77760</v>
      </c>
      <c r="N101" t="s">
        <v>49</v>
      </c>
      <c r="O101" t="s">
        <v>50</v>
      </c>
      <c r="P101" t="s">
        <v>40</v>
      </c>
      <c r="Q101" t="str">
        <f>TEXT(clean_data[[#This Row],[Date]],"mmm")</f>
        <v>Jun</v>
      </c>
      <c r="R101">
        <f>YEAR(clean_data[[#This Row],[Date]])</f>
        <v>2022</v>
      </c>
      <c r="S101" s="2">
        <f>clean_data[[#This Row],[Profit]]/clean_data[[#This Row],[Revenue]]</f>
        <v>0.45</v>
      </c>
      <c r="T101" t="str" cm="1">
        <f t="array" ref="T101">_xlfn.IFS(clean_data[[#This Row],[Revenue]]&lt;300000,"Small",
     clean_data[[#This Row],[Revenue]]&lt;700000,"Medium",
     TRUE,"Large")</f>
        <v>Small</v>
      </c>
      <c r="U101" t="str" cm="1">
        <f t="array" ref="U101">_xlfn.IFS(clean_data[[#This Row],[profit margin%]]&lt;0.5,"Low Profit",
     clean_data[[#This Row],[profit margin%]]&lt;0.6,"Medium Profit",
     TRUE,"High Profit")</f>
        <v>Low Profit</v>
      </c>
      <c r="V101" t="str">
        <f>TEXT(clean_data[[#This Row],[Date]],"mmm-yyyy")</f>
        <v>Jun-2022</v>
      </c>
      <c r="W101" s="8">
        <f>EOMONTH(clean_data[[#This Row],[Date]],-1)+1</f>
        <v>44713</v>
      </c>
    </row>
    <row r="102" spans="1:23" x14ac:dyDescent="0.3">
      <c r="A102" t="s">
        <v>174</v>
      </c>
      <c r="B102" s="1">
        <v>44764</v>
      </c>
      <c r="C102" t="s">
        <v>46</v>
      </c>
      <c r="D102" t="s">
        <v>55</v>
      </c>
      <c r="E102" t="s">
        <v>56</v>
      </c>
      <c r="F102" t="s">
        <v>33</v>
      </c>
      <c r="G102" t="s">
        <v>43</v>
      </c>
      <c r="H102">
        <v>15</v>
      </c>
      <c r="I102">
        <v>4000</v>
      </c>
      <c r="J102">
        <v>0</v>
      </c>
      <c r="K102">
        <v>60000</v>
      </c>
      <c r="L102">
        <v>30000</v>
      </c>
      <c r="M102">
        <v>30000</v>
      </c>
      <c r="N102" t="s">
        <v>22</v>
      </c>
      <c r="O102" t="s">
        <v>50</v>
      </c>
      <c r="P102" t="s">
        <v>24</v>
      </c>
      <c r="Q102" t="str">
        <f>TEXT(clean_data[[#This Row],[Date]],"mmm")</f>
        <v>Jul</v>
      </c>
      <c r="R102">
        <f>YEAR(clean_data[[#This Row],[Date]])</f>
        <v>2022</v>
      </c>
      <c r="S102" s="2">
        <f>clean_data[[#This Row],[Profit]]/clean_data[[#This Row],[Revenue]]</f>
        <v>0.5</v>
      </c>
      <c r="T102" t="str" cm="1">
        <f t="array" ref="T102">_xlfn.IFS(clean_data[[#This Row],[Revenue]]&lt;300000,"Small",
     clean_data[[#This Row],[Revenue]]&lt;700000,"Medium",
     TRUE,"Large")</f>
        <v>Small</v>
      </c>
      <c r="U102" t="str" cm="1">
        <f t="array" ref="U102">_xlfn.IFS(clean_data[[#This Row],[profit margin%]]&lt;0.5,"Low Profit",
     clean_data[[#This Row],[profit margin%]]&lt;0.6,"Medium Profit",
     TRUE,"High Profit")</f>
        <v>Medium Profit</v>
      </c>
      <c r="V102" t="str">
        <f>TEXT(clean_data[[#This Row],[Date]],"mmm-yyyy")</f>
        <v>Jul-2022</v>
      </c>
      <c r="W102" s="8">
        <f>EOMONTH(clean_data[[#This Row],[Date]],-1)+1</f>
        <v>44743</v>
      </c>
    </row>
    <row r="103" spans="1:23" x14ac:dyDescent="0.3">
      <c r="A103" t="s">
        <v>175</v>
      </c>
      <c r="B103" s="1">
        <v>45355</v>
      </c>
      <c r="C103" t="s">
        <v>46</v>
      </c>
      <c r="D103" t="s">
        <v>47</v>
      </c>
      <c r="E103" t="s">
        <v>56</v>
      </c>
      <c r="F103" t="s">
        <v>33</v>
      </c>
      <c r="G103" t="s">
        <v>48</v>
      </c>
      <c r="H103">
        <v>8</v>
      </c>
      <c r="I103">
        <v>1500</v>
      </c>
      <c r="J103">
        <v>0</v>
      </c>
      <c r="K103">
        <v>12000</v>
      </c>
      <c r="L103">
        <v>6000</v>
      </c>
      <c r="M103">
        <v>6000</v>
      </c>
      <c r="N103" t="s">
        <v>22</v>
      </c>
      <c r="O103" t="s">
        <v>44</v>
      </c>
      <c r="P103" t="s">
        <v>24</v>
      </c>
      <c r="Q103" t="str">
        <f>TEXT(clean_data[[#This Row],[Date]],"mmm")</f>
        <v>Mar</v>
      </c>
      <c r="R103">
        <f>YEAR(clean_data[[#This Row],[Date]])</f>
        <v>2024</v>
      </c>
      <c r="S103" s="2">
        <f>clean_data[[#This Row],[Profit]]/clean_data[[#This Row],[Revenue]]</f>
        <v>0.5</v>
      </c>
      <c r="T103" t="str" cm="1">
        <f t="array" ref="T103">_xlfn.IFS(clean_data[[#This Row],[Revenue]]&lt;300000,"Small",
     clean_data[[#This Row],[Revenue]]&lt;700000,"Medium",
     TRUE,"Large")</f>
        <v>Small</v>
      </c>
      <c r="U103" t="str" cm="1">
        <f t="array" ref="U103">_xlfn.IFS(clean_data[[#This Row],[profit margin%]]&lt;0.5,"Low Profit",
     clean_data[[#This Row],[profit margin%]]&lt;0.6,"Medium Profit",
     TRUE,"High Profit")</f>
        <v>Medium Profit</v>
      </c>
      <c r="V103" t="str">
        <f>TEXT(clean_data[[#This Row],[Date]],"mmm-yyyy")</f>
        <v>Mar-2024</v>
      </c>
      <c r="W103" s="8">
        <f>EOMONTH(clean_data[[#This Row],[Date]],-1)+1</f>
        <v>45352</v>
      </c>
    </row>
    <row r="104" spans="1:23" x14ac:dyDescent="0.3">
      <c r="A104" t="s">
        <v>176</v>
      </c>
      <c r="B104" s="1">
        <v>45306</v>
      </c>
      <c r="C104" t="s">
        <v>17</v>
      </c>
      <c r="D104" t="s">
        <v>42</v>
      </c>
      <c r="E104" t="s">
        <v>111</v>
      </c>
      <c r="F104" t="s">
        <v>65</v>
      </c>
      <c r="G104" t="s">
        <v>79</v>
      </c>
      <c r="H104">
        <v>48</v>
      </c>
      <c r="I104">
        <v>900</v>
      </c>
      <c r="J104">
        <v>5</v>
      </c>
      <c r="K104">
        <v>41040</v>
      </c>
      <c r="L104">
        <v>18468</v>
      </c>
      <c r="M104">
        <v>22572</v>
      </c>
      <c r="N104" t="s">
        <v>22</v>
      </c>
      <c r="O104" t="s">
        <v>35</v>
      </c>
      <c r="P104" t="s">
        <v>24</v>
      </c>
      <c r="Q104" t="str">
        <f>TEXT(clean_data[[#This Row],[Date]],"mmm")</f>
        <v>Jan</v>
      </c>
      <c r="R104">
        <f>YEAR(clean_data[[#This Row],[Date]])</f>
        <v>2024</v>
      </c>
      <c r="S104" s="2">
        <f>clean_data[[#This Row],[Profit]]/clean_data[[#This Row],[Revenue]]</f>
        <v>0.55000000000000004</v>
      </c>
      <c r="T104" t="str" cm="1">
        <f t="array" ref="T104">_xlfn.IFS(clean_data[[#This Row],[Revenue]]&lt;300000,"Small",
     clean_data[[#This Row],[Revenue]]&lt;700000,"Medium",
     TRUE,"Large")</f>
        <v>Small</v>
      </c>
      <c r="U104" t="str" cm="1">
        <f t="array" ref="U104">_xlfn.IFS(clean_data[[#This Row],[profit margin%]]&lt;0.5,"Low Profit",
     clean_data[[#This Row],[profit margin%]]&lt;0.6,"Medium Profit",
     TRUE,"High Profit")</f>
        <v>Medium Profit</v>
      </c>
      <c r="V104" t="str">
        <f>TEXT(clean_data[[#This Row],[Date]],"mmm-yyyy")</f>
        <v>Jan-2024</v>
      </c>
      <c r="W104" s="8">
        <f>EOMONTH(clean_data[[#This Row],[Date]],-1)+1</f>
        <v>45292</v>
      </c>
    </row>
    <row r="105" spans="1:23" x14ac:dyDescent="0.3">
      <c r="A105" t="s">
        <v>177</v>
      </c>
      <c r="B105" s="1">
        <v>45524</v>
      </c>
      <c r="C105" t="s">
        <v>58</v>
      </c>
      <c r="D105" t="s">
        <v>59</v>
      </c>
      <c r="E105" t="s">
        <v>56</v>
      </c>
      <c r="F105" t="s">
        <v>33</v>
      </c>
      <c r="G105" t="s">
        <v>76</v>
      </c>
      <c r="H105">
        <v>29</v>
      </c>
      <c r="I105">
        <v>8500</v>
      </c>
      <c r="J105">
        <v>15</v>
      </c>
      <c r="K105">
        <v>209525</v>
      </c>
      <c r="L105">
        <v>104762.5</v>
      </c>
      <c r="M105">
        <v>104762.5</v>
      </c>
      <c r="N105" t="s">
        <v>49</v>
      </c>
      <c r="O105" t="s">
        <v>35</v>
      </c>
      <c r="P105" t="s">
        <v>24</v>
      </c>
      <c r="Q105" t="str">
        <f>TEXT(clean_data[[#This Row],[Date]],"mmm")</f>
        <v>Aug</v>
      </c>
      <c r="R105">
        <f>YEAR(clean_data[[#This Row],[Date]])</f>
        <v>2024</v>
      </c>
      <c r="S105" s="2">
        <f>clean_data[[#This Row],[Profit]]/clean_data[[#This Row],[Revenue]]</f>
        <v>0.5</v>
      </c>
      <c r="T105" t="str" cm="1">
        <f t="array" ref="T105">_xlfn.IFS(clean_data[[#This Row],[Revenue]]&lt;300000,"Small",
     clean_data[[#This Row],[Revenue]]&lt;700000,"Medium",
     TRUE,"Large")</f>
        <v>Small</v>
      </c>
      <c r="U105" t="str" cm="1">
        <f t="array" ref="U105">_xlfn.IFS(clean_data[[#This Row],[profit margin%]]&lt;0.5,"Low Profit",
     clean_data[[#This Row],[profit margin%]]&lt;0.6,"Medium Profit",
     TRUE,"High Profit")</f>
        <v>Medium Profit</v>
      </c>
      <c r="V105" t="str">
        <f>TEXT(clean_data[[#This Row],[Date]],"mmm-yyyy")</f>
        <v>Aug-2024</v>
      </c>
      <c r="W105" s="8">
        <f>EOMONTH(clean_data[[#This Row],[Date]],-1)+1</f>
        <v>45505</v>
      </c>
    </row>
    <row r="106" spans="1:23" x14ac:dyDescent="0.3">
      <c r="A106" t="s">
        <v>178</v>
      </c>
      <c r="B106" s="1">
        <v>45278</v>
      </c>
      <c r="C106" t="s">
        <v>17</v>
      </c>
      <c r="D106" t="s">
        <v>18</v>
      </c>
      <c r="E106" t="s">
        <v>32</v>
      </c>
      <c r="F106" t="s">
        <v>33</v>
      </c>
      <c r="G106" t="s">
        <v>76</v>
      </c>
      <c r="H106">
        <v>8</v>
      </c>
      <c r="I106">
        <v>8500</v>
      </c>
      <c r="J106">
        <v>15</v>
      </c>
      <c r="K106">
        <v>57800</v>
      </c>
      <c r="L106">
        <v>28900</v>
      </c>
      <c r="M106">
        <v>28900</v>
      </c>
      <c r="N106" t="s">
        <v>22</v>
      </c>
      <c r="O106" t="s">
        <v>44</v>
      </c>
      <c r="P106" t="s">
        <v>24</v>
      </c>
      <c r="Q106" t="str">
        <f>TEXT(clean_data[[#This Row],[Date]],"mmm")</f>
        <v>Dec</v>
      </c>
      <c r="R106">
        <f>YEAR(clean_data[[#This Row],[Date]])</f>
        <v>2023</v>
      </c>
      <c r="S106" s="2">
        <f>clean_data[[#This Row],[Profit]]/clean_data[[#This Row],[Revenue]]</f>
        <v>0.5</v>
      </c>
      <c r="T106" t="str" cm="1">
        <f t="array" ref="T106">_xlfn.IFS(clean_data[[#This Row],[Revenue]]&lt;300000,"Small",
     clean_data[[#This Row],[Revenue]]&lt;700000,"Medium",
     TRUE,"Large")</f>
        <v>Small</v>
      </c>
      <c r="U106" t="str" cm="1">
        <f t="array" ref="U106">_xlfn.IFS(clean_data[[#This Row],[profit margin%]]&lt;0.5,"Low Profit",
     clean_data[[#This Row],[profit margin%]]&lt;0.6,"Medium Profit",
     TRUE,"High Profit")</f>
        <v>Medium Profit</v>
      </c>
      <c r="V106" t="str">
        <f>TEXT(clean_data[[#This Row],[Date]],"mmm-yyyy")</f>
        <v>Dec-2023</v>
      </c>
      <c r="W106" s="8">
        <f>EOMONTH(clean_data[[#This Row],[Date]],-1)+1</f>
        <v>45261</v>
      </c>
    </row>
    <row r="107" spans="1:23" x14ac:dyDescent="0.3">
      <c r="A107" t="s">
        <v>179</v>
      </c>
      <c r="B107" s="1">
        <v>44594</v>
      </c>
      <c r="C107" t="s">
        <v>17</v>
      </c>
      <c r="D107" t="s">
        <v>18</v>
      </c>
      <c r="E107" t="s">
        <v>78</v>
      </c>
      <c r="F107" t="s">
        <v>20</v>
      </c>
      <c r="G107" t="s">
        <v>21</v>
      </c>
      <c r="H107">
        <v>49</v>
      </c>
      <c r="I107">
        <v>3500</v>
      </c>
      <c r="J107">
        <v>20</v>
      </c>
      <c r="K107">
        <v>137200</v>
      </c>
      <c r="L107">
        <v>54880</v>
      </c>
      <c r="M107">
        <v>82320</v>
      </c>
      <c r="N107" t="s">
        <v>22</v>
      </c>
      <c r="O107" t="s">
        <v>44</v>
      </c>
      <c r="P107" t="s">
        <v>24</v>
      </c>
      <c r="Q107" t="str">
        <f>TEXT(clean_data[[#This Row],[Date]],"mmm")</f>
        <v>Feb</v>
      </c>
      <c r="R107">
        <f>YEAR(clean_data[[#This Row],[Date]])</f>
        <v>2022</v>
      </c>
      <c r="S107" s="2">
        <f>clean_data[[#This Row],[Profit]]/clean_data[[#This Row],[Revenue]]</f>
        <v>0.6</v>
      </c>
      <c r="T107" t="str" cm="1">
        <f t="array" ref="T107">_xlfn.IFS(clean_data[[#This Row],[Revenue]]&lt;300000,"Small",
     clean_data[[#This Row],[Revenue]]&lt;700000,"Medium",
     TRUE,"Large")</f>
        <v>Small</v>
      </c>
      <c r="U107" t="str" cm="1">
        <f t="array" ref="U107">_xlfn.IFS(clean_data[[#This Row],[profit margin%]]&lt;0.5,"Low Profit",
     clean_data[[#This Row],[profit margin%]]&lt;0.6,"Medium Profit",
     TRUE,"High Profit")</f>
        <v>High Profit</v>
      </c>
      <c r="V107" t="str">
        <f>TEXT(clean_data[[#This Row],[Date]],"mmm-yyyy")</f>
        <v>Feb-2022</v>
      </c>
      <c r="W107" s="8">
        <f>EOMONTH(clean_data[[#This Row],[Date]],-1)+1</f>
        <v>44593</v>
      </c>
    </row>
    <row r="108" spans="1:23" x14ac:dyDescent="0.3">
      <c r="A108" t="s">
        <v>180</v>
      </c>
      <c r="B108" s="1">
        <v>44996</v>
      </c>
      <c r="C108" t="s">
        <v>46</v>
      </c>
      <c r="D108" t="s">
        <v>47</v>
      </c>
      <c r="E108" t="s">
        <v>73</v>
      </c>
      <c r="F108" t="s">
        <v>20</v>
      </c>
      <c r="G108" t="s">
        <v>74</v>
      </c>
      <c r="H108">
        <v>35</v>
      </c>
      <c r="I108">
        <v>4200</v>
      </c>
      <c r="J108">
        <v>10</v>
      </c>
      <c r="K108">
        <v>132300</v>
      </c>
      <c r="L108">
        <v>52920</v>
      </c>
      <c r="M108">
        <v>79380</v>
      </c>
      <c r="N108" t="s">
        <v>30</v>
      </c>
      <c r="O108" t="s">
        <v>35</v>
      </c>
      <c r="P108" t="s">
        <v>24</v>
      </c>
      <c r="Q108" t="str">
        <f>TEXT(clean_data[[#This Row],[Date]],"mmm")</f>
        <v>Mar</v>
      </c>
      <c r="R108">
        <f>YEAR(clean_data[[#This Row],[Date]])</f>
        <v>2023</v>
      </c>
      <c r="S108" s="2">
        <f>clean_data[[#This Row],[Profit]]/clean_data[[#This Row],[Revenue]]</f>
        <v>0.6</v>
      </c>
      <c r="T108" t="str" cm="1">
        <f t="array" ref="T108">_xlfn.IFS(clean_data[[#This Row],[Revenue]]&lt;300000,"Small",
     clean_data[[#This Row],[Revenue]]&lt;700000,"Medium",
     TRUE,"Large")</f>
        <v>Small</v>
      </c>
      <c r="U108" t="str" cm="1">
        <f t="array" ref="U108">_xlfn.IFS(clean_data[[#This Row],[profit margin%]]&lt;0.5,"Low Profit",
     clean_data[[#This Row],[profit margin%]]&lt;0.6,"Medium Profit",
     TRUE,"High Profit")</f>
        <v>High Profit</v>
      </c>
      <c r="V108" t="str">
        <f>TEXT(clean_data[[#This Row],[Date]],"mmm-yyyy")</f>
        <v>Mar-2023</v>
      </c>
      <c r="W108" s="8">
        <f>EOMONTH(clean_data[[#This Row],[Date]],-1)+1</f>
        <v>44986</v>
      </c>
    </row>
    <row r="109" spans="1:23" x14ac:dyDescent="0.3">
      <c r="A109" t="s">
        <v>181</v>
      </c>
      <c r="B109" s="1">
        <v>44805</v>
      </c>
      <c r="C109" t="s">
        <v>17</v>
      </c>
      <c r="D109" t="s">
        <v>18</v>
      </c>
      <c r="E109" t="s">
        <v>38</v>
      </c>
      <c r="F109" t="s">
        <v>33</v>
      </c>
      <c r="G109" t="s">
        <v>39</v>
      </c>
      <c r="H109">
        <v>12</v>
      </c>
      <c r="I109">
        <v>5000</v>
      </c>
      <c r="J109">
        <v>10</v>
      </c>
      <c r="K109">
        <v>54000</v>
      </c>
      <c r="L109">
        <v>27000</v>
      </c>
      <c r="M109">
        <v>27000</v>
      </c>
      <c r="N109" t="s">
        <v>30</v>
      </c>
      <c r="O109" t="s">
        <v>23</v>
      </c>
      <c r="P109" t="s">
        <v>24</v>
      </c>
      <c r="Q109" t="str">
        <f>TEXT(clean_data[[#This Row],[Date]],"mmm")</f>
        <v>Sep</v>
      </c>
      <c r="R109">
        <f>YEAR(clean_data[[#This Row],[Date]])</f>
        <v>2022</v>
      </c>
      <c r="S109" s="2">
        <f>clean_data[[#This Row],[Profit]]/clean_data[[#This Row],[Revenue]]</f>
        <v>0.5</v>
      </c>
      <c r="T109" t="str" cm="1">
        <f t="array" ref="T109">_xlfn.IFS(clean_data[[#This Row],[Revenue]]&lt;300000,"Small",
     clean_data[[#This Row],[Revenue]]&lt;700000,"Medium",
     TRUE,"Large")</f>
        <v>Small</v>
      </c>
      <c r="U109" t="str" cm="1">
        <f t="array" ref="U109">_xlfn.IFS(clean_data[[#This Row],[profit margin%]]&lt;0.5,"Low Profit",
     clean_data[[#This Row],[profit margin%]]&lt;0.6,"Medium Profit",
     TRUE,"High Profit")</f>
        <v>Medium Profit</v>
      </c>
      <c r="V109" t="str">
        <f>TEXT(clean_data[[#This Row],[Date]],"mmm-yyyy")</f>
        <v>Sep-2022</v>
      </c>
      <c r="W109" s="8">
        <f>EOMONTH(clean_data[[#This Row],[Date]],-1)+1</f>
        <v>44805</v>
      </c>
    </row>
    <row r="110" spans="1:23" x14ac:dyDescent="0.3">
      <c r="A110" t="s">
        <v>182</v>
      </c>
      <c r="B110" s="1">
        <v>45569</v>
      </c>
      <c r="C110" t="s">
        <v>26</v>
      </c>
      <c r="D110" t="s">
        <v>69</v>
      </c>
      <c r="E110" t="s">
        <v>60</v>
      </c>
      <c r="F110" t="s">
        <v>33</v>
      </c>
      <c r="G110" t="s">
        <v>43</v>
      </c>
      <c r="H110">
        <v>38</v>
      </c>
      <c r="I110">
        <v>4000</v>
      </c>
      <c r="J110">
        <v>0</v>
      </c>
      <c r="K110">
        <v>152000</v>
      </c>
      <c r="L110">
        <v>76000</v>
      </c>
      <c r="M110">
        <v>76000</v>
      </c>
      <c r="N110" t="s">
        <v>22</v>
      </c>
      <c r="O110" t="s">
        <v>44</v>
      </c>
      <c r="P110" t="s">
        <v>24</v>
      </c>
      <c r="Q110" t="str">
        <f>TEXT(clean_data[[#This Row],[Date]],"mmm")</f>
        <v>Oct</v>
      </c>
      <c r="R110">
        <f>YEAR(clean_data[[#This Row],[Date]])</f>
        <v>2024</v>
      </c>
      <c r="S110" s="2">
        <f>clean_data[[#This Row],[Profit]]/clean_data[[#This Row],[Revenue]]</f>
        <v>0.5</v>
      </c>
      <c r="T110" t="str" cm="1">
        <f t="array" ref="T110">_xlfn.IFS(clean_data[[#This Row],[Revenue]]&lt;300000,"Small",
     clean_data[[#This Row],[Revenue]]&lt;700000,"Medium",
     TRUE,"Large")</f>
        <v>Small</v>
      </c>
      <c r="U110" t="str" cm="1">
        <f t="array" ref="U110">_xlfn.IFS(clean_data[[#This Row],[profit margin%]]&lt;0.5,"Low Profit",
     clean_data[[#This Row],[profit margin%]]&lt;0.6,"Medium Profit",
     TRUE,"High Profit")</f>
        <v>Medium Profit</v>
      </c>
      <c r="V110" t="str">
        <f>TEXT(clean_data[[#This Row],[Date]],"mmm-yyyy")</f>
        <v>Oct-2024</v>
      </c>
      <c r="W110" s="8">
        <f>EOMONTH(clean_data[[#This Row],[Date]],-1)+1</f>
        <v>45566</v>
      </c>
    </row>
    <row r="111" spans="1:23" x14ac:dyDescent="0.3">
      <c r="A111" t="s">
        <v>183</v>
      </c>
      <c r="B111" s="1">
        <v>44644</v>
      </c>
      <c r="C111" t="s">
        <v>17</v>
      </c>
      <c r="D111" t="s">
        <v>37</v>
      </c>
      <c r="E111" t="s">
        <v>56</v>
      </c>
      <c r="F111" t="s">
        <v>28</v>
      </c>
      <c r="G111" t="s">
        <v>85</v>
      </c>
      <c r="H111">
        <v>26</v>
      </c>
      <c r="I111">
        <v>8000</v>
      </c>
      <c r="J111">
        <v>15</v>
      </c>
      <c r="K111">
        <v>176800</v>
      </c>
      <c r="L111">
        <v>97240</v>
      </c>
      <c r="M111">
        <v>79560</v>
      </c>
      <c r="N111" t="s">
        <v>49</v>
      </c>
      <c r="O111" t="s">
        <v>23</v>
      </c>
      <c r="P111" t="s">
        <v>24</v>
      </c>
      <c r="Q111" t="str">
        <f>TEXT(clean_data[[#This Row],[Date]],"mmm")</f>
        <v>Mar</v>
      </c>
      <c r="R111">
        <f>YEAR(clean_data[[#This Row],[Date]])</f>
        <v>2022</v>
      </c>
      <c r="S111" s="2">
        <f>clean_data[[#This Row],[Profit]]/clean_data[[#This Row],[Revenue]]</f>
        <v>0.45</v>
      </c>
      <c r="T111" t="str" cm="1">
        <f t="array" ref="T111">_xlfn.IFS(clean_data[[#This Row],[Revenue]]&lt;300000,"Small",
     clean_data[[#This Row],[Revenue]]&lt;700000,"Medium",
     TRUE,"Large")</f>
        <v>Small</v>
      </c>
      <c r="U111" t="str" cm="1">
        <f t="array" ref="U111">_xlfn.IFS(clean_data[[#This Row],[profit margin%]]&lt;0.5,"Low Profit",
     clean_data[[#This Row],[profit margin%]]&lt;0.6,"Medium Profit",
     TRUE,"High Profit")</f>
        <v>Low Profit</v>
      </c>
      <c r="V111" t="str">
        <f>TEXT(clean_data[[#This Row],[Date]],"mmm-yyyy")</f>
        <v>Mar-2022</v>
      </c>
      <c r="W111" s="8">
        <f>EOMONTH(clean_data[[#This Row],[Date]],-1)+1</f>
        <v>44621</v>
      </c>
    </row>
    <row r="112" spans="1:23" x14ac:dyDescent="0.3">
      <c r="A112" t="s">
        <v>184</v>
      </c>
      <c r="B112" s="1">
        <v>44684</v>
      </c>
      <c r="C112" t="s">
        <v>17</v>
      </c>
      <c r="D112" t="s">
        <v>42</v>
      </c>
      <c r="E112" t="s">
        <v>78</v>
      </c>
      <c r="F112" t="s">
        <v>28</v>
      </c>
      <c r="G112" t="s">
        <v>87</v>
      </c>
      <c r="H112">
        <v>18</v>
      </c>
      <c r="I112">
        <v>45000</v>
      </c>
      <c r="J112">
        <v>20</v>
      </c>
      <c r="K112">
        <v>648000</v>
      </c>
      <c r="L112">
        <v>356400</v>
      </c>
      <c r="M112">
        <v>291600</v>
      </c>
      <c r="N112" t="s">
        <v>22</v>
      </c>
      <c r="O112" t="s">
        <v>50</v>
      </c>
      <c r="P112" t="s">
        <v>40</v>
      </c>
      <c r="Q112" t="str">
        <f>TEXT(clean_data[[#This Row],[Date]],"mmm")</f>
        <v>May</v>
      </c>
      <c r="R112">
        <f>YEAR(clean_data[[#This Row],[Date]])</f>
        <v>2022</v>
      </c>
      <c r="S112" s="2">
        <f>clean_data[[#This Row],[Profit]]/clean_data[[#This Row],[Revenue]]</f>
        <v>0.45</v>
      </c>
      <c r="T112" t="str" cm="1">
        <f t="array" ref="T112">_xlfn.IFS(clean_data[[#This Row],[Revenue]]&lt;300000,"Small",
     clean_data[[#This Row],[Revenue]]&lt;700000,"Medium",
     TRUE,"Large")</f>
        <v>Medium</v>
      </c>
      <c r="U112" t="str" cm="1">
        <f t="array" ref="U112">_xlfn.IFS(clean_data[[#This Row],[profit margin%]]&lt;0.5,"Low Profit",
     clean_data[[#This Row],[profit margin%]]&lt;0.6,"Medium Profit",
     TRUE,"High Profit")</f>
        <v>Low Profit</v>
      </c>
      <c r="V112" t="str">
        <f>TEXT(clean_data[[#This Row],[Date]],"mmm-yyyy")</f>
        <v>May-2022</v>
      </c>
      <c r="W112" s="8">
        <f>EOMONTH(clean_data[[#This Row],[Date]],-1)+1</f>
        <v>44682</v>
      </c>
    </row>
    <row r="113" spans="1:23" x14ac:dyDescent="0.3">
      <c r="A113" t="s">
        <v>185</v>
      </c>
      <c r="B113" s="1">
        <v>45311</v>
      </c>
      <c r="C113" t="s">
        <v>17</v>
      </c>
      <c r="D113" t="s">
        <v>37</v>
      </c>
      <c r="E113" t="s">
        <v>111</v>
      </c>
      <c r="F113" t="s">
        <v>65</v>
      </c>
      <c r="G113" t="s">
        <v>117</v>
      </c>
      <c r="H113">
        <v>45</v>
      </c>
      <c r="I113">
        <v>1200</v>
      </c>
      <c r="J113">
        <v>0</v>
      </c>
      <c r="K113">
        <v>54000</v>
      </c>
      <c r="L113">
        <v>24300</v>
      </c>
      <c r="M113">
        <v>29700</v>
      </c>
      <c r="N113" t="s">
        <v>22</v>
      </c>
      <c r="O113" t="s">
        <v>44</v>
      </c>
      <c r="P113" t="s">
        <v>40</v>
      </c>
      <c r="Q113" t="str">
        <f>TEXT(clean_data[[#This Row],[Date]],"mmm")</f>
        <v>Jan</v>
      </c>
      <c r="R113">
        <f>YEAR(clean_data[[#This Row],[Date]])</f>
        <v>2024</v>
      </c>
      <c r="S113" s="2">
        <f>clean_data[[#This Row],[Profit]]/clean_data[[#This Row],[Revenue]]</f>
        <v>0.55000000000000004</v>
      </c>
      <c r="T113" t="str" cm="1">
        <f t="array" ref="T113">_xlfn.IFS(clean_data[[#This Row],[Revenue]]&lt;300000,"Small",
     clean_data[[#This Row],[Revenue]]&lt;700000,"Medium",
     TRUE,"Large")</f>
        <v>Small</v>
      </c>
      <c r="U113" t="str" cm="1">
        <f t="array" ref="U113">_xlfn.IFS(clean_data[[#This Row],[profit margin%]]&lt;0.5,"Low Profit",
     clean_data[[#This Row],[profit margin%]]&lt;0.6,"Medium Profit",
     TRUE,"High Profit")</f>
        <v>Medium Profit</v>
      </c>
      <c r="V113" t="str">
        <f>TEXT(clean_data[[#This Row],[Date]],"mmm-yyyy")</f>
        <v>Jan-2024</v>
      </c>
      <c r="W113" s="8">
        <f>EOMONTH(clean_data[[#This Row],[Date]],-1)+1</f>
        <v>45292</v>
      </c>
    </row>
    <row r="114" spans="1:23" x14ac:dyDescent="0.3">
      <c r="A114" t="s">
        <v>186</v>
      </c>
      <c r="B114" s="1">
        <v>45397</v>
      </c>
      <c r="C114" t="s">
        <v>46</v>
      </c>
      <c r="D114" t="s">
        <v>55</v>
      </c>
      <c r="E114" t="s">
        <v>70</v>
      </c>
      <c r="F114" t="s">
        <v>65</v>
      </c>
      <c r="G114" t="s">
        <v>66</v>
      </c>
      <c r="H114">
        <v>27</v>
      </c>
      <c r="I114">
        <v>5500</v>
      </c>
      <c r="J114">
        <v>0</v>
      </c>
      <c r="K114">
        <v>148500</v>
      </c>
      <c r="L114">
        <v>66825</v>
      </c>
      <c r="M114">
        <v>81675</v>
      </c>
      <c r="N114" t="s">
        <v>49</v>
      </c>
      <c r="O114" t="s">
        <v>50</v>
      </c>
      <c r="P114" t="s">
        <v>24</v>
      </c>
      <c r="Q114" t="str">
        <f>TEXT(clean_data[[#This Row],[Date]],"mmm")</f>
        <v>Apr</v>
      </c>
      <c r="R114">
        <f>YEAR(clean_data[[#This Row],[Date]])</f>
        <v>2024</v>
      </c>
      <c r="S114" s="2">
        <f>clean_data[[#This Row],[Profit]]/clean_data[[#This Row],[Revenue]]</f>
        <v>0.55000000000000004</v>
      </c>
      <c r="T114" t="str" cm="1">
        <f t="array" ref="T114">_xlfn.IFS(clean_data[[#This Row],[Revenue]]&lt;300000,"Small",
     clean_data[[#This Row],[Revenue]]&lt;700000,"Medium",
     TRUE,"Large")</f>
        <v>Small</v>
      </c>
      <c r="U114" t="str" cm="1">
        <f t="array" ref="U114">_xlfn.IFS(clean_data[[#This Row],[profit margin%]]&lt;0.5,"Low Profit",
     clean_data[[#This Row],[profit margin%]]&lt;0.6,"Medium Profit",
     TRUE,"High Profit")</f>
        <v>Medium Profit</v>
      </c>
      <c r="V114" t="str">
        <f>TEXT(clean_data[[#This Row],[Date]],"mmm-yyyy")</f>
        <v>Apr-2024</v>
      </c>
      <c r="W114" s="8">
        <f>EOMONTH(clean_data[[#This Row],[Date]],-1)+1</f>
        <v>45383</v>
      </c>
    </row>
    <row r="115" spans="1:23" x14ac:dyDescent="0.3">
      <c r="A115" t="s">
        <v>187</v>
      </c>
      <c r="B115" s="1">
        <v>45058</v>
      </c>
      <c r="C115" t="s">
        <v>46</v>
      </c>
      <c r="D115" t="s">
        <v>55</v>
      </c>
      <c r="E115" t="s">
        <v>52</v>
      </c>
      <c r="F115" t="s">
        <v>28</v>
      </c>
      <c r="G115" t="s">
        <v>95</v>
      </c>
      <c r="H115">
        <v>6</v>
      </c>
      <c r="I115">
        <v>75000</v>
      </c>
      <c r="J115">
        <v>15</v>
      </c>
      <c r="K115">
        <v>382500</v>
      </c>
      <c r="L115">
        <v>210375</v>
      </c>
      <c r="M115">
        <v>172125</v>
      </c>
      <c r="N115" t="s">
        <v>22</v>
      </c>
      <c r="O115" t="s">
        <v>50</v>
      </c>
      <c r="P115" t="s">
        <v>24</v>
      </c>
      <c r="Q115" t="str">
        <f>TEXT(clean_data[[#This Row],[Date]],"mmm")</f>
        <v>May</v>
      </c>
      <c r="R115">
        <f>YEAR(clean_data[[#This Row],[Date]])</f>
        <v>2023</v>
      </c>
      <c r="S115" s="2">
        <f>clean_data[[#This Row],[Profit]]/clean_data[[#This Row],[Revenue]]</f>
        <v>0.45</v>
      </c>
      <c r="T115" t="str" cm="1">
        <f t="array" ref="T115">_xlfn.IFS(clean_data[[#This Row],[Revenue]]&lt;300000,"Small",
     clean_data[[#This Row],[Revenue]]&lt;700000,"Medium",
     TRUE,"Large")</f>
        <v>Medium</v>
      </c>
      <c r="U115" t="str" cm="1">
        <f t="array" ref="U115">_xlfn.IFS(clean_data[[#This Row],[profit margin%]]&lt;0.5,"Low Profit",
     clean_data[[#This Row],[profit margin%]]&lt;0.6,"Medium Profit",
     TRUE,"High Profit")</f>
        <v>Low Profit</v>
      </c>
      <c r="V115" t="str">
        <f>TEXT(clean_data[[#This Row],[Date]],"mmm-yyyy")</f>
        <v>May-2023</v>
      </c>
      <c r="W115" s="8">
        <f>EOMONTH(clean_data[[#This Row],[Date]],-1)+1</f>
        <v>45047</v>
      </c>
    </row>
    <row r="116" spans="1:23" x14ac:dyDescent="0.3">
      <c r="A116" t="s">
        <v>188</v>
      </c>
      <c r="B116" s="1">
        <v>44822</v>
      </c>
      <c r="C116" t="s">
        <v>26</v>
      </c>
      <c r="D116" t="s">
        <v>69</v>
      </c>
      <c r="E116" t="s">
        <v>52</v>
      </c>
      <c r="F116" t="s">
        <v>65</v>
      </c>
      <c r="G116" t="s">
        <v>124</v>
      </c>
      <c r="H116">
        <v>43</v>
      </c>
      <c r="I116">
        <v>18000</v>
      </c>
      <c r="J116">
        <v>15</v>
      </c>
      <c r="K116">
        <v>657900</v>
      </c>
      <c r="L116">
        <v>296055</v>
      </c>
      <c r="M116">
        <v>361845</v>
      </c>
      <c r="N116" t="s">
        <v>49</v>
      </c>
      <c r="O116" t="s">
        <v>67</v>
      </c>
      <c r="P116" t="s">
        <v>24</v>
      </c>
      <c r="Q116" t="str">
        <f>TEXT(clean_data[[#This Row],[Date]],"mmm")</f>
        <v>Sep</v>
      </c>
      <c r="R116">
        <f>YEAR(clean_data[[#This Row],[Date]])</f>
        <v>2022</v>
      </c>
      <c r="S116" s="2">
        <f>clean_data[[#This Row],[Profit]]/clean_data[[#This Row],[Revenue]]</f>
        <v>0.55000000000000004</v>
      </c>
      <c r="T116" t="str" cm="1">
        <f t="array" ref="T116">_xlfn.IFS(clean_data[[#This Row],[Revenue]]&lt;300000,"Small",
     clean_data[[#This Row],[Revenue]]&lt;700000,"Medium",
     TRUE,"Large")</f>
        <v>Medium</v>
      </c>
      <c r="U116" t="str" cm="1">
        <f t="array" ref="U116">_xlfn.IFS(clean_data[[#This Row],[profit margin%]]&lt;0.5,"Low Profit",
     clean_data[[#This Row],[profit margin%]]&lt;0.6,"Medium Profit",
     TRUE,"High Profit")</f>
        <v>Medium Profit</v>
      </c>
      <c r="V116" t="str">
        <f>TEXT(clean_data[[#This Row],[Date]],"mmm-yyyy")</f>
        <v>Sep-2022</v>
      </c>
      <c r="W116" s="8">
        <f>EOMONTH(clean_data[[#This Row],[Date]],-1)+1</f>
        <v>44805</v>
      </c>
    </row>
    <row r="117" spans="1:23" x14ac:dyDescent="0.3">
      <c r="A117" t="s">
        <v>189</v>
      </c>
      <c r="B117" s="1">
        <v>45150</v>
      </c>
      <c r="C117" t="s">
        <v>26</v>
      </c>
      <c r="D117" t="s">
        <v>27</v>
      </c>
      <c r="E117" t="s">
        <v>78</v>
      </c>
      <c r="F117" t="s">
        <v>65</v>
      </c>
      <c r="G117" t="s">
        <v>104</v>
      </c>
      <c r="H117">
        <v>7</v>
      </c>
      <c r="I117">
        <v>3000</v>
      </c>
      <c r="J117">
        <v>10</v>
      </c>
      <c r="K117">
        <v>18900</v>
      </c>
      <c r="L117">
        <v>8505</v>
      </c>
      <c r="M117">
        <v>10395</v>
      </c>
      <c r="N117" t="s">
        <v>49</v>
      </c>
      <c r="O117" t="s">
        <v>35</v>
      </c>
      <c r="P117" t="s">
        <v>40</v>
      </c>
      <c r="Q117" t="str">
        <f>TEXT(clean_data[[#This Row],[Date]],"mmm")</f>
        <v>Aug</v>
      </c>
      <c r="R117">
        <f>YEAR(clean_data[[#This Row],[Date]])</f>
        <v>2023</v>
      </c>
      <c r="S117" s="2">
        <f>clean_data[[#This Row],[Profit]]/clean_data[[#This Row],[Revenue]]</f>
        <v>0.55000000000000004</v>
      </c>
      <c r="T117" t="str" cm="1">
        <f t="array" ref="T117">_xlfn.IFS(clean_data[[#This Row],[Revenue]]&lt;300000,"Small",
     clean_data[[#This Row],[Revenue]]&lt;700000,"Medium",
     TRUE,"Large")</f>
        <v>Small</v>
      </c>
      <c r="U117" t="str" cm="1">
        <f t="array" ref="U117">_xlfn.IFS(clean_data[[#This Row],[profit margin%]]&lt;0.5,"Low Profit",
     clean_data[[#This Row],[profit margin%]]&lt;0.6,"Medium Profit",
     TRUE,"High Profit")</f>
        <v>Medium Profit</v>
      </c>
      <c r="V117" t="str">
        <f>TEXT(clean_data[[#This Row],[Date]],"mmm-yyyy")</f>
        <v>Aug-2023</v>
      </c>
      <c r="W117" s="8">
        <f>EOMONTH(clean_data[[#This Row],[Date]],-1)+1</f>
        <v>45139</v>
      </c>
    </row>
    <row r="118" spans="1:23" x14ac:dyDescent="0.3">
      <c r="A118" t="s">
        <v>190</v>
      </c>
      <c r="B118" s="1">
        <v>45096</v>
      </c>
      <c r="C118" t="s">
        <v>46</v>
      </c>
      <c r="D118" t="s">
        <v>55</v>
      </c>
      <c r="E118" t="s">
        <v>111</v>
      </c>
      <c r="F118" t="s">
        <v>28</v>
      </c>
      <c r="G118" t="s">
        <v>29</v>
      </c>
      <c r="H118">
        <v>43</v>
      </c>
      <c r="I118">
        <v>15000</v>
      </c>
      <c r="J118">
        <v>10</v>
      </c>
      <c r="K118">
        <v>580500</v>
      </c>
      <c r="L118">
        <v>319275</v>
      </c>
      <c r="M118">
        <v>261225</v>
      </c>
      <c r="N118" t="s">
        <v>30</v>
      </c>
      <c r="O118" t="s">
        <v>50</v>
      </c>
      <c r="P118" t="s">
        <v>24</v>
      </c>
      <c r="Q118" t="str">
        <f>TEXT(clean_data[[#This Row],[Date]],"mmm")</f>
        <v>Jun</v>
      </c>
      <c r="R118">
        <f>YEAR(clean_data[[#This Row],[Date]])</f>
        <v>2023</v>
      </c>
      <c r="S118" s="2">
        <f>clean_data[[#This Row],[Profit]]/clean_data[[#This Row],[Revenue]]</f>
        <v>0.45</v>
      </c>
      <c r="T118" t="str" cm="1">
        <f t="array" ref="T118">_xlfn.IFS(clean_data[[#This Row],[Revenue]]&lt;300000,"Small",
     clean_data[[#This Row],[Revenue]]&lt;700000,"Medium",
     TRUE,"Large")</f>
        <v>Medium</v>
      </c>
      <c r="U118" t="str" cm="1">
        <f t="array" ref="U118">_xlfn.IFS(clean_data[[#This Row],[profit margin%]]&lt;0.5,"Low Profit",
     clean_data[[#This Row],[profit margin%]]&lt;0.6,"Medium Profit",
     TRUE,"High Profit")</f>
        <v>Low Profit</v>
      </c>
      <c r="V118" t="str">
        <f>TEXT(clean_data[[#This Row],[Date]],"mmm-yyyy")</f>
        <v>Jun-2023</v>
      </c>
      <c r="W118" s="8">
        <f>EOMONTH(clean_data[[#This Row],[Date]],-1)+1</f>
        <v>45078</v>
      </c>
    </row>
    <row r="119" spans="1:23" x14ac:dyDescent="0.3">
      <c r="A119" t="s">
        <v>191</v>
      </c>
      <c r="B119" s="1">
        <v>45149</v>
      </c>
      <c r="C119" t="s">
        <v>17</v>
      </c>
      <c r="D119" t="s">
        <v>18</v>
      </c>
      <c r="E119" t="s">
        <v>78</v>
      </c>
      <c r="F119" t="s">
        <v>20</v>
      </c>
      <c r="G119" t="s">
        <v>53</v>
      </c>
      <c r="H119">
        <v>43</v>
      </c>
      <c r="I119">
        <v>600</v>
      </c>
      <c r="J119">
        <v>15</v>
      </c>
      <c r="K119">
        <v>21930</v>
      </c>
      <c r="L119">
        <v>8772</v>
      </c>
      <c r="M119">
        <v>13158</v>
      </c>
      <c r="N119" t="s">
        <v>30</v>
      </c>
      <c r="O119" t="s">
        <v>35</v>
      </c>
      <c r="P119" t="s">
        <v>24</v>
      </c>
      <c r="Q119" t="str">
        <f>TEXT(clean_data[[#This Row],[Date]],"mmm")</f>
        <v>Aug</v>
      </c>
      <c r="R119">
        <f>YEAR(clean_data[[#This Row],[Date]])</f>
        <v>2023</v>
      </c>
      <c r="S119" s="2">
        <f>clean_data[[#This Row],[Profit]]/clean_data[[#This Row],[Revenue]]</f>
        <v>0.6</v>
      </c>
      <c r="T119" t="str" cm="1">
        <f t="array" ref="T119">_xlfn.IFS(clean_data[[#This Row],[Revenue]]&lt;300000,"Small",
     clean_data[[#This Row],[Revenue]]&lt;700000,"Medium",
     TRUE,"Large")</f>
        <v>Small</v>
      </c>
      <c r="U119" t="str" cm="1">
        <f t="array" ref="U119">_xlfn.IFS(clean_data[[#This Row],[profit margin%]]&lt;0.5,"Low Profit",
     clean_data[[#This Row],[profit margin%]]&lt;0.6,"Medium Profit",
     TRUE,"High Profit")</f>
        <v>High Profit</v>
      </c>
      <c r="V119" t="str">
        <f>TEXT(clean_data[[#This Row],[Date]],"mmm-yyyy")</f>
        <v>Aug-2023</v>
      </c>
      <c r="W119" s="8">
        <f>EOMONTH(clean_data[[#This Row],[Date]],-1)+1</f>
        <v>45139</v>
      </c>
    </row>
    <row r="120" spans="1:23" x14ac:dyDescent="0.3">
      <c r="A120" t="s">
        <v>192</v>
      </c>
      <c r="B120" s="1">
        <v>44736</v>
      </c>
      <c r="C120" t="s">
        <v>46</v>
      </c>
      <c r="D120" t="s">
        <v>55</v>
      </c>
      <c r="E120" t="s">
        <v>32</v>
      </c>
      <c r="F120" t="s">
        <v>65</v>
      </c>
      <c r="G120" t="s">
        <v>124</v>
      </c>
      <c r="H120">
        <v>11</v>
      </c>
      <c r="I120">
        <v>18000</v>
      </c>
      <c r="J120">
        <v>10</v>
      </c>
      <c r="K120">
        <v>178200</v>
      </c>
      <c r="L120">
        <v>80190</v>
      </c>
      <c r="M120">
        <v>98010</v>
      </c>
      <c r="N120" t="s">
        <v>22</v>
      </c>
      <c r="O120" t="s">
        <v>50</v>
      </c>
      <c r="P120" t="s">
        <v>24</v>
      </c>
      <c r="Q120" t="str">
        <f>TEXT(clean_data[[#This Row],[Date]],"mmm")</f>
        <v>Jun</v>
      </c>
      <c r="R120">
        <f>YEAR(clean_data[[#This Row],[Date]])</f>
        <v>2022</v>
      </c>
      <c r="S120" s="2">
        <f>clean_data[[#This Row],[Profit]]/clean_data[[#This Row],[Revenue]]</f>
        <v>0.55000000000000004</v>
      </c>
      <c r="T120" t="str" cm="1">
        <f t="array" ref="T120">_xlfn.IFS(clean_data[[#This Row],[Revenue]]&lt;300000,"Small",
     clean_data[[#This Row],[Revenue]]&lt;700000,"Medium",
     TRUE,"Large")</f>
        <v>Small</v>
      </c>
      <c r="U120" t="str" cm="1">
        <f t="array" ref="U120">_xlfn.IFS(clean_data[[#This Row],[profit margin%]]&lt;0.5,"Low Profit",
     clean_data[[#This Row],[profit margin%]]&lt;0.6,"Medium Profit",
     TRUE,"High Profit")</f>
        <v>Medium Profit</v>
      </c>
      <c r="V120" t="str">
        <f>TEXT(clean_data[[#This Row],[Date]],"mmm-yyyy")</f>
        <v>Jun-2022</v>
      </c>
      <c r="W120" s="8">
        <f>EOMONTH(clean_data[[#This Row],[Date]],-1)+1</f>
        <v>44713</v>
      </c>
    </row>
    <row r="121" spans="1:23" x14ac:dyDescent="0.3">
      <c r="A121" t="s">
        <v>193</v>
      </c>
      <c r="B121" s="1">
        <v>44714</v>
      </c>
      <c r="C121" t="s">
        <v>46</v>
      </c>
      <c r="D121" t="s">
        <v>47</v>
      </c>
      <c r="E121" t="s">
        <v>38</v>
      </c>
      <c r="F121" t="s">
        <v>28</v>
      </c>
      <c r="G121" t="s">
        <v>95</v>
      </c>
      <c r="H121">
        <v>18</v>
      </c>
      <c r="I121">
        <v>75000</v>
      </c>
      <c r="J121">
        <v>15</v>
      </c>
      <c r="K121">
        <v>1147500</v>
      </c>
      <c r="L121">
        <v>631125</v>
      </c>
      <c r="M121">
        <v>516375</v>
      </c>
      <c r="N121" t="s">
        <v>49</v>
      </c>
      <c r="O121" t="s">
        <v>67</v>
      </c>
      <c r="P121" t="s">
        <v>24</v>
      </c>
      <c r="Q121" t="str">
        <f>TEXT(clean_data[[#This Row],[Date]],"mmm")</f>
        <v>Jun</v>
      </c>
      <c r="R121">
        <f>YEAR(clean_data[[#This Row],[Date]])</f>
        <v>2022</v>
      </c>
      <c r="S121" s="2">
        <f>clean_data[[#This Row],[Profit]]/clean_data[[#This Row],[Revenue]]</f>
        <v>0.45</v>
      </c>
      <c r="T121" t="str" cm="1">
        <f t="array" ref="T121">_xlfn.IFS(clean_data[[#This Row],[Revenue]]&lt;300000,"Small",
     clean_data[[#This Row],[Revenue]]&lt;700000,"Medium",
     TRUE,"Large")</f>
        <v>Large</v>
      </c>
      <c r="U121" t="str" cm="1">
        <f t="array" ref="U121">_xlfn.IFS(clean_data[[#This Row],[profit margin%]]&lt;0.5,"Low Profit",
     clean_data[[#This Row],[profit margin%]]&lt;0.6,"Medium Profit",
     TRUE,"High Profit")</f>
        <v>Low Profit</v>
      </c>
      <c r="V121" t="str">
        <f>TEXT(clean_data[[#This Row],[Date]],"mmm-yyyy")</f>
        <v>Jun-2022</v>
      </c>
      <c r="W121" s="8">
        <f>EOMONTH(clean_data[[#This Row],[Date]],-1)+1</f>
        <v>44713</v>
      </c>
    </row>
    <row r="122" spans="1:23" x14ac:dyDescent="0.3">
      <c r="A122" t="s">
        <v>194</v>
      </c>
      <c r="B122" s="1">
        <v>45426</v>
      </c>
      <c r="C122" t="s">
        <v>17</v>
      </c>
      <c r="D122" t="s">
        <v>18</v>
      </c>
      <c r="E122" t="s">
        <v>111</v>
      </c>
      <c r="F122" t="s">
        <v>28</v>
      </c>
      <c r="G122" t="s">
        <v>71</v>
      </c>
      <c r="H122">
        <v>28</v>
      </c>
      <c r="I122">
        <v>35000</v>
      </c>
      <c r="J122">
        <v>0</v>
      </c>
      <c r="K122">
        <v>980000</v>
      </c>
      <c r="L122">
        <v>539000</v>
      </c>
      <c r="M122">
        <v>441000</v>
      </c>
      <c r="N122" t="s">
        <v>22</v>
      </c>
      <c r="O122" t="s">
        <v>67</v>
      </c>
      <c r="P122" t="s">
        <v>24</v>
      </c>
      <c r="Q122" t="str">
        <f>TEXT(clean_data[[#This Row],[Date]],"mmm")</f>
        <v>May</v>
      </c>
      <c r="R122">
        <f>YEAR(clean_data[[#This Row],[Date]])</f>
        <v>2024</v>
      </c>
      <c r="S122" s="2">
        <f>clean_data[[#This Row],[Profit]]/clean_data[[#This Row],[Revenue]]</f>
        <v>0.45</v>
      </c>
      <c r="T122" t="str" cm="1">
        <f t="array" ref="T122">_xlfn.IFS(clean_data[[#This Row],[Revenue]]&lt;300000,"Small",
     clean_data[[#This Row],[Revenue]]&lt;700000,"Medium",
     TRUE,"Large")</f>
        <v>Large</v>
      </c>
      <c r="U122" t="str" cm="1">
        <f t="array" ref="U122">_xlfn.IFS(clean_data[[#This Row],[profit margin%]]&lt;0.5,"Low Profit",
     clean_data[[#This Row],[profit margin%]]&lt;0.6,"Medium Profit",
     TRUE,"High Profit")</f>
        <v>Low Profit</v>
      </c>
      <c r="V122" t="str">
        <f>TEXT(clean_data[[#This Row],[Date]],"mmm-yyyy")</f>
        <v>May-2024</v>
      </c>
      <c r="W122" s="8">
        <f>EOMONTH(clean_data[[#This Row],[Date]],-1)+1</f>
        <v>45413</v>
      </c>
    </row>
    <row r="123" spans="1:23" x14ac:dyDescent="0.3">
      <c r="A123" t="s">
        <v>195</v>
      </c>
      <c r="B123" s="1">
        <v>45521</v>
      </c>
      <c r="C123" t="s">
        <v>17</v>
      </c>
      <c r="D123" t="s">
        <v>18</v>
      </c>
      <c r="E123" t="s">
        <v>19</v>
      </c>
      <c r="F123" t="s">
        <v>65</v>
      </c>
      <c r="G123" t="s">
        <v>79</v>
      </c>
      <c r="H123">
        <v>4</v>
      </c>
      <c r="I123">
        <v>900</v>
      </c>
      <c r="J123">
        <v>0</v>
      </c>
      <c r="K123">
        <v>3600</v>
      </c>
      <c r="L123">
        <v>1620</v>
      </c>
      <c r="M123">
        <v>1980</v>
      </c>
      <c r="N123" t="s">
        <v>49</v>
      </c>
      <c r="O123" t="s">
        <v>44</v>
      </c>
      <c r="P123" t="s">
        <v>24</v>
      </c>
      <c r="Q123" t="str">
        <f>TEXT(clean_data[[#This Row],[Date]],"mmm")</f>
        <v>Aug</v>
      </c>
      <c r="R123">
        <f>YEAR(clean_data[[#This Row],[Date]])</f>
        <v>2024</v>
      </c>
      <c r="S123" s="2">
        <f>clean_data[[#This Row],[Profit]]/clean_data[[#This Row],[Revenue]]</f>
        <v>0.55000000000000004</v>
      </c>
      <c r="T123" t="str" cm="1">
        <f t="array" ref="T123">_xlfn.IFS(clean_data[[#This Row],[Revenue]]&lt;300000,"Small",
     clean_data[[#This Row],[Revenue]]&lt;700000,"Medium",
     TRUE,"Large")</f>
        <v>Small</v>
      </c>
      <c r="U123" t="str" cm="1">
        <f t="array" ref="U123">_xlfn.IFS(clean_data[[#This Row],[profit margin%]]&lt;0.5,"Low Profit",
     clean_data[[#This Row],[profit margin%]]&lt;0.6,"Medium Profit",
     TRUE,"High Profit")</f>
        <v>Medium Profit</v>
      </c>
      <c r="V123" t="str">
        <f>TEXT(clean_data[[#This Row],[Date]],"mmm-yyyy")</f>
        <v>Aug-2024</v>
      </c>
      <c r="W123" s="8">
        <f>EOMONTH(clean_data[[#This Row],[Date]],-1)+1</f>
        <v>45505</v>
      </c>
    </row>
    <row r="124" spans="1:23" x14ac:dyDescent="0.3">
      <c r="A124" t="s">
        <v>196</v>
      </c>
      <c r="B124" s="1">
        <v>44829</v>
      </c>
      <c r="C124" t="s">
        <v>17</v>
      </c>
      <c r="D124" t="s">
        <v>37</v>
      </c>
      <c r="E124" t="s">
        <v>70</v>
      </c>
      <c r="F124" t="s">
        <v>28</v>
      </c>
      <c r="G124" t="s">
        <v>95</v>
      </c>
      <c r="H124">
        <v>32</v>
      </c>
      <c r="I124">
        <v>75000</v>
      </c>
      <c r="J124">
        <v>15</v>
      </c>
      <c r="K124">
        <v>2040000</v>
      </c>
      <c r="L124">
        <v>1122000</v>
      </c>
      <c r="M124">
        <v>918000</v>
      </c>
      <c r="N124" t="s">
        <v>30</v>
      </c>
      <c r="O124" t="s">
        <v>23</v>
      </c>
      <c r="P124" t="s">
        <v>24</v>
      </c>
      <c r="Q124" t="str">
        <f>TEXT(clean_data[[#This Row],[Date]],"mmm")</f>
        <v>Sep</v>
      </c>
      <c r="R124">
        <f>YEAR(clean_data[[#This Row],[Date]])</f>
        <v>2022</v>
      </c>
      <c r="S124" s="2">
        <f>clean_data[[#This Row],[Profit]]/clean_data[[#This Row],[Revenue]]</f>
        <v>0.45</v>
      </c>
      <c r="T124" t="str" cm="1">
        <f t="array" ref="T124">_xlfn.IFS(clean_data[[#This Row],[Revenue]]&lt;300000,"Small",
     clean_data[[#This Row],[Revenue]]&lt;700000,"Medium",
     TRUE,"Large")</f>
        <v>Large</v>
      </c>
      <c r="U124" t="str" cm="1">
        <f t="array" ref="U124">_xlfn.IFS(clean_data[[#This Row],[profit margin%]]&lt;0.5,"Low Profit",
     clean_data[[#This Row],[profit margin%]]&lt;0.6,"Medium Profit",
     TRUE,"High Profit")</f>
        <v>Low Profit</v>
      </c>
      <c r="V124" t="str">
        <f>TEXT(clean_data[[#This Row],[Date]],"mmm-yyyy")</f>
        <v>Sep-2022</v>
      </c>
      <c r="W124" s="8">
        <f>EOMONTH(clean_data[[#This Row],[Date]],-1)+1</f>
        <v>44805</v>
      </c>
    </row>
    <row r="125" spans="1:23" x14ac:dyDescent="0.3">
      <c r="A125" t="s">
        <v>197</v>
      </c>
      <c r="B125" s="1">
        <v>45619</v>
      </c>
      <c r="C125" t="s">
        <v>46</v>
      </c>
      <c r="D125" t="s">
        <v>55</v>
      </c>
      <c r="E125" t="s">
        <v>52</v>
      </c>
      <c r="F125" t="s">
        <v>65</v>
      </c>
      <c r="G125" t="s">
        <v>117</v>
      </c>
      <c r="H125">
        <v>28</v>
      </c>
      <c r="I125">
        <v>1200</v>
      </c>
      <c r="J125">
        <v>0</v>
      </c>
      <c r="K125">
        <v>33600</v>
      </c>
      <c r="L125">
        <v>15120</v>
      </c>
      <c r="M125">
        <v>18480</v>
      </c>
      <c r="N125" t="s">
        <v>30</v>
      </c>
      <c r="O125" t="s">
        <v>50</v>
      </c>
      <c r="P125" t="s">
        <v>24</v>
      </c>
      <c r="Q125" t="str">
        <f>TEXT(clean_data[[#This Row],[Date]],"mmm")</f>
        <v>Nov</v>
      </c>
      <c r="R125">
        <f>YEAR(clean_data[[#This Row],[Date]])</f>
        <v>2024</v>
      </c>
      <c r="S125" s="2">
        <f>clean_data[[#This Row],[Profit]]/clean_data[[#This Row],[Revenue]]</f>
        <v>0.55000000000000004</v>
      </c>
      <c r="T125" t="str" cm="1">
        <f t="array" ref="T125">_xlfn.IFS(clean_data[[#This Row],[Revenue]]&lt;300000,"Small",
     clean_data[[#This Row],[Revenue]]&lt;700000,"Medium",
     TRUE,"Large")</f>
        <v>Small</v>
      </c>
      <c r="U125" t="str" cm="1">
        <f t="array" ref="U125">_xlfn.IFS(clean_data[[#This Row],[profit margin%]]&lt;0.5,"Low Profit",
     clean_data[[#This Row],[profit margin%]]&lt;0.6,"Medium Profit",
     TRUE,"High Profit")</f>
        <v>Medium Profit</v>
      </c>
      <c r="V125" t="str">
        <f>TEXT(clean_data[[#This Row],[Date]],"mmm-yyyy")</f>
        <v>Nov-2024</v>
      </c>
      <c r="W125" s="8">
        <f>EOMONTH(clean_data[[#This Row],[Date]],-1)+1</f>
        <v>45597</v>
      </c>
    </row>
    <row r="126" spans="1:23" x14ac:dyDescent="0.3">
      <c r="A126" t="s">
        <v>198</v>
      </c>
      <c r="B126" s="1">
        <v>45401</v>
      </c>
      <c r="C126" t="s">
        <v>58</v>
      </c>
      <c r="D126" t="s">
        <v>64</v>
      </c>
      <c r="E126" t="s">
        <v>32</v>
      </c>
      <c r="F126" t="s">
        <v>33</v>
      </c>
      <c r="G126" t="s">
        <v>39</v>
      </c>
      <c r="H126">
        <v>26</v>
      </c>
      <c r="I126">
        <v>5000</v>
      </c>
      <c r="J126">
        <v>0</v>
      </c>
      <c r="K126">
        <v>130000</v>
      </c>
      <c r="L126">
        <v>65000</v>
      </c>
      <c r="M126">
        <v>65000</v>
      </c>
      <c r="N126" t="s">
        <v>30</v>
      </c>
      <c r="O126" t="s">
        <v>67</v>
      </c>
      <c r="P126" t="s">
        <v>24</v>
      </c>
      <c r="Q126" t="str">
        <f>TEXT(clean_data[[#This Row],[Date]],"mmm")</f>
        <v>Apr</v>
      </c>
      <c r="R126">
        <f>YEAR(clean_data[[#This Row],[Date]])</f>
        <v>2024</v>
      </c>
      <c r="S126" s="2">
        <f>clean_data[[#This Row],[Profit]]/clean_data[[#This Row],[Revenue]]</f>
        <v>0.5</v>
      </c>
      <c r="T126" t="str" cm="1">
        <f t="array" ref="T126">_xlfn.IFS(clean_data[[#This Row],[Revenue]]&lt;300000,"Small",
     clean_data[[#This Row],[Revenue]]&lt;700000,"Medium",
     TRUE,"Large")</f>
        <v>Small</v>
      </c>
      <c r="U126" t="str" cm="1">
        <f t="array" ref="U126">_xlfn.IFS(clean_data[[#This Row],[profit margin%]]&lt;0.5,"Low Profit",
     clean_data[[#This Row],[profit margin%]]&lt;0.6,"Medium Profit",
     TRUE,"High Profit")</f>
        <v>Medium Profit</v>
      </c>
      <c r="V126" t="str">
        <f>TEXT(clean_data[[#This Row],[Date]],"mmm-yyyy")</f>
        <v>Apr-2024</v>
      </c>
      <c r="W126" s="8">
        <f>EOMONTH(clean_data[[#This Row],[Date]],-1)+1</f>
        <v>45383</v>
      </c>
    </row>
    <row r="127" spans="1:23" x14ac:dyDescent="0.3">
      <c r="A127" t="s">
        <v>199</v>
      </c>
      <c r="B127" s="1">
        <v>45470</v>
      </c>
      <c r="C127" t="s">
        <v>17</v>
      </c>
      <c r="D127" t="s">
        <v>18</v>
      </c>
      <c r="E127" t="s">
        <v>32</v>
      </c>
      <c r="F127" t="s">
        <v>28</v>
      </c>
      <c r="G127" t="s">
        <v>87</v>
      </c>
      <c r="H127">
        <v>28</v>
      </c>
      <c r="I127">
        <v>45000</v>
      </c>
      <c r="J127">
        <v>20</v>
      </c>
      <c r="K127">
        <v>1008000</v>
      </c>
      <c r="L127">
        <v>554400</v>
      </c>
      <c r="M127">
        <v>453600</v>
      </c>
      <c r="N127" t="s">
        <v>22</v>
      </c>
      <c r="O127" t="s">
        <v>35</v>
      </c>
      <c r="P127" t="s">
        <v>24</v>
      </c>
      <c r="Q127" t="str">
        <f>TEXT(clean_data[[#This Row],[Date]],"mmm")</f>
        <v>Jun</v>
      </c>
      <c r="R127">
        <f>YEAR(clean_data[[#This Row],[Date]])</f>
        <v>2024</v>
      </c>
      <c r="S127" s="2">
        <f>clean_data[[#This Row],[Profit]]/clean_data[[#This Row],[Revenue]]</f>
        <v>0.45</v>
      </c>
      <c r="T127" t="str" cm="1">
        <f t="array" ref="T127">_xlfn.IFS(clean_data[[#This Row],[Revenue]]&lt;300000,"Small",
     clean_data[[#This Row],[Revenue]]&lt;700000,"Medium",
     TRUE,"Large")</f>
        <v>Large</v>
      </c>
      <c r="U127" t="str" cm="1">
        <f t="array" ref="U127">_xlfn.IFS(clean_data[[#This Row],[profit margin%]]&lt;0.5,"Low Profit",
     clean_data[[#This Row],[profit margin%]]&lt;0.6,"Medium Profit",
     TRUE,"High Profit")</f>
        <v>Low Profit</v>
      </c>
      <c r="V127" t="str">
        <f>TEXT(clean_data[[#This Row],[Date]],"mmm-yyyy")</f>
        <v>Jun-2024</v>
      </c>
      <c r="W127" s="8">
        <f>EOMONTH(clean_data[[#This Row],[Date]],-1)+1</f>
        <v>45444</v>
      </c>
    </row>
    <row r="128" spans="1:23" x14ac:dyDescent="0.3">
      <c r="A128" t="s">
        <v>200</v>
      </c>
      <c r="B128" s="1">
        <v>45350</v>
      </c>
      <c r="C128" t="s">
        <v>17</v>
      </c>
      <c r="D128" t="s">
        <v>42</v>
      </c>
      <c r="E128" t="s">
        <v>70</v>
      </c>
      <c r="F128" t="s">
        <v>20</v>
      </c>
      <c r="G128" t="s">
        <v>61</v>
      </c>
      <c r="H128">
        <v>50</v>
      </c>
      <c r="I128">
        <v>800</v>
      </c>
      <c r="J128">
        <v>5</v>
      </c>
      <c r="K128">
        <v>38000</v>
      </c>
      <c r="L128">
        <v>15200</v>
      </c>
      <c r="M128">
        <v>22800</v>
      </c>
      <c r="N128" t="s">
        <v>22</v>
      </c>
      <c r="O128" t="s">
        <v>35</v>
      </c>
      <c r="P128" t="s">
        <v>24</v>
      </c>
      <c r="Q128" t="str">
        <f>TEXT(clean_data[[#This Row],[Date]],"mmm")</f>
        <v>Feb</v>
      </c>
      <c r="R128">
        <f>YEAR(clean_data[[#This Row],[Date]])</f>
        <v>2024</v>
      </c>
      <c r="S128" s="2">
        <f>clean_data[[#This Row],[Profit]]/clean_data[[#This Row],[Revenue]]</f>
        <v>0.6</v>
      </c>
      <c r="T128" t="str" cm="1">
        <f t="array" ref="T128">_xlfn.IFS(clean_data[[#This Row],[Revenue]]&lt;300000,"Small",
     clean_data[[#This Row],[Revenue]]&lt;700000,"Medium",
     TRUE,"Large")</f>
        <v>Small</v>
      </c>
      <c r="U128" t="str" cm="1">
        <f t="array" ref="U128">_xlfn.IFS(clean_data[[#This Row],[profit margin%]]&lt;0.5,"Low Profit",
     clean_data[[#This Row],[profit margin%]]&lt;0.6,"Medium Profit",
     TRUE,"High Profit")</f>
        <v>High Profit</v>
      </c>
      <c r="V128" t="str">
        <f>TEXT(clean_data[[#This Row],[Date]],"mmm-yyyy")</f>
        <v>Feb-2024</v>
      </c>
      <c r="W128" s="8">
        <f>EOMONTH(clean_data[[#This Row],[Date]],-1)+1</f>
        <v>45323</v>
      </c>
    </row>
    <row r="129" spans="1:23" x14ac:dyDescent="0.3">
      <c r="A129" t="s">
        <v>201</v>
      </c>
      <c r="B129" s="1">
        <v>45582</v>
      </c>
      <c r="C129" t="s">
        <v>46</v>
      </c>
      <c r="D129" t="s">
        <v>55</v>
      </c>
      <c r="E129" t="s">
        <v>70</v>
      </c>
      <c r="F129" t="s">
        <v>20</v>
      </c>
      <c r="G129" t="s">
        <v>74</v>
      </c>
      <c r="H129">
        <v>7</v>
      </c>
      <c r="I129">
        <v>4200</v>
      </c>
      <c r="J129">
        <v>5</v>
      </c>
      <c r="K129">
        <v>27930</v>
      </c>
      <c r="L129">
        <v>11172</v>
      </c>
      <c r="M129">
        <v>16758</v>
      </c>
      <c r="N129" t="s">
        <v>30</v>
      </c>
      <c r="O129" t="s">
        <v>44</v>
      </c>
      <c r="P129" t="s">
        <v>24</v>
      </c>
      <c r="Q129" t="str">
        <f>TEXT(clean_data[[#This Row],[Date]],"mmm")</f>
        <v>Oct</v>
      </c>
      <c r="R129">
        <f>YEAR(clean_data[[#This Row],[Date]])</f>
        <v>2024</v>
      </c>
      <c r="S129" s="2">
        <f>clean_data[[#This Row],[Profit]]/clean_data[[#This Row],[Revenue]]</f>
        <v>0.6</v>
      </c>
      <c r="T129" t="str" cm="1">
        <f t="array" ref="T129">_xlfn.IFS(clean_data[[#This Row],[Revenue]]&lt;300000,"Small",
     clean_data[[#This Row],[Revenue]]&lt;700000,"Medium",
     TRUE,"Large")</f>
        <v>Small</v>
      </c>
      <c r="U129" t="str" cm="1">
        <f t="array" ref="U129">_xlfn.IFS(clean_data[[#This Row],[profit margin%]]&lt;0.5,"Low Profit",
     clean_data[[#This Row],[profit margin%]]&lt;0.6,"Medium Profit",
     TRUE,"High Profit")</f>
        <v>High Profit</v>
      </c>
      <c r="V129" t="str">
        <f>TEXT(clean_data[[#This Row],[Date]],"mmm-yyyy")</f>
        <v>Oct-2024</v>
      </c>
      <c r="W129" s="8">
        <f>EOMONTH(clean_data[[#This Row],[Date]],-1)+1</f>
        <v>45566</v>
      </c>
    </row>
    <row r="130" spans="1:23" x14ac:dyDescent="0.3">
      <c r="A130" t="s">
        <v>202</v>
      </c>
      <c r="B130" s="1">
        <v>44859</v>
      </c>
      <c r="C130" t="s">
        <v>26</v>
      </c>
      <c r="D130" t="s">
        <v>27</v>
      </c>
      <c r="E130" t="s">
        <v>60</v>
      </c>
      <c r="F130" t="s">
        <v>65</v>
      </c>
      <c r="G130" t="s">
        <v>79</v>
      </c>
      <c r="H130">
        <v>49</v>
      </c>
      <c r="I130">
        <v>900</v>
      </c>
      <c r="J130">
        <v>20</v>
      </c>
      <c r="K130">
        <v>35280</v>
      </c>
      <c r="L130">
        <v>15876</v>
      </c>
      <c r="M130">
        <v>19404</v>
      </c>
      <c r="N130" t="s">
        <v>22</v>
      </c>
      <c r="O130" t="s">
        <v>67</v>
      </c>
      <c r="P130" t="s">
        <v>24</v>
      </c>
      <c r="Q130" t="str">
        <f>TEXT(clean_data[[#This Row],[Date]],"mmm")</f>
        <v>Oct</v>
      </c>
      <c r="R130">
        <f>YEAR(clean_data[[#This Row],[Date]])</f>
        <v>2022</v>
      </c>
      <c r="S130" s="2">
        <f>clean_data[[#This Row],[Profit]]/clean_data[[#This Row],[Revenue]]</f>
        <v>0.55000000000000004</v>
      </c>
      <c r="T130" t="str" cm="1">
        <f t="array" ref="T130">_xlfn.IFS(clean_data[[#This Row],[Revenue]]&lt;300000,"Small",
     clean_data[[#This Row],[Revenue]]&lt;700000,"Medium",
     TRUE,"Large")</f>
        <v>Small</v>
      </c>
      <c r="U130" t="str" cm="1">
        <f t="array" ref="U130">_xlfn.IFS(clean_data[[#This Row],[profit margin%]]&lt;0.5,"Low Profit",
     clean_data[[#This Row],[profit margin%]]&lt;0.6,"Medium Profit",
     TRUE,"High Profit")</f>
        <v>Medium Profit</v>
      </c>
      <c r="V130" t="str">
        <f>TEXT(clean_data[[#This Row],[Date]],"mmm-yyyy")</f>
        <v>Oct-2022</v>
      </c>
      <c r="W130" s="8">
        <f>EOMONTH(clean_data[[#This Row],[Date]],-1)+1</f>
        <v>44835</v>
      </c>
    </row>
    <row r="131" spans="1:23" x14ac:dyDescent="0.3">
      <c r="A131" t="s">
        <v>203</v>
      </c>
      <c r="B131" s="1">
        <v>45197</v>
      </c>
      <c r="C131" t="s">
        <v>17</v>
      </c>
      <c r="D131" t="s">
        <v>18</v>
      </c>
      <c r="E131" t="s">
        <v>60</v>
      </c>
      <c r="F131" t="s">
        <v>28</v>
      </c>
      <c r="G131" t="s">
        <v>85</v>
      </c>
      <c r="H131">
        <v>29</v>
      </c>
      <c r="I131">
        <v>8000</v>
      </c>
      <c r="J131">
        <v>10</v>
      </c>
      <c r="K131">
        <v>208800</v>
      </c>
      <c r="L131">
        <v>114840</v>
      </c>
      <c r="M131">
        <v>93960</v>
      </c>
      <c r="N131" t="s">
        <v>22</v>
      </c>
      <c r="O131" t="s">
        <v>35</v>
      </c>
      <c r="P131" t="s">
        <v>24</v>
      </c>
      <c r="Q131" t="str">
        <f>TEXT(clean_data[[#This Row],[Date]],"mmm")</f>
        <v>Sep</v>
      </c>
      <c r="R131">
        <f>YEAR(clean_data[[#This Row],[Date]])</f>
        <v>2023</v>
      </c>
      <c r="S131" s="2">
        <f>clean_data[[#This Row],[Profit]]/clean_data[[#This Row],[Revenue]]</f>
        <v>0.45</v>
      </c>
      <c r="T131" t="str" cm="1">
        <f t="array" ref="T131">_xlfn.IFS(clean_data[[#This Row],[Revenue]]&lt;300000,"Small",
     clean_data[[#This Row],[Revenue]]&lt;700000,"Medium",
     TRUE,"Large")</f>
        <v>Small</v>
      </c>
      <c r="U131" t="str" cm="1">
        <f t="array" ref="U131">_xlfn.IFS(clean_data[[#This Row],[profit margin%]]&lt;0.5,"Low Profit",
     clean_data[[#This Row],[profit margin%]]&lt;0.6,"Medium Profit",
     TRUE,"High Profit")</f>
        <v>Low Profit</v>
      </c>
      <c r="V131" t="str">
        <f>TEXT(clean_data[[#This Row],[Date]],"mmm-yyyy")</f>
        <v>Sep-2023</v>
      </c>
      <c r="W131" s="8">
        <f>EOMONTH(clean_data[[#This Row],[Date]],-1)+1</f>
        <v>45170</v>
      </c>
    </row>
    <row r="132" spans="1:23" x14ac:dyDescent="0.3">
      <c r="A132" t="s">
        <v>204</v>
      </c>
      <c r="B132" s="1">
        <v>45247</v>
      </c>
      <c r="C132" t="s">
        <v>26</v>
      </c>
      <c r="D132" t="s">
        <v>69</v>
      </c>
      <c r="E132" t="s">
        <v>60</v>
      </c>
      <c r="F132" t="s">
        <v>65</v>
      </c>
      <c r="G132" t="s">
        <v>117</v>
      </c>
      <c r="H132">
        <v>4</v>
      </c>
      <c r="I132">
        <v>1200</v>
      </c>
      <c r="J132">
        <v>10</v>
      </c>
      <c r="K132">
        <v>4320</v>
      </c>
      <c r="L132">
        <v>1944</v>
      </c>
      <c r="M132">
        <v>2376</v>
      </c>
      <c r="N132" t="s">
        <v>30</v>
      </c>
      <c r="O132" t="s">
        <v>35</v>
      </c>
      <c r="P132" t="s">
        <v>24</v>
      </c>
      <c r="Q132" t="str">
        <f>TEXT(clean_data[[#This Row],[Date]],"mmm")</f>
        <v>Nov</v>
      </c>
      <c r="R132">
        <f>YEAR(clean_data[[#This Row],[Date]])</f>
        <v>2023</v>
      </c>
      <c r="S132" s="2">
        <f>clean_data[[#This Row],[Profit]]/clean_data[[#This Row],[Revenue]]</f>
        <v>0.55000000000000004</v>
      </c>
      <c r="T132" t="str" cm="1">
        <f t="array" ref="T132">_xlfn.IFS(clean_data[[#This Row],[Revenue]]&lt;300000,"Small",
     clean_data[[#This Row],[Revenue]]&lt;700000,"Medium",
     TRUE,"Large")</f>
        <v>Small</v>
      </c>
      <c r="U132" t="str" cm="1">
        <f t="array" ref="U132">_xlfn.IFS(clean_data[[#This Row],[profit margin%]]&lt;0.5,"Low Profit",
     clean_data[[#This Row],[profit margin%]]&lt;0.6,"Medium Profit",
     TRUE,"High Profit")</f>
        <v>Medium Profit</v>
      </c>
      <c r="V132" t="str">
        <f>TEXT(clean_data[[#This Row],[Date]],"mmm-yyyy")</f>
        <v>Nov-2023</v>
      </c>
      <c r="W132" s="8">
        <f>EOMONTH(clean_data[[#This Row],[Date]],-1)+1</f>
        <v>45231</v>
      </c>
    </row>
    <row r="133" spans="1:23" x14ac:dyDescent="0.3">
      <c r="A133" t="s">
        <v>205</v>
      </c>
      <c r="B133" s="1">
        <v>45548</v>
      </c>
      <c r="C133" t="s">
        <v>58</v>
      </c>
      <c r="D133" t="s">
        <v>64</v>
      </c>
      <c r="E133" t="s">
        <v>111</v>
      </c>
      <c r="F133" t="s">
        <v>28</v>
      </c>
      <c r="G133" t="s">
        <v>85</v>
      </c>
      <c r="H133">
        <v>37</v>
      </c>
      <c r="I133">
        <v>8000</v>
      </c>
      <c r="J133">
        <v>5</v>
      </c>
      <c r="K133">
        <v>281200</v>
      </c>
      <c r="L133">
        <v>154660</v>
      </c>
      <c r="M133">
        <v>126540</v>
      </c>
      <c r="N133" t="s">
        <v>22</v>
      </c>
      <c r="O133" t="s">
        <v>23</v>
      </c>
      <c r="P133" t="s">
        <v>24</v>
      </c>
      <c r="Q133" t="str">
        <f>TEXT(clean_data[[#This Row],[Date]],"mmm")</f>
        <v>Sep</v>
      </c>
      <c r="R133">
        <f>YEAR(clean_data[[#This Row],[Date]])</f>
        <v>2024</v>
      </c>
      <c r="S133" s="2">
        <f>clean_data[[#This Row],[Profit]]/clean_data[[#This Row],[Revenue]]</f>
        <v>0.45</v>
      </c>
      <c r="T133" t="str" cm="1">
        <f t="array" ref="T133">_xlfn.IFS(clean_data[[#This Row],[Revenue]]&lt;300000,"Small",
     clean_data[[#This Row],[Revenue]]&lt;700000,"Medium",
     TRUE,"Large")</f>
        <v>Small</v>
      </c>
      <c r="U133" t="str" cm="1">
        <f t="array" ref="U133">_xlfn.IFS(clean_data[[#This Row],[profit margin%]]&lt;0.5,"Low Profit",
     clean_data[[#This Row],[profit margin%]]&lt;0.6,"Medium Profit",
     TRUE,"High Profit")</f>
        <v>Low Profit</v>
      </c>
      <c r="V133" t="str">
        <f>TEXT(clean_data[[#This Row],[Date]],"mmm-yyyy")</f>
        <v>Sep-2024</v>
      </c>
      <c r="W133" s="8">
        <f>EOMONTH(clean_data[[#This Row],[Date]],-1)+1</f>
        <v>45536</v>
      </c>
    </row>
    <row r="134" spans="1:23" x14ac:dyDescent="0.3">
      <c r="A134" t="s">
        <v>206</v>
      </c>
      <c r="B134" s="1">
        <v>45540</v>
      </c>
      <c r="C134" t="s">
        <v>26</v>
      </c>
      <c r="D134" t="s">
        <v>69</v>
      </c>
      <c r="E134" t="s">
        <v>52</v>
      </c>
      <c r="F134" t="s">
        <v>33</v>
      </c>
      <c r="G134" t="s">
        <v>39</v>
      </c>
      <c r="H134">
        <v>33</v>
      </c>
      <c r="I134">
        <v>5000</v>
      </c>
      <c r="J134">
        <v>5</v>
      </c>
      <c r="K134">
        <v>156750</v>
      </c>
      <c r="L134">
        <v>78375</v>
      </c>
      <c r="M134">
        <v>78375</v>
      </c>
      <c r="N134" t="s">
        <v>30</v>
      </c>
      <c r="O134" t="s">
        <v>23</v>
      </c>
      <c r="P134" t="s">
        <v>24</v>
      </c>
      <c r="Q134" t="str">
        <f>TEXT(clean_data[[#This Row],[Date]],"mmm")</f>
        <v>Sep</v>
      </c>
      <c r="R134">
        <f>YEAR(clean_data[[#This Row],[Date]])</f>
        <v>2024</v>
      </c>
      <c r="S134" s="2">
        <f>clean_data[[#This Row],[Profit]]/clean_data[[#This Row],[Revenue]]</f>
        <v>0.5</v>
      </c>
      <c r="T134" t="str" cm="1">
        <f t="array" ref="T134">_xlfn.IFS(clean_data[[#This Row],[Revenue]]&lt;300000,"Small",
     clean_data[[#This Row],[Revenue]]&lt;700000,"Medium",
     TRUE,"Large")</f>
        <v>Small</v>
      </c>
      <c r="U134" t="str" cm="1">
        <f t="array" ref="U134">_xlfn.IFS(clean_data[[#This Row],[profit margin%]]&lt;0.5,"Low Profit",
     clean_data[[#This Row],[profit margin%]]&lt;0.6,"Medium Profit",
     TRUE,"High Profit")</f>
        <v>Medium Profit</v>
      </c>
      <c r="V134" t="str">
        <f>TEXT(clean_data[[#This Row],[Date]],"mmm-yyyy")</f>
        <v>Sep-2024</v>
      </c>
      <c r="W134" s="8">
        <f>EOMONTH(clean_data[[#This Row],[Date]],-1)+1</f>
        <v>45536</v>
      </c>
    </row>
    <row r="135" spans="1:23" x14ac:dyDescent="0.3">
      <c r="A135" t="s">
        <v>207</v>
      </c>
      <c r="B135" s="1">
        <v>45429</v>
      </c>
      <c r="C135" t="s">
        <v>46</v>
      </c>
      <c r="D135" t="s">
        <v>55</v>
      </c>
      <c r="E135" t="s">
        <v>70</v>
      </c>
      <c r="F135" t="s">
        <v>33</v>
      </c>
      <c r="G135" t="s">
        <v>48</v>
      </c>
      <c r="H135">
        <v>27</v>
      </c>
      <c r="I135">
        <v>1500</v>
      </c>
      <c r="J135">
        <v>10</v>
      </c>
      <c r="K135">
        <v>36450</v>
      </c>
      <c r="L135">
        <v>18225</v>
      </c>
      <c r="M135">
        <v>18225</v>
      </c>
      <c r="N135" t="s">
        <v>30</v>
      </c>
      <c r="O135" t="s">
        <v>50</v>
      </c>
      <c r="P135" t="s">
        <v>40</v>
      </c>
      <c r="Q135" t="str">
        <f>TEXT(clean_data[[#This Row],[Date]],"mmm")</f>
        <v>May</v>
      </c>
      <c r="R135">
        <f>YEAR(clean_data[[#This Row],[Date]])</f>
        <v>2024</v>
      </c>
      <c r="S135" s="2">
        <f>clean_data[[#This Row],[Profit]]/clean_data[[#This Row],[Revenue]]</f>
        <v>0.5</v>
      </c>
      <c r="T135" t="str" cm="1">
        <f t="array" ref="T135">_xlfn.IFS(clean_data[[#This Row],[Revenue]]&lt;300000,"Small",
     clean_data[[#This Row],[Revenue]]&lt;700000,"Medium",
     TRUE,"Large")</f>
        <v>Small</v>
      </c>
      <c r="U135" t="str" cm="1">
        <f t="array" ref="U135">_xlfn.IFS(clean_data[[#This Row],[profit margin%]]&lt;0.5,"Low Profit",
     clean_data[[#This Row],[profit margin%]]&lt;0.6,"Medium Profit",
     TRUE,"High Profit")</f>
        <v>Medium Profit</v>
      </c>
      <c r="V135" t="str">
        <f>TEXT(clean_data[[#This Row],[Date]],"mmm-yyyy")</f>
        <v>May-2024</v>
      </c>
      <c r="W135" s="8">
        <f>EOMONTH(clean_data[[#This Row],[Date]],-1)+1</f>
        <v>45413</v>
      </c>
    </row>
    <row r="136" spans="1:23" x14ac:dyDescent="0.3">
      <c r="A136" t="s">
        <v>208</v>
      </c>
      <c r="B136" s="1">
        <v>44692</v>
      </c>
      <c r="C136" t="s">
        <v>26</v>
      </c>
      <c r="D136" t="s">
        <v>69</v>
      </c>
      <c r="E136" t="s">
        <v>73</v>
      </c>
      <c r="F136" t="s">
        <v>33</v>
      </c>
      <c r="G136" t="s">
        <v>43</v>
      </c>
      <c r="H136">
        <v>10</v>
      </c>
      <c r="I136">
        <v>4000</v>
      </c>
      <c r="J136">
        <v>10</v>
      </c>
      <c r="K136">
        <v>36000</v>
      </c>
      <c r="L136">
        <v>18000</v>
      </c>
      <c r="M136">
        <v>18000</v>
      </c>
      <c r="N136" t="s">
        <v>22</v>
      </c>
      <c r="O136" t="s">
        <v>44</v>
      </c>
      <c r="P136" t="s">
        <v>24</v>
      </c>
      <c r="Q136" t="str">
        <f>TEXT(clean_data[[#This Row],[Date]],"mmm")</f>
        <v>May</v>
      </c>
      <c r="R136">
        <f>YEAR(clean_data[[#This Row],[Date]])</f>
        <v>2022</v>
      </c>
      <c r="S136" s="2">
        <f>clean_data[[#This Row],[Profit]]/clean_data[[#This Row],[Revenue]]</f>
        <v>0.5</v>
      </c>
      <c r="T136" t="str" cm="1">
        <f t="array" ref="T136">_xlfn.IFS(clean_data[[#This Row],[Revenue]]&lt;300000,"Small",
     clean_data[[#This Row],[Revenue]]&lt;700000,"Medium",
     TRUE,"Large")</f>
        <v>Small</v>
      </c>
      <c r="U136" t="str" cm="1">
        <f t="array" ref="U136">_xlfn.IFS(clean_data[[#This Row],[profit margin%]]&lt;0.5,"Low Profit",
     clean_data[[#This Row],[profit margin%]]&lt;0.6,"Medium Profit",
     TRUE,"High Profit")</f>
        <v>Medium Profit</v>
      </c>
      <c r="V136" t="str">
        <f>TEXT(clean_data[[#This Row],[Date]],"mmm-yyyy")</f>
        <v>May-2022</v>
      </c>
      <c r="W136" s="8">
        <f>EOMONTH(clean_data[[#This Row],[Date]],-1)+1</f>
        <v>44682</v>
      </c>
    </row>
    <row r="137" spans="1:23" x14ac:dyDescent="0.3">
      <c r="A137" t="s">
        <v>209</v>
      </c>
      <c r="B137" s="1">
        <v>45240</v>
      </c>
      <c r="C137" t="s">
        <v>58</v>
      </c>
      <c r="D137" t="s">
        <v>84</v>
      </c>
      <c r="E137" t="s">
        <v>38</v>
      </c>
      <c r="F137" t="s">
        <v>28</v>
      </c>
      <c r="G137" t="s">
        <v>71</v>
      </c>
      <c r="H137">
        <v>36</v>
      </c>
      <c r="I137">
        <v>35000</v>
      </c>
      <c r="J137">
        <v>15</v>
      </c>
      <c r="K137">
        <v>1071000</v>
      </c>
      <c r="L137">
        <v>589050</v>
      </c>
      <c r="M137">
        <v>481950</v>
      </c>
      <c r="N137" t="s">
        <v>30</v>
      </c>
      <c r="O137" t="s">
        <v>67</v>
      </c>
      <c r="P137" t="s">
        <v>24</v>
      </c>
      <c r="Q137" t="str">
        <f>TEXT(clean_data[[#This Row],[Date]],"mmm")</f>
        <v>Nov</v>
      </c>
      <c r="R137">
        <f>YEAR(clean_data[[#This Row],[Date]])</f>
        <v>2023</v>
      </c>
      <c r="S137" s="2">
        <f>clean_data[[#This Row],[Profit]]/clean_data[[#This Row],[Revenue]]</f>
        <v>0.45</v>
      </c>
      <c r="T137" t="str" cm="1">
        <f t="array" ref="T137">_xlfn.IFS(clean_data[[#This Row],[Revenue]]&lt;300000,"Small",
     clean_data[[#This Row],[Revenue]]&lt;700000,"Medium",
     TRUE,"Large")</f>
        <v>Large</v>
      </c>
      <c r="U137" t="str" cm="1">
        <f t="array" ref="U137">_xlfn.IFS(clean_data[[#This Row],[profit margin%]]&lt;0.5,"Low Profit",
     clean_data[[#This Row],[profit margin%]]&lt;0.6,"Medium Profit",
     TRUE,"High Profit")</f>
        <v>Low Profit</v>
      </c>
      <c r="V137" t="str">
        <f>TEXT(clean_data[[#This Row],[Date]],"mmm-yyyy")</f>
        <v>Nov-2023</v>
      </c>
      <c r="W137" s="8">
        <f>EOMONTH(clean_data[[#This Row],[Date]],-1)+1</f>
        <v>45231</v>
      </c>
    </row>
    <row r="138" spans="1:23" x14ac:dyDescent="0.3">
      <c r="A138" t="s">
        <v>210</v>
      </c>
      <c r="B138" s="1">
        <v>44733</v>
      </c>
      <c r="C138" t="s">
        <v>58</v>
      </c>
      <c r="D138" t="s">
        <v>64</v>
      </c>
      <c r="E138" t="s">
        <v>70</v>
      </c>
      <c r="F138" t="s">
        <v>28</v>
      </c>
      <c r="G138" t="s">
        <v>71</v>
      </c>
      <c r="H138">
        <v>20</v>
      </c>
      <c r="I138">
        <v>35000</v>
      </c>
      <c r="J138">
        <v>5</v>
      </c>
      <c r="K138">
        <v>665000</v>
      </c>
      <c r="L138">
        <v>365750</v>
      </c>
      <c r="M138">
        <v>299250</v>
      </c>
      <c r="N138" t="s">
        <v>49</v>
      </c>
      <c r="O138" t="s">
        <v>23</v>
      </c>
      <c r="P138" t="s">
        <v>24</v>
      </c>
      <c r="Q138" t="str">
        <f>TEXT(clean_data[[#This Row],[Date]],"mmm")</f>
        <v>Jun</v>
      </c>
      <c r="R138">
        <f>YEAR(clean_data[[#This Row],[Date]])</f>
        <v>2022</v>
      </c>
      <c r="S138" s="2">
        <f>clean_data[[#This Row],[Profit]]/clean_data[[#This Row],[Revenue]]</f>
        <v>0.45</v>
      </c>
      <c r="T138" t="str" cm="1">
        <f t="array" ref="T138">_xlfn.IFS(clean_data[[#This Row],[Revenue]]&lt;300000,"Small",
     clean_data[[#This Row],[Revenue]]&lt;700000,"Medium",
     TRUE,"Large")</f>
        <v>Medium</v>
      </c>
      <c r="U138" t="str" cm="1">
        <f t="array" ref="U138">_xlfn.IFS(clean_data[[#This Row],[profit margin%]]&lt;0.5,"Low Profit",
     clean_data[[#This Row],[profit margin%]]&lt;0.6,"Medium Profit",
     TRUE,"High Profit")</f>
        <v>Low Profit</v>
      </c>
      <c r="V138" t="str">
        <f>TEXT(clean_data[[#This Row],[Date]],"mmm-yyyy")</f>
        <v>Jun-2022</v>
      </c>
      <c r="W138" s="8">
        <f>EOMONTH(clean_data[[#This Row],[Date]],-1)+1</f>
        <v>44713</v>
      </c>
    </row>
    <row r="139" spans="1:23" x14ac:dyDescent="0.3">
      <c r="A139" t="s">
        <v>211</v>
      </c>
      <c r="B139" s="1">
        <v>44934</v>
      </c>
      <c r="C139" t="s">
        <v>46</v>
      </c>
      <c r="D139" t="s">
        <v>47</v>
      </c>
      <c r="E139" t="s">
        <v>52</v>
      </c>
      <c r="F139" t="s">
        <v>33</v>
      </c>
      <c r="G139" t="s">
        <v>39</v>
      </c>
      <c r="H139">
        <v>33</v>
      </c>
      <c r="I139">
        <v>5000</v>
      </c>
      <c r="J139">
        <v>20</v>
      </c>
      <c r="K139">
        <v>132000</v>
      </c>
      <c r="L139">
        <v>66000</v>
      </c>
      <c r="M139">
        <v>66000</v>
      </c>
      <c r="N139" t="s">
        <v>30</v>
      </c>
      <c r="O139" t="s">
        <v>50</v>
      </c>
      <c r="P139" t="s">
        <v>40</v>
      </c>
      <c r="Q139" t="str">
        <f>TEXT(clean_data[[#This Row],[Date]],"mmm")</f>
        <v>Jan</v>
      </c>
      <c r="R139">
        <f>YEAR(clean_data[[#This Row],[Date]])</f>
        <v>2023</v>
      </c>
      <c r="S139" s="2">
        <f>clean_data[[#This Row],[Profit]]/clean_data[[#This Row],[Revenue]]</f>
        <v>0.5</v>
      </c>
      <c r="T139" t="str" cm="1">
        <f t="array" ref="T139">_xlfn.IFS(clean_data[[#This Row],[Revenue]]&lt;300000,"Small",
     clean_data[[#This Row],[Revenue]]&lt;700000,"Medium",
     TRUE,"Large")</f>
        <v>Small</v>
      </c>
      <c r="U139" t="str" cm="1">
        <f t="array" ref="U139">_xlfn.IFS(clean_data[[#This Row],[profit margin%]]&lt;0.5,"Low Profit",
     clean_data[[#This Row],[profit margin%]]&lt;0.6,"Medium Profit",
     TRUE,"High Profit")</f>
        <v>Medium Profit</v>
      </c>
      <c r="V139" t="str">
        <f>TEXT(clean_data[[#This Row],[Date]],"mmm-yyyy")</f>
        <v>Jan-2023</v>
      </c>
      <c r="W139" s="8">
        <f>EOMONTH(clean_data[[#This Row],[Date]],-1)+1</f>
        <v>44927</v>
      </c>
    </row>
    <row r="140" spans="1:23" x14ac:dyDescent="0.3">
      <c r="A140" t="s">
        <v>212</v>
      </c>
      <c r="B140" s="1">
        <v>44824</v>
      </c>
      <c r="C140" t="s">
        <v>58</v>
      </c>
      <c r="D140" t="s">
        <v>84</v>
      </c>
      <c r="E140" t="s">
        <v>78</v>
      </c>
      <c r="F140" t="s">
        <v>20</v>
      </c>
      <c r="G140" t="s">
        <v>53</v>
      </c>
      <c r="H140">
        <v>11</v>
      </c>
      <c r="I140">
        <v>600</v>
      </c>
      <c r="J140">
        <v>15</v>
      </c>
      <c r="K140">
        <v>5610</v>
      </c>
      <c r="L140">
        <v>2244</v>
      </c>
      <c r="M140">
        <v>3366</v>
      </c>
      <c r="N140" t="s">
        <v>49</v>
      </c>
      <c r="O140" t="s">
        <v>50</v>
      </c>
      <c r="P140" t="s">
        <v>24</v>
      </c>
      <c r="Q140" t="str">
        <f>TEXT(clean_data[[#This Row],[Date]],"mmm")</f>
        <v>Sep</v>
      </c>
      <c r="R140">
        <f>YEAR(clean_data[[#This Row],[Date]])</f>
        <v>2022</v>
      </c>
      <c r="S140" s="2">
        <f>clean_data[[#This Row],[Profit]]/clean_data[[#This Row],[Revenue]]</f>
        <v>0.6</v>
      </c>
      <c r="T140" t="str" cm="1">
        <f t="array" ref="T140">_xlfn.IFS(clean_data[[#This Row],[Revenue]]&lt;300000,"Small",
     clean_data[[#This Row],[Revenue]]&lt;700000,"Medium",
     TRUE,"Large")</f>
        <v>Small</v>
      </c>
      <c r="U140" t="str" cm="1">
        <f t="array" ref="U140">_xlfn.IFS(clean_data[[#This Row],[profit margin%]]&lt;0.5,"Low Profit",
     clean_data[[#This Row],[profit margin%]]&lt;0.6,"Medium Profit",
     TRUE,"High Profit")</f>
        <v>High Profit</v>
      </c>
      <c r="V140" t="str">
        <f>TEXT(clean_data[[#This Row],[Date]],"mmm-yyyy")</f>
        <v>Sep-2022</v>
      </c>
      <c r="W140" s="8">
        <f>EOMONTH(clean_data[[#This Row],[Date]],-1)+1</f>
        <v>44805</v>
      </c>
    </row>
    <row r="141" spans="1:23" x14ac:dyDescent="0.3">
      <c r="A141" t="s">
        <v>213</v>
      </c>
      <c r="B141" s="1">
        <v>45031</v>
      </c>
      <c r="C141" t="s">
        <v>17</v>
      </c>
      <c r="D141" t="s">
        <v>42</v>
      </c>
      <c r="E141" t="s">
        <v>60</v>
      </c>
      <c r="F141" t="s">
        <v>20</v>
      </c>
      <c r="G141" t="s">
        <v>53</v>
      </c>
      <c r="H141">
        <v>16</v>
      </c>
      <c r="I141">
        <v>600</v>
      </c>
      <c r="J141">
        <v>10</v>
      </c>
      <c r="K141">
        <v>8640</v>
      </c>
      <c r="L141">
        <v>3456</v>
      </c>
      <c r="M141">
        <v>5184</v>
      </c>
      <c r="N141" t="s">
        <v>30</v>
      </c>
      <c r="O141" t="s">
        <v>50</v>
      </c>
      <c r="P141" t="s">
        <v>24</v>
      </c>
      <c r="Q141" t="str">
        <f>TEXT(clean_data[[#This Row],[Date]],"mmm")</f>
        <v>Apr</v>
      </c>
      <c r="R141">
        <f>YEAR(clean_data[[#This Row],[Date]])</f>
        <v>2023</v>
      </c>
      <c r="S141" s="2">
        <f>clean_data[[#This Row],[Profit]]/clean_data[[#This Row],[Revenue]]</f>
        <v>0.6</v>
      </c>
      <c r="T141" t="str" cm="1">
        <f t="array" ref="T141">_xlfn.IFS(clean_data[[#This Row],[Revenue]]&lt;300000,"Small",
     clean_data[[#This Row],[Revenue]]&lt;700000,"Medium",
     TRUE,"Large")</f>
        <v>Small</v>
      </c>
      <c r="U141" t="str" cm="1">
        <f t="array" ref="U141">_xlfn.IFS(clean_data[[#This Row],[profit margin%]]&lt;0.5,"Low Profit",
     clean_data[[#This Row],[profit margin%]]&lt;0.6,"Medium Profit",
     TRUE,"High Profit")</f>
        <v>High Profit</v>
      </c>
      <c r="V141" t="str">
        <f>TEXT(clean_data[[#This Row],[Date]],"mmm-yyyy")</f>
        <v>Apr-2023</v>
      </c>
      <c r="W141" s="8">
        <f>EOMONTH(clean_data[[#This Row],[Date]],-1)+1</f>
        <v>45017</v>
      </c>
    </row>
    <row r="142" spans="1:23" x14ac:dyDescent="0.3">
      <c r="A142" t="s">
        <v>214</v>
      </c>
      <c r="B142" s="1">
        <v>45427</v>
      </c>
      <c r="C142" t="s">
        <v>17</v>
      </c>
      <c r="D142" t="s">
        <v>37</v>
      </c>
      <c r="E142" t="s">
        <v>111</v>
      </c>
      <c r="F142" t="s">
        <v>65</v>
      </c>
      <c r="G142" t="s">
        <v>104</v>
      </c>
      <c r="H142">
        <v>13</v>
      </c>
      <c r="I142">
        <v>3000</v>
      </c>
      <c r="J142">
        <v>20</v>
      </c>
      <c r="K142">
        <v>31200</v>
      </c>
      <c r="L142">
        <v>14040</v>
      </c>
      <c r="M142">
        <v>17160</v>
      </c>
      <c r="N142" t="s">
        <v>49</v>
      </c>
      <c r="O142" t="s">
        <v>35</v>
      </c>
      <c r="P142" t="s">
        <v>24</v>
      </c>
      <c r="Q142" t="str">
        <f>TEXT(clean_data[[#This Row],[Date]],"mmm")</f>
        <v>May</v>
      </c>
      <c r="R142">
        <f>YEAR(clean_data[[#This Row],[Date]])</f>
        <v>2024</v>
      </c>
      <c r="S142" s="2">
        <f>clean_data[[#This Row],[Profit]]/clean_data[[#This Row],[Revenue]]</f>
        <v>0.55000000000000004</v>
      </c>
      <c r="T142" t="str" cm="1">
        <f t="array" ref="T142">_xlfn.IFS(clean_data[[#This Row],[Revenue]]&lt;300000,"Small",
     clean_data[[#This Row],[Revenue]]&lt;700000,"Medium",
     TRUE,"Large")</f>
        <v>Small</v>
      </c>
      <c r="U142" t="str" cm="1">
        <f t="array" ref="U142">_xlfn.IFS(clean_data[[#This Row],[profit margin%]]&lt;0.5,"Low Profit",
     clean_data[[#This Row],[profit margin%]]&lt;0.6,"Medium Profit",
     TRUE,"High Profit")</f>
        <v>Medium Profit</v>
      </c>
      <c r="V142" t="str">
        <f>TEXT(clean_data[[#This Row],[Date]],"mmm-yyyy")</f>
        <v>May-2024</v>
      </c>
      <c r="W142" s="8">
        <f>EOMONTH(clean_data[[#This Row],[Date]],-1)+1</f>
        <v>45413</v>
      </c>
    </row>
    <row r="143" spans="1:23" x14ac:dyDescent="0.3">
      <c r="A143" t="s">
        <v>215</v>
      </c>
      <c r="B143" s="1">
        <v>45501</v>
      </c>
      <c r="C143" t="s">
        <v>17</v>
      </c>
      <c r="D143" t="s">
        <v>42</v>
      </c>
      <c r="E143" t="s">
        <v>52</v>
      </c>
      <c r="F143" t="s">
        <v>28</v>
      </c>
      <c r="G143" t="s">
        <v>71</v>
      </c>
      <c r="H143">
        <v>6</v>
      </c>
      <c r="I143">
        <v>35000</v>
      </c>
      <c r="J143">
        <v>5</v>
      </c>
      <c r="K143">
        <v>199500</v>
      </c>
      <c r="L143">
        <v>109725</v>
      </c>
      <c r="M143">
        <v>89775</v>
      </c>
      <c r="N143" t="s">
        <v>49</v>
      </c>
      <c r="O143" t="s">
        <v>67</v>
      </c>
      <c r="P143" t="s">
        <v>24</v>
      </c>
      <c r="Q143" t="str">
        <f>TEXT(clean_data[[#This Row],[Date]],"mmm")</f>
        <v>Jul</v>
      </c>
      <c r="R143">
        <f>YEAR(clean_data[[#This Row],[Date]])</f>
        <v>2024</v>
      </c>
      <c r="S143" s="2">
        <f>clean_data[[#This Row],[Profit]]/clean_data[[#This Row],[Revenue]]</f>
        <v>0.45</v>
      </c>
      <c r="T143" t="str" cm="1">
        <f t="array" ref="T143">_xlfn.IFS(clean_data[[#This Row],[Revenue]]&lt;300000,"Small",
     clean_data[[#This Row],[Revenue]]&lt;700000,"Medium",
     TRUE,"Large")</f>
        <v>Small</v>
      </c>
      <c r="U143" t="str" cm="1">
        <f t="array" ref="U143">_xlfn.IFS(clean_data[[#This Row],[profit margin%]]&lt;0.5,"Low Profit",
     clean_data[[#This Row],[profit margin%]]&lt;0.6,"Medium Profit",
     TRUE,"High Profit")</f>
        <v>Low Profit</v>
      </c>
      <c r="V143" t="str">
        <f>TEXT(clean_data[[#This Row],[Date]],"mmm-yyyy")</f>
        <v>Jul-2024</v>
      </c>
      <c r="W143" s="8">
        <f>EOMONTH(clean_data[[#This Row],[Date]],-1)+1</f>
        <v>45474</v>
      </c>
    </row>
    <row r="144" spans="1:23" x14ac:dyDescent="0.3">
      <c r="A144" t="s">
        <v>216</v>
      </c>
      <c r="B144" s="1">
        <v>44861</v>
      </c>
      <c r="C144" t="s">
        <v>58</v>
      </c>
      <c r="D144" t="s">
        <v>84</v>
      </c>
      <c r="E144" t="s">
        <v>19</v>
      </c>
      <c r="F144" t="s">
        <v>65</v>
      </c>
      <c r="G144" t="s">
        <v>124</v>
      </c>
      <c r="H144">
        <v>2</v>
      </c>
      <c r="I144">
        <v>18000</v>
      </c>
      <c r="J144">
        <v>15</v>
      </c>
      <c r="K144">
        <v>30600</v>
      </c>
      <c r="L144">
        <v>13770</v>
      </c>
      <c r="M144">
        <v>16830</v>
      </c>
      <c r="N144" t="s">
        <v>49</v>
      </c>
      <c r="O144" t="s">
        <v>67</v>
      </c>
      <c r="P144" t="s">
        <v>24</v>
      </c>
      <c r="Q144" t="str">
        <f>TEXT(clean_data[[#This Row],[Date]],"mmm")</f>
        <v>Oct</v>
      </c>
      <c r="R144">
        <f>YEAR(clean_data[[#This Row],[Date]])</f>
        <v>2022</v>
      </c>
      <c r="S144" s="2">
        <f>clean_data[[#This Row],[Profit]]/clean_data[[#This Row],[Revenue]]</f>
        <v>0.55000000000000004</v>
      </c>
      <c r="T144" t="str" cm="1">
        <f t="array" ref="T144">_xlfn.IFS(clean_data[[#This Row],[Revenue]]&lt;300000,"Small",
     clean_data[[#This Row],[Revenue]]&lt;700000,"Medium",
     TRUE,"Large")</f>
        <v>Small</v>
      </c>
      <c r="U144" t="str" cm="1">
        <f t="array" ref="U144">_xlfn.IFS(clean_data[[#This Row],[profit margin%]]&lt;0.5,"Low Profit",
     clean_data[[#This Row],[profit margin%]]&lt;0.6,"Medium Profit",
     TRUE,"High Profit")</f>
        <v>Medium Profit</v>
      </c>
      <c r="V144" t="str">
        <f>TEXT(clean_data[[#This Row],[Date]],"mmm-yyyy")</f>
        <v>Oct-2022</v>
      </c>
      <c r="W144" s="8">
        <f>EOMONTH(clean_data[[#This Row],[Date]],-1)+1</f>
        <v>44835</v>
      </c>
    </row>
    <row r="145" spans="1:23" x14ac:dyDescent="0.3">
      <c r="A145" t="s">
        <v>217</v>
      </c>
      <c r="B145" s="1">
        <v>45268</v>
      </c>
      <c r="C145" t="s">
        <v>58</v>
      </c>
      <c r="D145" t="s">
        <v>84</v>
      </c>
      <c r="E145" t="s">
        <v>70</v>
      </c>
      <c r="F145" t="s">
        <v>20</v>
      </c>
      <c r="G145" t="s">
        <v>21</v>
      </c>
      <c r="H145">
        <v>21</v>
      </c>
      <c r="I145">
        <v>3500</v>
      </c>
      <c r="J145">
        <v>0</v>
      </c>
      <c r="K145">
        <v>73500</v>
      </c>
      <c r="L145">
        <v>29400</v>
      </c>
      <c r="M145">
        <v>44100</v>
      </c>
      <c r="N145" t="s">
        <v>30</v>
      </c>
      <c r="O145" t="s">
        <v>44</v>
      </c>
      <c r="P145" t="s">
        <v>24</v>
      </c>
      <c r="Q145" t="str">
        <f>TEXT(clean_data[[#This Row],[Date]],"mmm")</f>
        <v>Dec</v>
      </c>
      <c r="R145">
        <f>YEAR(clean_data[[#This Row],[Date]])</f>
        <v>2023</v>
      </c>
      <c r="S145" s="2">
        <f>clean_data[[#This Row],[Profit]]/clean_data[[#This Row],[Revenue]]</f>
        <v>0.6</v>
      </c>
      <c r="T145" t="str" cm="1">
        <f t="array" ref="T145">_xlfn.IFS(clean_data[[#This Row],[Revenue]]&lt;300000,"Small",
     clean_data[[#This Row],[Revenue]]&lt;700000,"Medium",
     TRUE,"Large")</f>
        <v>Small</v>
      </c>
      <c r="U145" t="str" cm="1">
        <f t="array" ref="U145">_xlfn.IFS(clean_data[[#This Row],[profit margin%]]&lt;0.5,"Low Profit",
     clean_data[[#This Row],[profit margin%]]&lt;0.6,"Medium Profit",
     TRUE,"High Profit")</f>
        <v>High Profit</v>
      </c>
      <c r="V145" t="str">
        <f>TEXT(clean_data[[#This Row],[Date]],"mmm-yyyy")</f>
        <v>Dec-2023</v>
      </c>
      <c r="W145" s="8">
        <f>EOMONTH(clean_data[[#This Row],[Date]],-1)+1</f>
        <v>45261</v>
      </c>
    </row>
    <row r="146" spans="1:23" x14ac:dyDescent="0.3">
      <c r="A146" t="s">
        <v>218</v>
      </c>
      <c r="B146" s="1">
        <v>44630</v>
      </c>
      <c r="C146" t="s">
        <v>58</v>
      </c>
      <c r="D146" t="s">
        <v>64</v>
      </c>
      <c r="E146" t="s">
        <v>78</v>
      </c>
      <c r="F146" t="s">
        <v>65</v>
      </c>
      <c r="G146" t="s">
        <v>66</v>
      </c>
      <c r="H146">
        <v>40</v>
      </c>
      <c r="I146">
        <v>5500</v>
      </c>
      <c r="J146">
        <v>0</v>
      </c>
      <c r="K146">
        <v>220000</v>
      </c>
      <c r="L146">
        <v>99000</v>
      </c>
      <c r="M146">
        <v>121000</v>
      </c>
      <c r="N146" t="s">
        <v>30</v>
      </c>
      <c r="O146" t="s">
        <v>50</v>
      </c>
      <c r="P146" t="s">
        <v>24</v>
      </c>
      <c r="Q146" t="str">
        <f>TEXT(clean_data[[#This Row],[Date]],"mmm")</f>
        <v>Mar</v>
      </c>
      <c r="R146">
        <f>YEAR(clean_data[[#This Row],[Date]])</f>
        <v>2022</v>
      </c>
      <c r="S146" s="2">
        <f>clean_data[[#This Row],[Profit]]/clean_data[[#This Row],[Revenue]]</f>
        <v>0.55000000000000004</v>
      </c>
      <c r="T146" t="str" cm="1">
        <f t="array" ref="T146">_xlfn.IFS(clean_data[[#This Row],[Revenue]]&lt;300000,"Small",
     clean_data[[#This Row],[Revenue]]&lt;700000,"Medium",
     TRUE,"Large")</f>
        <v>Small</v>
      </c>
      <c r="U146" t="str" cm="1">
        <f t="array" ref="U146">_xlfn.IFS(clean_data[[#This Row],[profit margin%]]&lt;0.5,"Low Profit",
     clean_data[[#This Row],[profit margin%]]&lt;0.6,"Medium Profit",
     TRUE,"High Profit")</f>
        <v>Medium Profit</v>
      </c>
      <c r="V146" t="str">
        <f>TEXT(clean_data[[#This Row],[Date]],"mmm-yyyy")</f>
        <v>Mar-2022</v>
      </c>
      <c r="W146" s="8">
        <f>EOMONTH(clean_data[[#This Row],[Date]],-1)+1</f>
        <v>44621</v>
      </c>
    </row>
    <row r="147" spans="1:23" x14ac:dyDescent="0.3">
      <c r="A147" t="s">
        <v>219</v>
      </c>
      <c r="B147" s="1">
        <v>44984</v>
      </c>
      <c r="C147" t="s">
        <v>46</v>
      </c>
      <c r="D147" t="s">
        <v>55</v>
      </c>
      <c r="E147" t="s">
        <v>52</v>
      </c>
      <c r="F147" t="s">
        <v>33</v>
      </c>
      <c r="G147" t="s">
        <v>76</v>
      </c>
      <c r="H147">
        <v>20</v>
      </c>
      <c r="I147">
        <v>8500</v>
      </c>
      <c r="J147">
        <v>0</v>
      </c>
      <c r="K147">
        <v>170000</v>
      </c>
      <c r="L147">
        <v>85000</v>
      </c>
      <c r="M147">
        <v>85000</v>
      </c>
      <c r="N147" t="s">
        <v>30</v>
      </c>
      <c r="O147" t="s">
        <v>23</v>
      </c>
      <c r="P147" t="s">
        <v>24</v>
      </c>
      <c r="Q147" t="str">
        <f>TEXT(clean_data[[#This Row],[Date]],"mmm")</f>
        <v>Feb</v>
      </c>
      <c r="R147">
        <f>YEAR(clean_data[[#This Row],[Date]])</f>
        <v>2023</v>
      </c>
      <c r="S147" s="2">
        <f>clean_data[[#This Row],[Profit]]/clean_data[[#This Row],[Revenue]]</f>
        <v>0.5</v>
      </c>
      <c r="T147" t="str" cm="1">
        <f t="array" ref="T147">_xlfn.IFS(clean_data[[#This Row],[Revenue]]&lt;300000,"Small",
     clean_data[[#This Row],[Revenue]]&lt;700000,"Medium",
     TRUE,"Large")</f>
        <v>Small</v>
      </c>
      <c r="U147" t="str" cm="1">
        <f t="array" ref="U147">_xlfn.IFS(clean_data[[#This Row],[profit margin%]]&lt;0.5,"Low Profit",
     clean_data[[#This Row],[profit margin%]]&lt;0.6,"Medium Profit",
     TRUE,"High Profit")</f>
        <v>Medium Profit</v>
      </c>
      <c r="V147" t="str">
        <f>TEXT(clean_data[[#This Row],[Date]],"mmm-yyyy")</f>
        <v>Feb-2023</v>
      </c>
      <c r="W147" s="8">
        <f>EOMONTH(clean_data[[#This Row],[Date]],-1)+1</f>
        <v>44958</v>
      </c>
    </row>
    <row r="148" spans="1:23" x14ac:dyDescent="0.3">
      <c r="A148" t="s">
        <v>220</v>
      </c>
      <c r="B148" s="1">
        <v>45446</v>
      </c>
      <c r="C148" t="s">
        <v>26</v>
      </c>
      <c r="D148" t="s">
        <v>69</v>
      </c>
      <c r="E148" t="s">
        <v>38</v>
      </c>
      <c r="F148" t="s">
        <v>28</v>
      </c>
      <c r="G148" t="s">
        <v>29</v>
      </c>
      <c r="H148">
        <v>37</v>
      </c>
      <c r="I148">
        <v>15000</v>
      </c>
      <c r="J148">
        <v>5</v>
      </c>
      <c r="K148">
        <v>527250</v>
      </c>
      <c r="L148">
        <v>289987.5</v>
      </c>
      <c r="M148">
        <v>237262.5</v>
      </c>
      <c r="N148" t="s">
        <v>49</v>
      </c>
      <c r="O148" t="s">
        <v>23</v>
      </c>
      <c r="P148" t="s">
        <v>24</v>
      </c>
      <c r="Q148" t="str">
        <f>TEXT(clean_data[[#This Row],[Date]],"mmm")</f>
        <v>Jun</v>
      </c>
      <c r="R148">
        <f>YEAR(clean_data[[#This Row],[Date]])</f>
        <v>2024</v>
      </c>
      <c r="S148" s="2">
        <f>clean_data[[#This Row],[Profit]]/clean_data[[#This Row],[Revenue]]</f>
        <v>0.45</v>
      </c>
      <c r="T148" t="str" cm="1">
        <f t="array" ref="T148">_xlfn.IFS(clean_data[[#This Row],[Revenue]]&lt;300000,"Small",
     clean_data[[#This Row],[Revenue]]&lt;700000,"Medium",
     TRUE,"Large")</f>
        <v>Medium</v>
      </c>
      <c r="U148" t="str" cm="1">
        <f t="array" ref="U148">_xlfn.IFS(clean_data[[#This Row],[profit margin%]]&lt;0.5,"Low Profit",
     clean_data[[#This Row],[profit margin%]]&lt;0.6,"Medium Profit",
     TRUE,"High Profit")</f>
        <v>Low Profit</v>
      </c>
      <c r="V148" t="str">
        <f>TEXT(clean_data[[#This Row],[Date]],"mmm-yyyy")</f>
        <v>Jun-2024</v>
      </c>
      <c r="W148" s="8">
        <f>EOMONTH(clean_data[[#This Row],[Date]],-1)+1</f>
        <v>45444</v>
      </c>
    </row>
    <row r="149" spans="1:23" x14ac:dyDescent="0.3">
      <c r="A149" t="s">
        <v>221</v>
      </c>
      <c r="B149" s="1">
        <v>44581</v>
      </c>
      <c r="C149" t="s">
        <v>17</v>
      </c>
      <c r="D149" t="s">
        <v>18</v>
      </c>
      <c r="E149" t="s">
        <v>38</v>
      </c>
      <c r="F149" t="s">
        <v>65</v>
      </c>
      <c r="G149" t="s">
        <v>104</v>
      </c>
      <c r="H149">
        <v>43</v>
      </c>
      <c r="I149">
        <v>3000</v>
      </c>
      <c r="J149">
        <v>0</v>
      </c>
      <c r="K149">
        <v>129000</v>
      </c>
      <c r="L149">
        <v>58050</v>
      </c>
      <c r="M149">
        <v>70950</v>
      </c>
      <c r="N149" t="s">
        <v>49</v>
      </c>
      <c r="O149" t="s">
        <v>35</v>
      </c>
      <c r="P149" t="s">
        <v>40</v>
      </c>
      <c r="Q149" t="str">
        <f>TEXT(clean_data[[#This Row],[Date]],"mmm")</f>
        <v>Jan</v>
      </c>
      <c r="R149">
        <f>YEAR(clean_data[[#This Row],[Date]])</f>
        <v>2022</v>
      </c>
      <c r="S149" s="2">
        <f>clean_data[[#This Row],[Profit]]/clean_data[[#This Row],[Revenue]]</f>
        <v>0.55000000000000004</v>
      </c>
      <c r="T149" t="str" cm="1">
        <f t="array" ref="T149">_xlfn.IFS(clean_data[[#This Row],[Revenue]]&lt;300000,"Small",
     clean_data[[#This Row],[Revenue]]&lt;700000,"Medium",
     TRUE,"Large")</f>
        <v>Small</v>
      </c>
      <c r="U149" t="str" cm="1">
        <f t="array" ref="U149">_xlfn.IFS(clean_data[[#This Row],[profit margin%]]&lt;0.5,"Low Profit",
     clean_data[[#This Row],[profit margin%]]&lt;0.6,"Medium Profit",
     TRUE,"High Profit")</f>
        <v>Medium Profit</v>
      </c>
      <c r="V149" t="str">
        <f>TEXT(clean_data[[#This Row],[Date]],"mmm-yyyy")</f>
        <v>Jan-2022</v>
      </c>
      <c r="W149" s="8">
        <f>EOMONTH(clean_data[[#This Row],[Date]],-1)+1</f>
        <v>44562</v>
      </c>
    </row>
    <row r="150" spans="1:23" x14ac:dyDescent="0.3">
      <c r="A150" t="s">
        <v>222</v>
      </c>
      <c r="B150" s="1">
        <v>45583</v>
      </c>
      <c r="C150" t="s">
        <v>26</v>
      </c>
      <c r="D150" t="s">
        <v>69</v>
      </c>
      <c r="E150" t="s">
        <v>60</v>
      </c>
      <c r="F150" t="s">
        <v>28</v>
      </c>
      <c r="G150" t="s">
        <v>85</v>
      </c>
      <c r="H150">
        <v>24</v>
      </c>
      <c r="I150">
        <v>8000</v>
      </c>
      <c r="J150">
        <v>10</v>
      </c>
      <c r="K150">
        <v>172800</v>
      </c>
      <c r="L150">
        <v>95040</v>
      </c>
      <c r="M150">
        <v>77760</v>
      </c>
      <c r="N150" t="s">
        <v>49</v>
      </c>
      <c r="O150" t="s">
        <v>35</v>
      </c>
      <c r="P150" t="s">
        <v>24</v>
      </c>
      <c r="Q150" t="str">
        <f>TEXT(clean_data[[#This Row],[Date]],"mmm")</f>
        <v>Oct</v>
      </c>
      <c r="R150">
        <f>YEAR(clean_data[[#This Row],[Date]])</f>
        <v>2024</v>
      </c>
      <c r="S150" s="2">
        <f>clean_data[[#This Row],[Profit]]/clean_data[[#This Row],[Revenue]]</f>
        <v>0.45</v>
      </c>
      <c r="T150" t="str" cm="1">
        <f t="array" ref="T150">_xlfn.IFS(clean_data[[#This Row],[Revenue]]&lt;300000,"Small",
     clean_data[[#This Row],[Revenue]]&lt;700000,"Medium",
     TRUE,"Large")</f>
        <v>Small</v>
      </c>
      <c r="U150" t="str" cm="1">
        <f t="array" ref="U150">_xlfn.IFS(clean_data[[#This Row],[profit margin%]]&lt;0.5,"Low Profit",
     clean_data[[#This Row],[profit margin%]]&lt;0.6,"Medium Profit",
     TRUE,"High Profit")</f>
        <v>Low Profit</v>
      </c>
      <c r="V150" t="str">
        <f>TEXT(clean_data[[#This Row],[Date]],"mmm-yyyy")</f>
        <v>Oct-2024</v>
      </c>
      <c r="W150" s="8">
        <f>EOMONTH(clean_data[[#This Row],[Date]],-1)+1</f>
        <v>45566</v>
      </c>
    </row>
    <row r="151" spans="1:23" x14ac:dyDescent="0.3">
      <c r="A151" t="s">
        <v>223</v>
      </c>
      <c r="B151" s="1">
        <v>45238</v>
      </c>
      <c r="C151" t="s">
        <v>26</v>
      </c>
      <c r="D151" t="s">
        <v>69</v>
      </c>
      <c r="E151" t="s">
        <v>78</v>
      </c>
      <c r="F151" t="s">
        <v>28</v>
      </c>
      <c r="G151" t="s">
        <v>71</v>
      </c>
      <c r="H151">
        <v>35</v>
      </c>
      <c r="I151">
        <v>35000</v>
      </c>
      <c r="J151">
        <v>10</v>
      </c>
      <c r="K151">
        <v>1102500</v>
      </c>
      <c r="L151">
        <v>606375</v>
      </c>
      <c r="M151">
        <v>496125</v>
      </c>
      <c r="N151" t="s">
        <v>22</v>
      </c>
      <c r="O151" t="s">
        <v>23</v>
      </c>
      <c r="P151" t="s">
        <v>24</v>
      </c>
      <c r="Q151" t="str">
        <f>TEXT(clean_data[[#This Row],[Date]],"mmm")</f>
        <v>Nov</v>
      </c>
      <c r="R151">
        <f>YEAR(clean_data[[#This Row],[Date]])</f>
        <v>2023</v>
      </c>
      <c r="S151" s="2">
        <f>clean_data[[#This Row],[Profit]]/clean_data[[#This Row],[Revenue]]</f>
        <v>0.45</v>
      </c>
      <c r="T151" t="str" cm="1">
        <f t="array" ref="T151">_xlfn.IFS(clean_data[[#This Row],[Revenue]]&lt;300000,"Small",
     clean_data[[#This Row],[Revenue]]&lt;700000,"Medium",
     TRUE,"Large")</f>
        <v>Large</v>
      </c>
      <c r="U151" t="str" cm="1">
        <f t="array" ref="U151">_xlfn.IFS(clean_data[[#This Row],[profit margin%]]&lt;0.5,"Low Profit",
     clean_data[[#This Row],[profit margin%]]&lt;0.6,"Medium Profit",
     TRUE,"High Profit")</f>
        <v>Low Profit</v>
      </c>
      <c r="V151" t="str">
        <f>TEXT(clean_data[[#This Row],[Date]],"mmm-yyyy")</f>
        <v>Nov-2023</v>
      </c>
      <c r="W151" s="8">
        <f>EOMONTH(clean_data[[#This Row],[Date]],-1)+1</f>
        <v>45231</v>
      </c>
    </row>
    <row r="152" spans="1:23" x14ac:dyDescent="0.3">
      <c r="A152" t="s">
        <v>224</v>
      </c>
      <c r="B152" s="1">
        <v>45494</v>
      </c>
      <c r="C152" t="s">
        <v>46</v>
      </c>
      <c r="D152" t="s">
        <v>47</v>
      </c>
      <c r="E152" t="s">
        <v>52</v>
      </c>
      <c r="F152" t="s">
        <v>65</v>
      </c>
      <c r="G152" t="s">
        <v>117</v>
      </c>
      <c r="H152">
        <v>19</v>
      </c>
      <c r="I152">
        <v>1200</v>
      </c>
      <c r="J152">
        <v>5</v>
      </c>
      <c r="K152">
        <v>21660</v>
      </c>
      <c r="L152">
        <v>9747</v>
      </c>
      <c r="M152">
        <v>11913</v>
      </c>
      <c r="N152" t="s">
        <v>30</v>
      </c>
      <c r="O152" t="s">
        <v>35</v>
      </c>
      <c r="P152" t="s">
        <v>24</v>
      </c>
      <c r="Q152" t="str">
        <f>TEXT(clean_data[[#This Row],[Date]],"mmm")</f>
        <v>Jul</v>
      </c>
      <c r="R152">
        <f>YEAR(clean_data[[#This Row],[Date]])</f>
        <v>2024</v>
      </c>
      <c r="S152" s="2">
        <f>clean_data[[#This Row],[Profit]]/clean_data[[#This Row],[Revenue]]</f>
        <v>0.55000000000000004</v>
      </c>
      <c r="T152" t="str" cm="1">
        <f t="array" ref="T152">_xlfn.IFS(clean_data[[#This Row],[Revenue]]&lt;300000,"Small",
     clean_data[[#This Row],[Revenue]]&lt;700000,"Medium",
     TRUE,"Large")</f>
        <v>Small</v>
      </c>
      <c r="U152" t="str" cm="1">
        <f t="array" ref="U152">_xlfn.IFS(clean_data[[#This Row],[profit margin%]]&lt;0.5,"Low Profit",
     clean_data[[#This Row],[profit margin%]]&lt;0.6,"Medium Profit",
     TRUE,"High Profit")</f>
        <v>Medium Profit</v>
      </c>
      <c r="V152" t="str">
        <f>TEXT(clean_data[[#This Row],[Date]],"mmm-yyyy")</f>
        <v>Jul-2024</v>
      </c>
      <c r="W152" s="8">
        <f>EOMONTH(clean_data[[#This Row],[Date]],-1)+1</f>
        <v>45474</v>
      </c>
    </row>
    <row r="153" spans="1:23" x14ac:dyDescent="0.3">
      <c r="A153" t="s">
        <v>225</v>
      </c>
      <c r="B153" s="1">
        <v>45179</v>
      </c>
      <c r="C153" t="s">
        <v>58</v>
      </c>
      <c r="D153" t="s">
        <v>64</v>
      </c>
      <c r="E153" t="s">
        <v>60</v>
      </c>
      <c r="F153" t="s">
        <v>33</v>
      </c>
      <c r="G153" t="s">
        <v>39</v>
      </c>
      <c r="H153">
        <v>49</v>
      </c>
      <c r="I153">
        <v>5000</v>
      </c>
      <c r="J153">
        <v>5</v>
      </c>
      <c r="K153">
        <v>232750</v>
      </c>
      <c r="L153">
        <v>116375</v>
      </c>
      <c r="M153">
        <v>116375</v>
      </c>
      <c r="N153" t="s">
        <v>49</v>
      </c>
      <c r="O153" t="s">
        <v>35</v>
      </c>
      <c r="P153" t="s">
        <v>24</v>
      </c>
      <c r="Q153" t="str">
        <f>TEXT(clean_data[[#This Row],[Date]],"mmm")</f>
        <v>Sep</v>
      </c>
      <c r="R153">
        <f>YEAR(clean_data[[#This Row],[Date]])</f>
        <v>2023</v>
      </c>
      <c r="S153" s="2">
        <f>clean_data[[#This Row],[Profit]]/clean_data[[#This Row],[Revenue]]</f>
        <v>0.5</v>
      </c>
      <c r="T153" t="str" cm="1">
        <f t="array" ref="T153">_xlfn.IFS(clean_data[[#This Row],[Revenue]]&lt;300000,"Small",
     clean_data[[#This Row],[Revenue]]&lt;700000,"Medium",
     TRUE,"Large")</f>
        <v>Small</v>
      </c>
      <c r="U153" t="str" cm="1">
        <f t="array" ref="U153">_xlfn.IFS(clean_data[[#This Row],[profit margin%]]&lt;0.5,"Low Profit",
     clean_data[[#This Row],[profit margin%]]&lt;0.6,"Medium Profit",
     TRUE,"High Profit")</f>
        <v>Medium Profit</v>
      </c>
      <c r="V153" t="str">
        <f>TEXT(clean_data[[#This Row],[Date]],"mmm-yyyy")</f>
        <v>Sep-2023</v>
      </c>
      <c r="W153" s="8">
        <f>EOMONTH(clean_data[[#This Row],[Date]],-1)+1</f>
        <v>45170</v>
      </c>
    </row>
    <row r="154" spans="1:23" x14ac:dyDescent="0.3">
      <c r="A154" t="s">
        <v>226</v>
      </c>
      <c r="B154" s="1">
        <v>45208</v>
      </c>
      <c r="C154" t="s">
        <v>26</v>
      </c>
      <c r="D154" t="s">
        <v>69</v>
      </c>
      <c r="E154" t="s">
        <v>32</v>
      </c>
      <c r="F154" t="s">
        <v>65</v>
      </c>
      <c r="G154" t="s">
        <v>66</v>
      </c>
      <c r="H154">
        <v>25</v>
      </c>
      <c r="I154">
        <v>5500</v>
      </c>
      <c r="J154">
        <v>10</v>
      </c>
      <c r="K154">
        <v>123750</v>
      </c>
      <c r="L154">
        <v>55687.5</v>
      </c>
      <c r="M154">
        <v>68062.5</v>
      </c>
      <c r="N154" t="s">
        <v>49</v>
      </c>
      <c r="O154" t="s">
        <v>23</v>
      </c>
      <c r="P154" t="s">
        <v>24</v>
      </c>
      <c r="Q154" t="str">
        <f>TEXT(clean_data[[#This Row],[Date]],"mmm")</f>
        <v>Oct</v>
      </c>
      <c r="R154">
        <f>YEAR(clean_data[[#This Row],[Date]])</f>
        <v>2023</v>
      </c>
      <c r="S154" s="2">
        <f>clean_data[[#This Row],[Profit]]/clean_data[[#This Row],[Revenue]]</f>
        <v>0.55000000000000004</v>
      </c>
      <c r="T154" t="str" cm="1">
        <f t="array" ref="T154">_xlfn.IFS(clean_data[[#This Row],[Revenue]]&lt;300000,"Small",
     clean_data[[#This Row],[Revenue]]&lt;700000,"Medium",
     TRUE,"Large")</f>
        <v>Small</v>
      </c>
      <c r="U154" t="str" cm="1">
        <f t="array" ref="U154">_xlfn.IFS(clean_data[[#This Row],[profit margin%]]&lt;0.5,"Low Profit",
     clean_data[[#This Row],[profit margin%]]&lt;0.6,"Medium Profit",
     TRUE,"High Profit")</f>
        <v>Medium Profit</v>
      </c>
      <c r="V154" t="str">
        <f>TEXT(clean_data[[#This Row],[Date]],"mmm-yyyy")</f>
        <v>Oct-2023</v>
      </c>
      <c r="W154" s="8">
        <f>EOMONTH(clean_data[[#This Row],[Date]],-1)+1</f>
        <v>45200</v>
      </c>
    </row>
    <row r="155" spans="1:23" x14ac:dyDescent="0.3">
      <c r="A155" t="s">
        <v>227</v>
      </c>
      <c r="B155" s="1">
        <v>45286</v>
      </c>
      <c r="C155" t="s">
        <v>17</v>
      </c>
      <c r="D155" t="s">
        <v>18</v>
      </c>
      <c r="E155" t="s">
        <v>32</v>
      </c>
      <c r="F155" t="s">
        <v>28</v>
      </c>
      <c r="G155" t="s">
        <v>85</v>
      </c>
      <c r="H155">
        <v>39</v>
      </c>
      <c r="I155">
        <v>8000</v>
      </c>
      <c r="J155">
        <v>5</v>
      </c>
      <c r="K155">
        <v>296400</v>
      </c>
      <c r="L155">
        <v>163020</v>
      </c>
      <c r="M155">
        <v>133380</v>
      </c>
      <c r="N155" t="s">
        <v>49</v>
      </c>
      <c r="O155" t="s">
        <v>50</v>
      </c>
      <c r="P155" t="s">
        <v>40</v>
      </c>
      <c r="Q155" t="str">
        <f>TEXT(clean_data[[#This Row],[Date]],"mmm")</f>
        <v>Dec</v>
      </c>
      <c r="R155">
        <f>YEAR(clean_data[[#This Row],[Date]])</f>
        <v>2023</v>
      </c>
      <c r="S155" s="2">
        <f>clean_data[[#This Row],[Profit]]/clean_data[[#This Row],[Revenue]]</f>
        <v>0.45</v>
      </c>
      <c r="T155" t="str" cm="1">
        <f t="array" ref="T155">_xlfn.IFS(clean_data[[#This Row],[Revenue]]&lt;300000,"Small",
     clean_data[[#This Row],[Revenue]]&lt;700000,"Medium",
     TRUE,"Large")</f>
        <v>Small</v>
      </c>
      <c r="U155" t="str" cm="1">
        <f t="array" ref="U155">_xlfn.IFS(clean_data[[#This Row],[profit margin%]]&lt;0.5,"Low Profit",
     clean_data[[#This Row],[profit margin%]]&lt;0.6,"Medium Profit",
     TRUE,"High Profit")</f>
        <v>Low Profit</v>
      </c>
      <c r="V155" t="str">
        <f>TEXT(clean_data[[#This Row],[Date]],"mmm-yyyy")</f>
        <v>Dec-2023</v>
      </c>
      <c r="W155" s="8">
        <f>EOMONTH(clean_data[[#This Row],[Date]],-1)+1</f>
        <v>45261</v>
      </c>
    </row>
    <row r="156" spans="1:23" x14ac:dyDescent="0.3">
      <c r="A156" t="s">
        <v>228</v>
      </c>
      <c r="B156" s="1">
        <v>44745</v>
      </c>
      <c r="C156" t="s">
        <v>17</v>
      </c>
      <c r="D156" t="s">
        <v>42</v>
      </c>
      <c r="E156" t="s">
        <v>73</v>
      </c>
      <c r="F156" t="s">
        <v>33</v>
      </c>
      <c r="G156" t="s">
        <v>48</v>
      </c>
      <c r="H156">
        <v>39</v>
      </c>
      <c r="I156">
        <v>1500</v>
      </c>
      <c r="J156">
        <v>15</v>
      </c>
      <c r="K156">
        <v>49725</v>
      </c>
      <c r="L156">
        <v>24862.5</v>
      </c>
      <c r="M156">
        <v>24862.5</v>
      </c>
      <c r="N156" t="s">
        <v>22</v>
      </c>
      <c r="O156" t="s">
        <v>23</v>
      </c>
      <c r="P156" t="s">
        <v>24</v>
      </c>
      <c r="Q156" t="str">
        <f>TEXT(clean_data[[#This Row],[Date]],"mmm")</f>
        <v>Jul</v>
      </c>
      <c r="R156">
        <f>YEAR(clean_data[[#This Row],[Date]])</f>
        <v>2022</v>
      </c>
      <c r="S156" s="2">
        <f>clean_data[[#This Row],[Profit]]/clean_data[[#This Row],[Revenue]]</f>
        <v>0.5</v>
      </c>
      <c r="T156" t="str" cm="1">
        <f t="array" ref="T156">_xlfn.IFS(clean_data[[#This Row],[Revenue]]&lt;300000,"Small",
     clean_data[[#This Row],[Revenue]]&lt;700000,"Medium",
     TRUE,"Large")</f>
        <v>Small</v>
      </c>
      <c r="U156" t="str" cm="1">
        <f t="array" ref="U156">_xlfn.IFS(clean_data[[#This Row],[profit margin%]]&lt;0.5,"Low Profit",
     clean_data[[#This Row],[profit margin%]]&lt;0.6,"Medium Profit",
     TRUE,"High Profit")</f>
        <v>Medium Profit</v>
      </c>
      <c r="V156" t="str">
        <f>TEXT(clean_data[[#This Row],[Date]],"mmm-yyyy")</f>
        <v>Jul-2022</v>
      </c>
      <c r="W156" s="8">
        <f>EOMONTH(clean_data[[#This Row],[Date]],-1)+1</f>
        <v>44743</v>
      </c>
    </row>
    <row r="157" spans="1:23" x14ac:dyDescent="0.3">
      <c r="A157" t="s">
        <v>229</v>
      </c>
      <c r="B157" s="1">
        <v>45245</v>
      </c>
      <c r="C157" t="s">
        <v>26</v>
      </c>
      <c r="D157" t="s">
        <v>69</v>
      </c>
      <c r="E157" t="s">
        <v>38</v>
      </c>
      <c r="F157" t="s">
        <v>65</v>
      </c>
      <c r="G157" t="s">
        <v>124</v>
      </c>
      <c r="H157">
        <v>41</v>
      </c>
      <c r="I157">
        <v>18000</v>
      </c>
      <c r="J157">
        <v>0</v>
      </c>
      <c r="K157">
        <v>738000</v>
      </c>
      <c r="L157">
        <v>332100</v>
      </c>
      <c r="M157">
        <v>405900</v>
      </c>
      <c r="N157" t="s">
        <v>22</v>
      </c>
      <c r="O157" t="s">
        <v>23</v>
      </c>
      <c r="P157" t="s">
        <v>24</v>
      </c>
      <c r="Q157" t="str">
        <f>TEXT(clean_data[[#This Row],[Date]],"mmm")</f>
        <v>Nov</v>
      </c>
      <c r="R157">
        <f>YEAR(clean_data[[#This Row],[Date]])</f>
        <v>2023</v>
      </c>
      <c r="S157" s="2">
        <f>clean_data[[#This Row],[Profit]]/clean_data[[#This Row],[Revenue]]</f>
        <v>0.55000000000000004</v>
      </c>
      <c r="T157" t="str" cm="1">
        <f t="array" ref="T157">_xlfn.IFS(clean_data[[#This Row],[Revenue]]&lt;300000,"Small",
     clean_data[[#This Row],[Revenue]]&lt;700000,"Medium",
     TRUE,"Large")</f>
        <v>Large</v>
      </c>
      <c r="U157" t="str" cm="1">
        <f t="array" ref="U157">_xlfn.IFS(clean_data[[#This Row],[profit margin%]]&lt;0.5,"Low Profit",
     clean_data[[#This Row],[profit margin%]]&lt;0.6,"Medium Profit",
     TRUE,"High Profit")</f>
        <v>Medium Profit</v>
      </c>
      <c r="V157" t="str">
        <f>TEXT(clean_data[[#This Row],[Date]],"mmm-yyyy")</f>
        <v>Nov-2023</v>
      </c>
      <c r="W157" s="8">
        <f>EOMONTH(clean_data[[#This Row],[Date]],-1)+1</f>
        <v>45231</v>
      </c>
    </row>
    <row r="158" spans="1:23" x14ac:dyDescent="0.3">
      <c r="A158" t="s">
        <v>230</v>
      </c>
      <c r="B158" s="1">
        <v>45277</v>
      </c>
      <c r="C158" t="s">
        <v>46</v>
      </c>
      <c r="D158" t="s">
        <v>47</v>
      </c>
      <c r="E158" t="s">
        <v>78</v>
      </c>
      <c r="F158" t="s">
        <v>65</v>
      </c>
      <c r="G158" t="s">
        <v>117</v>
      </c>
      <c r="H158">
        <v>9</v>
      </c>
      <c r="I158">
        <v>1200</v>
      </c>
      <c r="J158">
        <v>0</v>
      </c>
      <c r="K158">
        <v>10800</v>
      </c>
      <c r="L158">
        <v>4860</v>
      </c>
      <c r="M158">
        <v>5940</v>
      </c>
      <c r="N158" t="s">
        <v>22</v>
      </c>
      <c r="O158" t="s">
        <v>50</v>
      </c>
      <c r="P158" t="s">
        <v>24</v>
      </c>
      <c r="Q158" t="str">
        <f>TEXT(clean_data[[#This Row],[Date]],"mmm")</f>
        <v>Dec</v>
      </c>
      <c r="R158">
        <f>YEAR(clean_data[[#This Row],[Date]])</f>
        <v>2023</v>
      </c>
      <c r="S158" s="2">
        <f>clean_data[[#This Row],[Profit]]/clean_data[[#This Row],[Revenue]]</f>
        <v>0.55000000000000004</v>
      </c>
      <c r="T158" t="str" cm="1">
        <f t="array" ref="T158">_xlfn.IFS(clean_data[[#This Row],[Revenue]]&lt;300000,"Small",
     clean_data[[#This Row],[Revenue]]&lt;700000,"Medium",
     TRUE,"Large")</f>
        <v>Small</v>
      </c>
      <c r="U158" t="str" cm="1">
        <f t="array" ref="U158">_xlfn.IFS(clean_data[[#This Row],[profit margin%]]&lt;0.5,"Low Profit",
     clean_data[[#This Row],[profit margin%]]&lt;0.6,"Medium Profit",
     TRUE,"High Profit")</f>
        <v>Medium Profit</v>
      </c>
      <c r="V158" t="str">
        <f>TEXT(clean_data[[#This Row],[Date]],"mmm-yyyy")</f>
        <v>Dec-2023</v>
      </c>
      <c r="W158" s="8">
        <f>EOMONTH(clean_data[[#This Row],[Date]],-1)+1</f>
        <v>45261</v>
      </c>
    </row>
    <row r="159" spans="1:23" x14ac:dyDescent="0.3">
      <c r="A159" t="s">
        <v>231</v>
      </c>
      <c r="B159" s="1">
        <v>45273</v>
      </c>
      <c r="C159" t="s">
        <v>26</v>
      </c>
      <c r="D159" t="s">
        <v>27</v>
      </c>
      <c r="E159" t="s">
        <v>60</v>
      </c>
      <c r="F159" t="s">
        <v>33</v>
      </c>
      <c r="G159" t="s">
        <v>34</v>
      </c>
      <c r="H159">
        <v>29</v>
      </c>
      <c r="I159">
        <v>25000</v>
      </c>
      <c r="J159">
        <v>0</v>
      </c>
      <c r="K159">
        <v>725000</v>
      </c>
      <c r="L159">
        <v>362500</v>
      </c>
      <c r="M159">
        <v>362500</v>
      </c>
      <c r="N159" t="s">
        <v>30</v>
      </c>
      <c r="O159" t="s">
        <v>67</v>
      </c>
      <c r="P159" t="s">
        <v>40</v>
      </c>
      <c r="Q159" t="str">
        <f>TEXT(clean_data[[#This Row],[Date]],"mmm")</f>
        <v>Dec</v>
      </c>
      <c r="R159">
        <f>YEAR(clean_data[[#This Row],[Date]])</f>
        <v>2023</v>
      </c>
      <c r="S159" s="2">
        <f>clean_data[[#This Row],[Profit]]/clean_data[[#This Row],[Revenue]]</f>
        <v>0.5</v>
      </c>
      <c r="T159" t="str" cm="1">
        <f t="array" ref="T159">_xlfn.IFS(clean_data[[#This Row],[Revenue]]&lt;300000,"Small",
     clean_data[[#This Row],[Revenue]]&lt;700000,"Medium",
     TRUE,"Large")</f>
        <v>Large</v>
      </c>
      <c r="U159" t="str" cm="1">
        <f t="array" ref="U159">_xlfn.IFS(clean_data[[#This Row],[profit margin%]]&lt;0.5,"Low Profit",
     clean_data[[#This Row],[profit margin%]]&lt;0.6,"Medium Profit",
     TRUE,"High Profit")</f>
        <v>Medium Profit</v>
      </c>
      <c r="V159" t="str">
        <f>TEXT(clean_data[[#This Row],[Date]],"mmm-yyyy")</f>
        <v>Dec-2023</v>
      </c>
      <c r="W159" s="8">
        <f>EOMONTH(clean_data[[#This Row],[Date]],-1)+1</f>
        <v>45261</v>
      </c>
    </row>
    <row r="160" spans="1:23" x14ac:dyDescent="0.3">
      <c r="A160" t="s">
        <v>232</v>
      </c>
      <c r="B160" s="1">
        <v>45273</v>
      </c>
      <c r="C160" t="s">
        <v>17</v>
      </c>
      <c r="D160" t="s">
        <v>42</v>
      </c>
      <c r="E160" t="s">
        <v>73</v>
      </c>
      <c r="F160" t="s">
        <v>20</v>
      </c>
      <c r="G160" t="s">
        <v>21</v>
      </c>
      <c r="H160">
        <v>2</v>
      </c>
      <c r="I160">
        <v>3500</v>
      </c>
      <c r="J160">
        <v>5</v>
      </c>
      <c r="K160">
        <v>6650</v>
      </c>
      <c r="L160">
        <v>2660</v>
      </c>
      <c r="M160">
        <v>3990</v>
      </c>
      <c r="N160" t="s">
        <v>22</v>
      </c>
      <c r="O160" t="s">
        <v>23</v>
      </c>
      <c r="P160" t="s">
        <v>24</v>
      </c>
      <c r="Q160" t="str">
        <f>TEXT(clean_data[[#This Row],[Date]],"mmm")</f>
        <v>Dec</v>
      </c>
      <c r="R160">
        <f>YEAR(clean_data[[#This Row],[Date]])</f>
        <v>2023</v>
      </c>
      <c r="S160" s="2">
        <f>clean_data[[#This Row],[Profit]]/clean_data[[#This Row],[Revenue]]</f>
        <v>0.6</v>
      </c>
      <c r="T160" t="str" cm="1">
        <f t="array" ref="T160">_xlfn.IFS(clean_data[[#This Row],[Revenue]]&lt;300000,"Small",
     clean_data[[#This Row],[Revenue]]&lt;700000,"Medium",
     TRUE,"Large")</f>
        <v>Small</v>
      </c>
      <c r="U160" t="str" cm="1">
        <f t="array" ref="U160">_xlfn.IFS(clean_data[[#This Row],[profit margin%]]&lt;0.5,"Low Profit",
     clean_data[[#This Row],[profit margin%]]&lt;0.6,"Medium Profit",
     TRUE,"High Profit")</f>
        <v>High Profit</v>
      </c>
      <c r="V160" t="str">
        <f>TEXT(clean_data[[#This Row],[Date]],"mmm-yyyy")</f>
        <v>Dec-2023</v>
      </c>
      <c r="W160" s="8">
        <f>EOMONTH(clean_data[[#This Row],[Date]],-1)+1</f>
        <v>45261</v>
      </c>
    </row>
    <row r="161" spans="1:23" x14ac:dyDescent="0.3">
      <c r="A161" t="s">
        <v>233</v>
      </c>
      <c r="B161" s="1">
        <v>45630</v>
      </c>
      <c r="C161" t="s">
        <v>17</v>
      </c>
      <c r="D161" t="s">
        <v>37</v>
      </c>
      <c r="E161" t="s">
        <v>60</v>
      </c>
      <c r="F161" t="s">
        <v>20</v>
      </c>
      <c r="G161" t="s">
        <v>53</v>
      </c>
      <c r="H161">
        <v>19</v>
      </c>
      <c r="I161">
        <v>600</v>
      </c>
      <c r="J161">
        <v>15</v>
      </c>
      <c r="K161">
        <v>9690</v>
      </c>
      <c r="L161">
        <v>3876</v>
      </c>
      <c r="M161">
        <v>5814</v>
      </c>
      <c r="N161" t="s">
        <v>30</v>
      </c>
      <c r="O161" t="s">
        <v>44</v>
      </c>
      <c r="P161" t="s">
        <v>24</v>
      </c>
      <c r="Q161" t="str">
        <f>TEXT(clean_data[[#This Row],[Date]],"mmm")</f>
        <v>Dec</v>
      </c>
      <c r="R161">
        <f>YEAR(clean_data[[#This Row],[Date]])</f>
        <v>2024</v>
      </c>
      <c r="S161" s="2">
        <f>clean_data[[#This Row],[Profit]]/clean_data[[#This Row],[Revenue]]</f>
        <v>0.6</v>
      </c>
      <c r="T161" t="str" cm="1">
        <f t="array" ref="T161">_xlfn.IFS(clean_data[[#This Row],[Revenue]]&lt;300000,"Small",
     clean_data[[#This Row],[Revenue]]&lt;700000,"Medium",
     TRUE,"Large")</f>
        <v>Small</v>
      </c>
      <c r="U161" t="str" cm="1">
        <f t="array" ref="U161">_xlfn.IFS(clean_data[[#This Row],[profit margin%]]&lt;0.5,"Low Profit",
     clean_data[[#This Row],[profit margin%]]&lt;0.6,"Medium Profit",
     TRUE,"High Profit")</f>
        <v>High Profit</v>
      </c>
      <c r="V161" t="str">
        <f>TEXT(clean_data[[#This Row],[Date]],"mmm-yyyy")</f>
        <v>Dec-2024</v>
      </c>
      <c r="W161" s="8">
        <f>EOMONTH(clean_data[[#This Row],[Date]],-1)+1</f>
        <v>45627</v>
      </c>
    </row>
    <row r="162" spans="1:23" x14ac:dyDescent="0.3">
      <c r="A162" t="s">
        <v>234</v>
      </c>
      <c r="B162" s="1">
        <v>44696</v>
      </c>
      <c r="C162" t="s">
        <v>46</v>
      </c>
      <c r="D162" t="s">
        <v>55</v>
      </c>
      <c r="E162" t="s">
        <v>52</v>
      </c>
      <c r="F162" t="s">
        <v>33</v>
      </c>
      <c r="G162" t="s">
        <v>34</v>
      </c>
      <c r="H162">
        <v>46</v>
      </c>
      <c r="I162">
        <v>25000</v>
      </c>
      <c r="J162">
        <v>0</v>
      </c>
      <c r="K162">
        <v>1150000</v>
      </c>
      <c r="L162">
        <v>575000</v>
      </c>
      <c r="M162">
        <v>575000</v>
      </c>
      <c r="N162" t="s">
        <v>22</v>
      </c>
      <c r="O162" t="s">
        <v>50</v>
      </c>
      <c r="P162" t="s">
        <v>40</v>
      </c>
      <c r="Q162" t="str">
        <f>TEXT(clean_data[[#This Row],[Date]],"mmm")</f>
        <v>May</v>
      </c>
      <c r="R162">
        <f>YEAR(clean_data[[#This Row],[Date]])</f>
        <v>2022</v>
      </c>
      <c r="S162" s="2">
        <f>clean_data[[#This Row],[Profit]]/clean_data[[#This Row],[Revenue]]</f>
        <v>0.5</v>
      </c>
      <c r="T162" t="str" cm="1">
        <f t="array" ref="T162">_xlfn.IFS(clean_data[[#This Row],[Revenue]]&lt;300000,"Small",
     clean_data[[#This Row],[Revenue]]&lt;700000,"Medium",
     TRUE,"Large")</f>
        <v>Large</v>
      </c>
      <c r="U162" t="str" cm="1">
        <f t="array" ref="U162">_xlfn.IFS(clean_data[[#This Row],[profit margin%]]&lt;0.5,"Low Profit",
     clean_data[[#This Row],[profit margin%]]&lt;0.6,"Medium Profit",
     TRUE,"High Profit")</f>
        <v>Medium Profit</v>
      </c>
      <c r="V162" t="str">
        <f>TEXT(clean_data[[#This Row],[Date]],"mmm-yyyy")</f>
        <v>May-2022</v>
      </c>
      <c r="W162" s="8">
        <f>EOMONTH(clean_data[[#This Row],[Date]],-1)+1</f>
        <v>44682</v>
      </c>
    </row>
    <row r="163" spans="1:23" x14ac:dyDescent="0.3">
      <c r="A163" t="s">
        <v>235</v>
      </c>
      <c r="B163" s="1">
        <v>45166</v>
      </c>
      <c r="C163" t="s">
        <v>46</v>
      </c>
      <c r="D163" t="s">
        <v>47</v>
      </c>
      <c r="E163" t="s">
        <v>70</v>
      </c>
      <c r="F163" t="s">
        <v>20</v>
      </c>
      <c r="G163" t="s">
        <v>21</v>
      </c>
      <c r="H163">
        <v>13</v>
      </c>
      <c r="I163">
        <v>3500</v>
      </c>
      <c r="J163">
        <v>5</v>
      </c>
      <c r="K163">
        <v>43225</v>
      </c>
      <c r="L163">
        <v>17290</v>
      </c>
      <c r="M163">
        <v>25935</v>
      </c>
      <c r="N163" t="s">
        <v>49</v>
      </c>
      <c r="O163" t="s">
        <v>35</v>
      </c>
      <c r="P163" t="s">
        <v>24</v>
      </c>
      <c r="Q163" t="str">
        <f>TEXT(clean_data[[#This Row],[Date]],"mmm")</f>
        <v>Aug</v>
      </c>
      <c r="R163">
        <f>YEAR(clean_data[[#This Row],[Date]])</f>
        <v>2023</v>
      </c>
      <c r="S163" s="2">
        <f>clean_data[[#This Row],[Profit]]/clean_data[[#This Row],[Revenue]]</f>
        <v>0.6</v>
      </c>
      <c r="T163" t="str" cm="1">
        <f t="array" ref="T163">_xlfn.IFS(clean_data[[#This Row],[Revenue]]&lt;300000,"Small",
     clean_data[[#This Row],[Revenue]]&lt;700000,"Medium",
     TRUE,"Large")</f>
        <v>Small</v>
      </c>
      <c r="U163" t="str" cm="1">
        <f t="array" ref="U163">_xlfn.IFS(clean_data[[#This Row],[profit margin%]]&lt;0.5,"Low Profit",
     clean_data[[#This Row],[profit margin%]]&lt;0.6,"Medium Profit",
     TRUE,"High Profit")</f>
        <v>High Profit</v>
      </c>
      <c r="V163" t="str">
        <f>TEXT(clean_data[[#This Row],[Date]],"mmm-yyyy")</f>
        <v>Aug-2023</v>
      </c>
      <c r="W163" s="8">
        <f>EOMONTH(clean_data[[#This Row],[Date]],-1)+1</f>
        <v>45139</v>
      </c>
    </row>
    <row r="164" spans="1:23" x14ac:dyDescent="0.3">
      <c r="A164" t="s">
        <v>236</v>
      </c>
      <c r="B164" s="1">
        <v>45278</v>
      </c>
      <c r="C164" t="s">
        <v>17</v>
      </c>
      <c r="D164" t="s">
        <v>37</v>
      </c>
      <c r="E164" t="s">
        <v>111</v>
      </c>
      <c r="F164" t="s">
        <v>20</v>
      </c>
      <c r="G164" t="s">
        <v>53</v>
      </c>
      <c r="H164">
        <v>6</v>
      </c>
      <c r="I164">
        <v>600</v>
      </c>
      <c r="J164">
        <v>0</v>
      </c>
      <c r="K164">
        <v>3600</v>
      </c>
      <c r="L164">
        <v>1440</v>
      </c>
      <c r="M164">
        <v>2160</v>
      </c>
      <c r="N164" t="s">
        <v>49</v>
      </c>
      <c r="O164" t="s">
        <v>23</v>
      </c>
      <c r="P164" t="s">
        <v>24</v>
      </c>
      <c r="Q164" t="str">
        <f>TEXT(clean_data[[#This Row],[Date]],"mmm")</f>
        <v>Dec</v>
      </c>
      <c r="R164">
        <f>YEAR(clean_data[[#This Row],[Date]])</f>
        <v>2023</v>
      </c>
      <c r="S164" s="2">
        <f>clean_data[[#This Row],[Profit]]/clean_data[[#This Row],[Revenue]]</f>
        <v>0.6</v>
      </c>
      <c r="T164" t="str" cm="1">
        <f t="array" ref="T164">_xlfn.IFS(clean_data[[#This Row],[Revenue]]&lt;300000,"Small",
     clean_data[[#This Row],[Revenue]]&lt;700000,"Medium",
     TRUE,"Large")</f>
        <v>Small</v>
      </c>
      <c r="U164" t="str" cm="1">
        <f t="array" ref="U164">_xlfn.IFS(clean_data[[#This Row],[profit margin%]]&lt;0.5,"Low Profit",
     clean_data[[#This Row],[profit margin%]]&lt;0.6,"Medium Profit",
     TRUE,"High Profit")</f>
        <v>High Profit</v>
      </c>
      <c r="V164" t="str">
        <f>TEXT(clean_data[[#This Row],[Date]],"mmm-yyyy")</f>
        <v>Dec-2023</v>
      </c>
      <c r="W164" s="8">
        <f>EOMONTH(clean_data[[#This Row],[Date]],-1)+1</f>
        <v>45261</v>
      </c>
    </row>
    <row r="165" spans="1:23" x14ac:dyDescent="0.3">
      <c r="A165" t="s">
        <v>237</v>
      </c>
      <c r="B165" s="1">
        <v>45579</v>
      </c>
      <c r="C165" t="s">
        <v>58</v>
      </c>
      <c r="D165" t="s">
        <v>64</v>
      </c>
      <c r="E165" t="s">
        <v>52</v>
      </c>
      <c r="F165" t="s">
        <v>20</v>
      </c>
      <c r="G165" t="s">
        <v>61</v>
      </c>
      <c r="H165">
        <v>42</v>
      </c>
      <c r="I165">
        <v>800</v>
      </c>
      <c r="J165">
        <v>0</v>
      </c>
      <c r="K165">
        <v>33600</v>
      </c>
      <c r="L165">
        <v>13440</v>
      </c>
      <c r="M165">
        <v>20160</v>
      </c>
      <c r="N165" t="s">
        <v>49</v>
      </c>
      <c r="O165" t="s">
        <v>67</v>
      </c>
      <c r="P165" t="s">
        <v>24</v>
      </c>
      <c r="Q165" t="str">
        <f>TEXT(clean_data[[#This Row],[Date]],"mmm")</f>
        <v>Oct</v>
      </c>
      <c r="R165">
        <f>YEAR(clean_data[[#This Row],[Date]])</f>
        <v>2024</v>
      </c>
      <c r="S165" s="2">
        <f>clean_data[[#This Row],[Profit]]/clean_data[[#This Row],[Revenue]]</f>
        <v>0.6</v>
      </c>
      <c r="T165" t="str" cm="1">
        <f t="array" ref="T165">_xlfn.IFS(clean_data[[#This Row],[Revenue]]&lt;300000,"Small",
     clean_data[[#This Row],[Revenue]]&lt;700000,"Medium",
     TRUE,"Large")</f>
        <v>Small</v>
      </c>
      <c r="U165" t="str" cm="1">
        <f t="array" ref="U165">_xlfn.IFS(clean_data[[#This Row],[profit margin%]]&lt;0.5,"Low Profit",
     clean_data[[#This Row],[profit margin%]]&lt;0.6,"Medium Profit",
     TRUE,"High Profit")</f>
        <v>High Profit</v>
      </c>
      <c r="V165" t="str">
        <f>TEXT(clean_data[[#This Row],[Date]],"mmm-yyyy")</f>
        <v>Oct-2024</v>
      </c>
      <c r="W165" s="8">
        <f>EOMONTH(clean_data[[#This Row],[Date]],-1)+1</f>
        <v>45566</v>
      </c>
    </row>
    <row r="166" spans="1:23" x14ac:dyDescent="0.3">
      <c r="A166" t="s">
        <v>238</v>
      </c>
      <c r="B166" s="1">
        <v>45235</v>
      </c>
      <c r="C166" t="s">
        <v>46</v>
      </c>
      <c r="D166" t="s">
        <v>47</v>
      </c>
      <c r="E166" t="s">
        <v>32</v>
      </c>
      <c r="F166" t="s">
        <v>28</v>
      </c>
      <c r="G166" t="s">
        <v>95</v>
      </c>
      <c r="H166">
        <v>34</v>
      </c>
      <c r="I166">
        <v>75000</v>
      </c>
      <c r="J166">
        <v>5</v>
      </c>
      <c r="K166">
        <v>2422500</v>
      </c>
      <c r="L166">
        <v>1332375</v>
      </c>
      <c r="M166">
        <v>1090125</v>
      </c>
      <c r="N166" t="s">
        <v>30</v>
      </c>
      <c r="O166" t="s">
        <v>44</v>
      </c>
      <c r="P166" t="s">
        <v>24</v>
      </c>
      <c r="Q166" t="str">
        <f>TEXT(clean_data[[#This Row],[Date]],"mmm")</f>
        <v>Nov</v>
      </c>
      <c r="R166">
        <f>YEAR(clean_data[[#This Row],[Date]])</f>
        <v>2023</v>
      </c>
      <c r="S166" s="2">
        <f>clean_data[[#This Row],[Profit]]/clean_data[[#This Row],[Revenue]]</f>
        <v>0.45</v>
      </c>
      <c r="T166" t="str" cm="1">
        <f t="array" ref="T166">_xlfn.IFS(clean_data[[#This Row],[Revenue]]&lt;300000,"Small",
     clean_data[[#This Row],[Revenue]]&lt;700000,"Medium",
     TRUE,"Large")</f>
        <v>Large</v>
      </c>
      <c r="U166" t="str" cm="1">
        <f t="array" ref="U166">_xlfn.IFS(clean_data[[#This Row],[profit margin%]]&lt;0.5,"Low Profit",
     clean_data[[#This Row],[profit margin%]]&lt;0.6,"Medium Profit",
     TRUE,"High Profit")</f>
        <v>Low Profit</v>
      </c>
      <c r="V166" t="str">
        <f>TEXT(clean_data[[#This Row],[Date]],"mmm-yyyy")</f>
        <v>Nov-2023</v>
      </c>
      <c r="W166" s="8">
        <f>EOMONTH(clean_data[[#This Row],[Date]],-1)+1</f>
        <v>45231</v>
      </c>
    </row>
    <row r="167" spans="1:23" x14ac:dyDescent="0.3">
      <c r="A167" t="s">
        <v>239</v>
      </c>
      <c r="B167" s="1">
        <v>45192</v>
      </c>
      <c r="C167" t="s">
        <v>46</v>
      </c>
      <c r="D167" t="s">
        <v>55</v>
      </c>
      <c r="E167" t="s">
        <v>111</v>
      </c>
      <c r="F167" t="s">
        <v>33</v>
      </c>
      <c r="G167" t="s">
        <v>39</v>
      </c>
      <c r="H167">
        <v>17</v>
      </c>
      <c r="I167">
        <v>5000</v>
      </c>
      <c r="J167">
        <v>5</v>
      </c>
      <c r="K167">
        <v>80750</v>
      </c>
      <c r="L167">
        <v>40375</v>
      </c>
      <c r="M167">
        <v>40375</v>
      </c>
      <c r="N167" t="s">
        <v>49</v>
      </c>
      <c r="O167" t="s">
        <v>44</v>
      </c>
      <c r="P167" t="s">
        <v>40</v>
      </c>
      <c r="Q167" t="str">
        <f>TEXT(clean_data[[#This Row],[Date]],"mmm")</f>
        <v>Sep</v>
      </c>
      <c r="R167">
        <f>YEAR(clean_data[[#This Row],[Date]])</f>
        <v>2023</v>
      </c>
      <c r="S167" s="2">
        <f>clean_data[[#This Row],[Profit]]/clean_data[[#This Row],[Revenue]]</f>
        <v>0.5</v>
      </c>
      <c r="T167" t="str" cm="1">
        <f t="array" ref="T167">_xlfn.IFS(clean_data[[#This Row],[Revenue]]&lt;300000,"Small",
     clean_data[[#This Row],[Revenue]]&lt;700000,"Medium",
     TRUE,"Large")</f>
        <v>Small</v>
      </c>
      <c r="U167" t="str" cm="1">
        <f t="array" ref="U167">_xlfn.IFS(clean_data[[#This Row],[profit margin%]]&lt;0.5,"Low Profit",
     clean_data[[#This Row],[profit margin%]]&lt;0.6,"Medium Profit",
     TRUE,"High Profit")</f>
        <v>Medium Profit</v>
      </c>
      <c r="V167" t="str">
        <f>TEXT(clean_data[[#This Row],[Date]],"mmm-yyyy")</f>
        <v>Sep-2023</v>
      </c>
      <c r="W167" s="8">
        <f>EOMONTH(clean_data[[#This Row],[Date]],-1)+1</f>
        <v>45170</v>
      </c>
    </row>
    <row r="168" spans="1:23" x14ac:dyDescent="0.3">
      <c r="A168" t="s">
        <v>240</v>
      </c>
      <c r="B168" s="1">
        <v>45158</v>
      </c>
      <c r="C168" t="s">
        <v>26</v>
      </c>
      <c r="D168" t="s">
        <v>27</v>
      </c>
      <c r="E168" t="s">
        <v>38</v>
      </c>
      <c r="F168" t="s">
        <v>20</v>
      </c>
      <c r="G168" t="s">
        <v>74</v>
      </c>
      <c r="H168">
        <v>43</v>
      </c>
      <c r="I168">
        <v>4200</v>
      </c>
      <c r="J168">
        <v>20</v>
      </c>
      <c r="K168">
        <v>144480</v>
      </c>
      <c r="L168">
        <v>57792</v>
      </c>
      <c r="M168">
        <v>86688</v>
      </c>
      <c r="N168" t="s">
        <v>49</v>
      </c>
      <c r="O168" t="s">
        <v>67</v>
      </c>
      <c r="P168" t="s">
        <v>40</v>
      </c>
      <c r="Q168" t="str">
        <f>TEXT(clean_data[[#This Row],[Date]],"mmm")</f>
        <v>Aug</v>
      </c>
      <c r="R168">
        <f>YEAR(clean_data[[#This Row],[Date]])</f>
        <v>2023</v>
      </c>
      <c r="S168" s="2">
        <f>clean_data[[#This Row],[Profit]]/clean_data[[#This Row],[Revenue]]</f>
        <v>0.6</v>
      </c>
      <c r="T168" t="str" cm="1">
        <f t="array" ref="T168">_xlfn.IFS(clean_data[[#This Row],[Revenue]]&lt;300000,"Small",
     clean_data[[#This Row],[Revenue]]&lt;700000,"Medium",
     TRUE,"Large")</f>
        <v>Small</v>
      </c>
      <c r="U168" t="str" cm="1">
        <f t="array" ref="U168">_xlfn.IFS(clean_data[[#This Row],[profit margin%]]&lt;0.5,"Low Profit",
     clean_data[[#This Row],[profit margin%]]&lt;0.6,"Medium Profit",
     TRUE,"High Profit")</f>
        <v>High Profit</v>
      </c>
      <c r="V168" t="str">
        <f>TEXT(clean_data[[#This Row],[Date]],"mmm-yyyy")</f>
        <v>Aug-2023</v>
      </c>
      <c r="W168" s="8">
        <f>EOMONTH(clean_data[[#This Row],[Date]],-1)+1</f>
        <v>45139</v>
      </c>
    </row>
    <row r="169" spans="1:23" x14ac:dyDescent="0.3">
      <c r="A169" t="s">
        <v>241</v>
      </c>
      <c r="B169" s="1">
        <v>44647</v>
      </c>
      <c r="C169" t="s">
        <v>26</v>
      </c>
      <c r="D169" t="s">
        <v>27</v>
      </c>
      <c r="E169" t="s">
        <v>56</v>
      </c>
      <c r="F169" t="s">
        <v>33</v>
      </c>
      <c r="G169" t="s">
        <v>76</v>
      </c>
      <c r="H169">
        <v>50</v>
      </c>
      <c r="I169">
        <v>8500</v>
      </c>
      <c r="J169">
        <v>20</v>
      </c>
      <c r="K169">
        <v>340000</v>
      </c>
      <c r="L169">
        <v>170000</v>
      </c>
      <c r="M169">
        <v>170000</v>
      </c>
      <c r="N169" t="s">
        <v>22</v>
      </c>
      <c r="O169" t="s">
        <v>35</v>
      </c>
      <c r="P169" t="s">
        <v>24</v>
      </c>
      <c r="Q169" t="str">
        <f>TEXT(clean_data[[#This Row],[Date]],"mmm")</f>
        <v>Mar</v>
      </c>
      <c r="R169">
        <f>YEAR(clean_data[[#This Row],[Date]])</f>
        <v>2022</v>
      </c>
      <c r="S169" s="2">
        <f>clean_data[[#This Row],[Profit]]/clean_data[[#This Row],[Revenue]]</f>
        <v>0.5</v>
      </c>
      <c r="T169" t="str" cm="1">
        <f t="array" ref="T169">_xlfn.IFS(clean_data[[#This Row],[Revenue]]&lt;300000,"Small",
     clean_data[[#This Row],[Revenue]]&lt;700000,"Medium",
     TRUE,"Large")</f>
        <v>Medium</v>
      </c>
      <c r="U169" t="str" cm="1">
        <f t="array" ref="U169">_xlfn.IFS(clean_data[[#This Row],[profit margin%]]&lt;0.5,"Low Profit",
     clean_data[[#This Row],[profit margin%]]&lt;0.6,"Medium Profit",
     TRUE,"High Profit")</f>
        <v>Medium Profit</v>
      </c>
      <c r="V169" t="str">
        <f>TEXT(clean_data[[#This Row],[Date]],"mmm-yyyy")</f>
        <v>Mar-2022</v>
      </c>
      <c r="W169" s="8">
        <f>EOMONTH(clean_data[[#This Row],[Date]],-1)+1</f>
        <v>44621</v>
      </c>
    </row>
    <row r="170" spans="1:23" x14ac:dyDescent="0.3">
      <c r="A170" t="s">
        <v>242</v>
      </c>
      <c r="B170" s="1">
        <v>45525</v>
      </c>
      <c r="C170" t="s">
        <v>17</v>
      </c>
      <c r="D170" t="s">
        <v>42</v>
      </c>
      <c r="E170" t="s">
        <v>73</v>
      </c>
      <c r="F170" t="s">
        <v>65</v>
      </c>
      <c r="G170" t="s">
        <v>104</v>
      </c>
      <c r="H170">
        <v>44</v>
      </c>
      <c r="I170">
        <v>3000</v>
      </c>
      <c r="J170">
        <v>15</v>
      </c>
      <c r="K170">
        <v>112200</v>
      </c>
      <c r="L170">
        <v>50490</v>
      </c>
      <c r="M170">
        <v>61710</v>
      </c>
      <c r="N170" t="s">
        <v>49</v>
      </c>
      <c r="O170" t="s">
        <v>35</v>
      </c>
      <c r="P170" t="s">
        <v>24</v>
      </c>
      <c r="Q170" t="str">
        <f>TEXT(clean_data[[#This Row],[Date]],"mmm")</f>
        <v>Aug</v>
      </c>
      <c r="R170">
        <f>YEAR(clean_data[[#This Row],[Date]])</f>
        <v>2024</v>
      </c>
      <c r="S170" s="2">
        <f>clean_data[[#This Row],[Profit]]/clean_data[[#This Row],[Revenue]]</f>
        <v>0.55000000000000004</v>
      </c>
      <c r="T170" t="str" cm="1">
        <f t="array" ref="T170">_xlfn.IFS(clean_data[[#This Row],[Revenue]]&lt;300000,"Small",
     clean_data[[#This Row],[Revenue]]&lt;700000,"Medium",
     TRUE,"Large")</f>
        <v>Small</v>
      </c>
      <c r="U170" t="str" cm="1">
        <f t="array" ref="U170">_xlfn.IFS(clean_data[[#This Row],[profit margin%]]&lt;0.5,"Low Profit",
     clean_data[[#This Row],[profit margin%]]&lt;0.6,"Medium Profit",
     TRUE,"High Profit")</f>
        <v>Medium Profit</v>
      </c>
      <c r="V170" t="str">
        <f>TEXT(clean_data[[#This Row],[Date]],"mmm-yyyy")</f>
        <v>Aug-2024</v>
      </c>
      <c r="W170" s="8">
        <f>EOMONTH(clean_data[[#This Row],[Date]],-1)+1</f>
        <v>45505</v>
      </c>
    </row>
    <row r="171" spans="1:23" x14ac:dyDescent="0.3">
      <c r="A171" t="s">
        <v>243</v>
      </c>
      <c r="B171" s="1">
        <v>44657</v>
      </c>
      <c r="C171" t="s">
        <v>58</v>
      </c>
      <c r="D171" t="s">
        <v>59</v>
      </c>
      <c r="E171" t="s">
        <v>60</v>
      </c>
      <c r="F171" t="s">
        <v>65</v>
      </c>
      <c r="G171" t="s">
        <v>104</v>
      </c>
      <c r="H171">
        <v>22</v>
      </c>
      <c r="I171">
        <v>3000</v>
      </c>
      <c r="J171">
        <v>20</v>
      </c>
      <c r="K171">
        <v>52800</v>
      </c>
      <c r="L171">
        <v>23760</v>
      </c>
      <c r="M171">
        <v>29040</v>
      </c>
      <c r="N171" t="s">
        <v>49</v>
      </c>
      <c r="O171" t="s">
        <v>50</v>
      </c>
      <c r="P171" t="s">
        <v>24</v>
      </c>
      <c r="Q171" t="str">
        <f>TEXT(clean_data[[#This Row],[Date]],"mmm")</f>
        <v>Apr</v>
      </c>
      <c r="R171">
        <f>YEAR(clean_data[[#This Row],[Date]])</f>
        <v>2022</v>
      </c>
      <c r="S171" s="2">
        <f>clean_data[[#This Row],[Profit]]/clean_data[[#This Row],[Revenue]]</f>
        <v>0.55000000000000004</v>
      </c>
      <c r="T171" t="str" cm="1">
        <f t="array" ref="T171">_xlfn.IFS(clean_data[[#This Row],[Revenue]]&lt;300000,"Small",
     clean_data[[#This Row],[Revenue]]&lt;700000,"Medium",
     TRUE,"Large")</f>
        <v>Small</v>
      </c>
      <c r="U171" t="str" cm="1">
        <f t="array" ref="U171">_xlfn.IFS(clean_data[[#This Row],[profit margin%]]&lt;0.5,"Low Profit",
     clean_data[[#This Row],[profit margin%]]&lt;0.6,"Medium Profit",
     TRUE,"High Profit")</f>
        <v>Medium Profit</v>
      </c>
      <c r="V171" t="str">
        <f>TEXT(clean_data[[#This Row],[Date]],"mmm-yyyy")</f>
        <v>Apr-2022</v>
      </c>
      <c r="W171" s="8">
        <f>EOMONTH(clean_data[[#This Row],[Date]],-1)+1</f>
        <v>44652</v>
      </c>
    </row>
    <row r="172" spans="1:23" x14ac:dyDescent="0.3">
      <c r="A172" t="s">
        <v>244</v>
      </c>
      <c r="B172" s="1">
        <v>45243</v>
      </c>
      <c r="C172" t="s">
        <v>46</v>
      </c>
      <c r="D172" t="s">
        <v>55</v>
      </c>
      <c r="E172" t="s">
        <v>111</v>
      </c>
      <c r="F172" t="s">
        <v>28</v>
      </c>
      <c r="G172" t="s">
        <v>71</v>
      </c>
      <c r="H172">
        <v>16</v>
      </c>
      <c r="I172">
        <v>35000</v>
      </c>
      <c r="J172">
        <v>15</v>
      </c>
      <c r="K172">
        <v>476000</v>
      </c>
      <c r="L172">
        <v>261800</v>
      </c>
      <c r="M172">
        <v>214200</v>
      </c>
      <c r="N172" t="s">
        <v>49</v>
      </c>
      <c r="O172" t="s">
        <v>23</v>
      </c>
      <c r="P172" t="s">
        <v>24</v>
      </c>
      <c r="Q172" t="str">
        <f>TEXT(clean_data[[#This Row],[Date]],"mmm")</f>
        <v>Nov</v>
      </c>
      <c r="R172">
        <f>YEAR(clean_data[[#This Row],[Date]])</f>
        <v>2023</v>
      </c>
      <c r="S172" s="2">
        <f>clean_data[[#This Row],[Profit]]/clean_data[[#This Row],[Revenue]]</f>
        <v>0.45</v>
      </c>
      <c r="T172" t="str" cm="1">
        <f t="array" ref="T172">_xlfn.IFS(clean_data[[#This Row],[Revenue]]&lt;300000,"Small",
     clean_data[[#This Row],[Revenue]]&lt;700000,"Medium",
     TRUE,"Large")</f>
        <v>Medium</v>
      </c>
      <c r="U172" t="str" cm="1">
        <f t="array" ref="U172">_xlfn.IFS(clean_data[[#This Row],[profit margin%]]&lt;0.5,"Low Profit",
     clean_data[[#This Row],[profit margin%]]&lt;0.6,"Medium Profit",
     TRUE,"High Profit")</f>
        <v>Low Profit</v>
      </c>
      <c r="V172" t="str">
        <f>TEXT(clean_data[[#This Row],[Date]],"mmm-yyyy")</f>
        <v>Nov-2023</v>
      </c>
      <c r="W172" s="8">
        <f>EOMONTH(clean_data[[#This Row],[Date]],-1)+1</f>
        <v>45231</v>
      </c>
    </row>
    <row r="173" spans="1:23" x14ac:dyDescent="0.3">
      <c r="A173" t="s">
        <v>245</v>
      </c>
      <c r="B173" s="1">
        <v>45021</v>
      </c>
      <c r="C173" t="s">
        <v>26</v>
      </c>
      <c r="D173" t="s">
        <v>27</v>
      </c>
      <c r="E173" t="s">
        <v>73</v>
      </c>
      <c r="F173" t="s">
        <v>65</v>
      </c>
      <c r="G173" t="s">
        <v>79</v>
      </c>
      <c r="H173">
        <v>27</v>
      </c>
      <c r="I173">
        <v>900</v>
      </c>
      <c r="J173">
        <v>5</v>
      </c>
      <c r="K173">
        <v>23085</v>
      </c>
      <c r="L173">
        <v>10388.25</v>
      </c>
      <c r="M173">
        <v>12696.75</v>
      </c>
      <c r="N173" t="s">
        <v>49</v>
      </c>
      <c r="O173" t="s">
        <v>67</v>
      </c>
      <c r="P173" t="s">
        <v>24</v>
      </c>
      <c r="Q173" t="str">
        <f>TEXT(clean_data[[#This Row],[Date]],"mmm")</f>
        <v>Apr</v>
      </c>
      <c r="R173">
        <f>YEAR(clean_data[[#This Row],[Date]])</f>
        <v>2023</v>
      </c>
      <c r="S173" s="2">
        <f>clean_data[[#This Row],[Profit]]/clean_data[[#This Row],[Revenue]]</f>
        <v>0.55000000000000004</v>
      </c>
      <c r="T173" t="str" cm="1">
        <f t="array" ref="T173">_xlfn.IFS(clean_data[[#This Row],[Revenue]]&lt;300000,"Small",
     clean_data[[#This Row],[Revenue]]&lt;700000,"Medium",
     TRUE,"Large")</f>
        <v>Small</v>
      </c>
      <c r="U173" t="str" cm="1">
        <f t="array" ref="U173">_xlfn.IFS(clean_data[[#This Row],[profit margin%]]&lt;0.5,"Low Profit",
     clean_data[[#This Row],[profit margin%]]&lt;0.6,"Medium Profit",
     TRUE,"High Profit")</f>
        <v>Medium Profit</v>
      </c>
      <c r="V173" t="str">
        <f>TEXT(clean_data[[#This Row],[Date]],"mmm-yyyy")</f>
        <v>Apr-2023</v>
      </c>
      <c r="W173" s="8">
        <f>EOMONTH(clean_data[[#This Row],[Date]],-1)+1</f>
        <v>45017</v>
      </c>
    </row>
    <row r="174" spans="1:23" x14ac:dyDescent="0.3">
      <c r="A174" t="s">
        <v>246</v>
      </c>
      <c r="B174" s="1">
        <v>45176</v>
      </c>
      <c r="C174" t="s">
        <v>46</v>
      </c>
      <c r="D174" t="s">
        <v>55</v>
      </c>
      <c r="E174" t="s">
        <v>111</v>
      </c>
      <c r="F174" t="s">
        <v>65</v>
      </c>
      <c r="G174" t="s">
        <v>66</v>
      </c>
      <c r="H174">
        <v>20</v>
      </c>
      <c r="I174">
        <v>5500</v>
      </c>
      <c r="J174">
        <v>15</v>
      </c>
      <c r="K174">
        <v>93500</v>
      </c>
      <c r="L174">
        <v>42075</v>
      </c>
      <c r="M174">
        <v>51425</v>
      </c>
      <c r="N174" t="s">
        <v>30</v>
      </c>
      <c r="O174" t="s">
        <v>23</v>
      </c>
      <c r="P174" t="s">
        <v>24</v>
      </c>
      <c r="Q174" t="str">
        <f>TEXT(clean_data[[#This Row],[Date]],"mmm")</f>
        <v>Sep</v>
      </c>
      <c r="R174">
        <f>YEAR(clean_data[[#This Row],[Date]])</f>
        <v>2023</v>
      </c>
      <c r="S174" s="2">
        <f>clean_data[[#This Row],[Profit]]/clean_data[[#This Row],[Revenue]]</f>
        <v>0.55000000000000004</v>
      </c>
      <c r="T174" t="str" cm="1">
        <f t="array" ref="T174">_xlfn.IFS(clean_data[[#This Row],[Revenue]]&lt;300000,"Small",
     clean_data[[#This Row],[Revenue]]&lt;700000,"Medium",
     TRUE,"Large")</f>
        <v>Small</v>
      </c>
      <c r="U174" t="str" cm="1">
        <f t="array" ref="U174">_xlfn.IFS(clean_data[[#This Row],[profit margin%]]&lt;0.5,"Low Profit",
     clean_data[[#This Row],[profit margin%]]&lt;0.6,"Medium Profit",
     TRUE,"High Profit")</f>
        <v>Medium Profit</v>
      </c>
      <c r="V174" t="str">
        <f>TEXT(clean_data[[#This Row],[Date]],"mmm-yyyy")</f>
        <v>Sep-2023</v>
      </c>
      <c r="W174" s="8">
        <f>EOMONTH(clean_data[[#This Row],[Date]],-1)+1</f>
        <v>45170</v>
      </c>
    </row>
    <row r="175" spans="1:23" x14ac:dyDescent="0.3">
      <c r="A175" t="s">
        <v>247</v>
      </c>
      <c r="B175" s="1">
        <v>45550</v>
      </c>
      <c r="C175" t="s">
        <v>46</v>
      </c>
      <c r="D175" t="s">
        <v>47</v>
      </c>
      <c r="E175" t="s">
        <v>38</v>
      </c>
      <c r="F175" t="s">
        <v>33</v>
      </c>
      <c r="G175" t="s">
        <v>39</v>
      </c>
      <c r="H175">
        <v>4</v>
      </c>
      <c r="I175">
        <v>5000</v>
      </c>
      <c r="J175">
        <v>10</v>
      </c>
      <c r="K175">
        <v>18000</v>
      </c>
      <c r="L175">
        <v>9000</v>
      </c>
      <c r="M175">
        <v>9000</v>
      </c>
      <c r="N175" t="s">
        <v>22</v>
      </c>
      <c r="O175" t="s">
        <v>23</v>
      </c>
      <c r="P175" t="s">
        <v>24</v>
      </c>
      <c r="Q175" t="str">
        <f>TEXT(clean_data[[#This Row],[Date]],"mmm")</f>
        <v>Sep</v>
      </c>
      <c r="R175">
        <f>YEAR(clean_data[[#This Row],[Date]])</f>
        <v>2024</v>
      </c>
      <c r="S175" s="2">
        <f>clean_data[[#This Row],[Profit]]/clean_data[[#This Row],[Revenue]]</f>
        <v>0.5</v>
      </c>
      <c r="T175" t="str" cm="1">
        <f t="array" ref="T175">_xlfn.IFS(clean_data[[#This Row],[Revenue]]&lt;300000,"Small",
     clean_data[[#This Row],[Revenue]]&lt;700000,"Medium",
     TRUE,"Large")</f>
        <v>Small</v>
      </c>
      <c r="U175" t="str" cm="1">
        <f t="array" ref="U175">_xlfn.IFS(clean_data[[#This Row],[profit margin%]]&lt;0.5,"Low Profit",
     clean_data[[#This Row],[profit margin%]]&lt;0.6,"Medium Profit",
     TRUE,"High Profit")</f>
        <v>Medium Profit</v>
      </c>
      <c r="V175" t="str">
        <f>TEXT(clean_data[[#This Row],[Date]],"mmm-yyyy")</f>
        <v>Sep-2024</v>
      </c>
      <c r="W175" s="8">
        <f>EOMONTH(clean_data[[#This Row],[Date]],-1)+1</f>
        <v>45536</v>
      </c>
    </row>
    <row r="176" spans="1:23" x14ac:dyDescent="0.3">
      <c r="A176" t="s">
        <v>248</v>
      </c>
      <c r="B176" s="1">
        <v>45125</v>
      </c>
      <c r="C176" t="s">
        <v>26</v>
      </c>
      <c r="D176" t="s">
        <v>27</v>
      </c>
      <c r="E176" t="s">
        <v>32</v>
      </c>
      <c r="F176" t="s">
        <v>20</v>
      </c>
      <c r="G176" t="s">
        <v>61</v>
      </c>
      <c r="H176">
        <v>47</v>
      </c>
      <c r="I176">
        <v>800</v>
      </c>
      <c r="J176">
        <v>10</v>
      </c>
      <c r="K176">
        <v>33840</v>
      </c>
      <c r="L176">
        <v>13536</v>
      </c>
      <c r="M176">
        <v>20304</v>
      </c>
      <c r="N176" t="s">
        <v>49</v>
      </c>
      <c r="O176" t="s">
        <v>35</v>
      </c>
      <c r="P176" t="s">
        <v>24</v>
      </c>
      <c r="Q176" t="str">
        <f>TEXT(clean_data[[#This Row],[Date]],"mmm")</f>
        <v>Jul</v>
      </c>
      <c r="R176">
        <f>YEAR(clean_data[[#This Row],[Date]])</f>
        <v>2023</v>
      </c>
      <c r="S176" s="2">
        <f>clean_data[[#This Row],[Profit]]/clean_data[[#This Row],[Revenue]]</f>
        <v>0.6</v>
      </c>
      <c r="T176" t="str" cm="1">
        <f t="array" ref="T176">_xlfn.IFS(clean_data[[#This Row],[Revenue]]&lt;300000,"Small",
     clean_data[[#This Row],[Revenue]]&lt;700000,"Medium",
     TRUE,"Large")</f>
        <v>Small</v>
      </c>
      <c r="U176" t="str" cm="1">
        <f t="array" ref="U176">_xlfn.IFS(clean_data[[#This Row],[profit margin%]]&lt;0.5,"Low Profit",
     clean_data[[#This Row],[profit margin%]]&lt;0.6,"Medium Profit",
     TRUE,"High Profit")</f>
        <v>High Profit</v>
      </c>
      <c r="V176" t="str">
        <f>TEXT(clean_data[[#This Row],[Date]],"mmm-yyyy")</f>
        <v>Jul-2023</v>
      </c>
      <c r="W176" s="8">
        <f>EOMONTH(clean_data[[#This Row],[Date]],-1)+1</f>
        <v>45108</v>
      </c>
    </row>
    <row r="177" spans="1:23" x14ac:dyDescent="0.3">
      <c r="A177" t="s">
        <v>249</v>
      </c>
      <c r="B177" s="1">
        <v>45324</v>
      </c>
      <c r="C177" t="s">
        <v>46</v>
      </c>
      <c r="D177" t="s">
        <v>55</v>
      </c>
      <c r="E177" t="s">
        <v>111</v>
      </c>
      <c r="F177" t="s">
        <v>33</v>
      </c>
      <c r="G177" t="s">
        <v>39</v>
      </c>
      <c r="H177">
        <v>25</v>
      </c>
      <c r="I177">
        <v>5000</v>
      </c>
      <c r="J177">
        <v>20</v>
      </c>
      <c r="K177">
        <v>100000</v>
      </c>
      <c r="L177">
        <v>50000</v>
      </c>
      <c r="M177">
        <v>50000</v>
      </c>
      <c r="N177" t="s">
        <v>22</v>
      </c>
      <c r="O177" t="s">
        <v>50</v>
      </c>
      <c r="P177" t="s">
        <v>24</v>
      </c>
      <c r="Q177" t="str">
        <f>TEXT(clean_data[[#This Row],[Date]],"mmm")</f>
        <v>Feb</v>
      </c>
      <c r="R177">
        <f>YEAR(clean_data[[#This Row],[Date]])</f>
        <v>2024</v>
      </c>
      <c r="S177" s="2">
        <f>clean_data[[#This Row],[Profit]]/clean_data[[#This Row],[Revenue]]</f>
        <v>0.5</v>
      </c>
      <c r="T177" t="str" cm="1">
        <f t="array" ref="T177">_xlfn.IFS(clean_data[[#This Row],[Revenue]]&lt;300000,"Small",
     clean_data[[#This Row],[Revenue]]&lt;700000,"Medium",
     TRUE,"Large")</f>
        <v>Small</v>
      </c>
      <c r="U177" t="str" cm="1">
        <f t="array" ref="U177">_xlfn.IFS(clean_data[[#This Row],[profit margin%]]&lt;0.5,"Low Profit",
     clean_data[[#This Row],[profit margin%]]&lt;0.6,"Medium Profit",
     TRUE,"High Profit")</f>
        <v>Medium Profit</v>
      </c>
      <c r="V177" t="str">
        <f>TEXT(clean_data[[#This Row],[Date]],"mmm-yyyy")</f>
        <v>Feb-2024</v>
      </c>
      <c r="W177" s="8">
        <f>EOMONTH(clean_data[[#This Row],[Date]],-1)+1</f>
        <v>45323</v>
      </c>
    </row>
    <row r="178" spans="1:23" x14ac:dyDescent="0.3">
      <c r="A178" t="s">
        <v>250</v>
      </c>
      <c r="B178" s="1">
        <v>44778</v>
      </c>
      <c r="C178" t="s">
        <v>26</v>
      </c>
      <c r="D178" t="s">
        <v>69</v>
      </c>
      <c r="E178" t="s">
        <v>70</v>
      </c>
      <c r="F178" t="s">
        <v>33</v>
      </c>
      <c r="G178" t="s">
        <v>43</v>
      </c>
      <c r="H178">
        <v>24</v>
      </c>
      <c r="I178">
        <v>4000</v>
      </c>
      <c r="J178">
        <v>5</v>
      </c>
      <c r="K178">
        <v>91200</v>
      </c>
      <c r="L178">
        <v>45600</v>
      </c>
      <c r="M178">
        <v>45600</v>
      </c>
      <c r="N178" t="s">
        <v>22</v>
      </c>
      <c r="O178" t="s">
        <v>67</v>
      </c>
      <c r="P178" t="s">
        <v>24</v>
      </c>
      <c r="Q178" t="str">
        <f>TEXT(clean_data[[#This Row],[Date]],"mmm")</f>
        <v>Aug</v>
      </c>
      <c r="R178">
        <f>YEAR(clean_data[[#This Row],[Date]])</f>
        <v>2022</v>
      </c>
      <c r="S178" s="2">
        <f>clean_data[[#This Row],[Profit]]/clean_data[[#This Row],[Revenue]]</f>
        <v>0.5</v>
      </c>
      <c r="T178" t="str" cm="1">
        <f t="array" ref="T178">_xlfn.IFS(clean_data[[#This Row],[Revenue]]&lt;300000,"Small",
     clean_data[[#This Row],[Revenue]]&lt;700000,"Medium",
     TRUE,"Large")</f>
        <v>Small</v>
      </c>
      <c r="U178" t="str" cm="1">
        <f t="array" ref="U178">_xlfn.IFS(clean_data[[#This Row],[profit margin%]]&lt;0.5,"Low Profit",
     clean_data[[#This Row],[profit margin%]]&lt;0.6,"Medium Profit",
     TRUE,"High Profit")</f>
        <v>Medium Profit</v>
      </c>
      <c r="V178" t="str">
        <f>TEXT(clean_data[[#This Row],[Date]],"mmm-yyyy")</f>
        <v>Aug-2022</v>
      </c>
      <c r="W178" s="8">
        <f>EOMONTH(clean_data[[#This Row],[Date]],-1)+1</f>
        <v>44774</v>
      </c>
    </row>
    <row r="179" spans="1:23" x14ac:dyDescent="0.3">
      <c r="A179" t="s">
        <v>251</v>
      </c>
      <c r="B179" s="1">
        <v>45339</v>
      </c>
      <c r="C179" t="s">
        <v>26</v>
      </c>
      <c r="D179" t="s">
        <v>27</v>
      </c>
      <c r="E179" t="s">
        <v>56</v>
      </c>
      <c r="F179" t="s">
        <v>20</v>
      </c>
      <c r="G179" t="s">
        <v>61</v>
      </c>
      <c r="H179">
        <v>31</v>
      </c>
      <c r="I179">
        <v>800</v>
      </c>
      <c r="J179">
        <v>20</v>
      </c>
      <c r="K179">
        <v>19840</v>
      </c>
      <c r="L179">
        <v>7936</v>
      </c>
      <c r="M179">
        <v>11904</v>
      </c>
      <c r="N179" t="s">
        <v>30</v>
      </c>
      <c r="O179" t="s">
        <v>67</v>
      </c>
      <c r="P179" t="s">
        <v>24</v>
      </c>
      <c r="Q179" t="str">
        <f>TEXT(clean_data[[#This Row],[Date]],"mmm")</f>
        <v>Feb</v>
      </c>
      <c r="R179">
        <f>YEAR(clean_data[[#This Row],[Date]])</f>
        <v>2024</v>
      </c>
      <c r="S179" s="2">
        <f>clean_data[[#This Row],[Profit]]/clean_data[[#This Row],[Revenue]]</f>
        <v>0.6</v>
      </c>
      <c r="T179" t="str" cm="1">
        <f t="array" ref="T179">_xlfn.IFS(clean_data[[#This Row],[Revenue]]&lt;300000,"Small",
     clean_data[[#This Row],[Revenue]]&lt;700000,"Medium",
     TRUE,"Large")</f>
        <v>Small</v>
      </c>
      <c r="U179" t="str" cm="1">
        <f t="array" ref="U179">_xlfn.IFS(clean_data[[#This Row],[profit margin%]]&lt;0.5,"Low Profit",
     clean_data[[#This Row],[profit margin%]]&lt;0.6,"Medium Profit",
     TRUE,"High Profit")</f>
        <v>High Profit</v>
      </c>
      <c r="V179" t="str">
        <f>TEXT(clean_data[[#This Row],[Date]],"mmm-yyyy")</f>
        <v>Feb-2024</v>
      </c>
      <c r="W179" s="8">
        <f>EOMONTH(clean_data[[#This Row],[Date]],-1)+1</f>
        <v>45323</v>
      </c>
    </row>
    <row r="180" spans="1:23" x14ac:dyDescent="0.3">
      <c r="A180" t="s">
        <v>252</v>
      </c>
      <c r="B180" s="1">
        <v>45540</v>
      </c>
      <c r="C180" t="s">
        <v>17</v>
      </c>
      <c r="D180" t="s">
        <v>42</v>
      </c>
      <c r="E180" t="s">
        <v>70</v>
      </c>
      <c r="F180" t="s">
        <v>20</v>
      </c>
      <c r="G180" t="s">
        <v>115</v>
      </c>
      <c r="H180">
        <v>40</v>
      </c>
      <c r="I180">
        <v>2500</v>
      </c>
      <c r="J180">
        <v>10</v>
      </c>
      <c r="K180">
        <v>90000</v>
      </c>
      <c r="L180">
        <v>36000</v>
      </c>
      <c r="M180">
        <v>54000</v>
      </c>
      <c r="N180" t="s">
        <v>49</v>
      </c>
      <c r="O180" t="s">
        <v>67</v>
      </c>
      <c r="P180" t="s">
        <v>40</v>
      </c>
      <c r="Q180" t="str">
        <f>TEXT(clean_data[[#This Row],[Date]],"mmm")</f>
        <v>Sep</v>
      </c>
      <c r="R180">
        <f>YEAR(clean_data[[#This Row],[Date]])</f>
        <v>2024</v>
      </c>
      <c r="S180" s="2">
        <f>clean_data[[#This Row],[Profit]]/clean_data[[#This Row],[Revenue]]</f>
        <v>0.6</v>
      </c>
      <c r="T180" t="str" cm="1">
        <f t="array" ref="T180">_xlfn.IFS(clean_data[[#This Row],[Revenue]]&lt;300000,"Small",
     clean_data[[#This Row],[Revenue]]&lt;700000,"Medium",
     TRUE,"Large")</f>
        <v>Small</v>
      </c>
      <c r="U180" t="str" cm="1">
        <f t="array" ref="U180">_xlfn.IFS(clean_data[[#This Row],[profit margin%]]&lt;0.5,"Low Profit",
     clean_data[[#This Row],[profit margin%]]&lt;0.6,"Medium Profit",
     TRUE,"High Profit")</f>
        <v>High Profit</v>
      </c>
      <c r="V180" t="str">
        <f>TEXT(clean_data[[#This Row],[Date]],"mmm-yyyy")</f>
        <v>Sep-2024</v>
      </c>
      <c r="W180" s="8">
        <f>EOMONTH(clean_data[[#This Row],[Date]],-1)+1</f>
        <v>45536</v>
      </c>
    </row>
    <row r="181" spans="1:23" x14ac:dyDescent="0.3">
      <c r="A181" t="s">
        <v>253</v>
      </c>
      <c r="B181" s="1">
        <v>45553</v>
      </c>
      <c r="C181" t="s">
        <v>58</v>
      </c>
      <c r="D181" t="s">
        <v>64</v>
      </c>
      <c r="E181" t="s">
        <v>38</v>
      </c>
      <c r="F181" t="s">
        <v>33</v>
      </c>
      <c r="G181" t="s">
        <v>48</v>
      </c>
      <c r="H181">
        <v>2</v>
      </c>
      <c r="I181">
        <v>1500</v>
      </c>
      <c r="J181">
        <v>10</v>
      </c>
      <c r="K181">
        <v>2700</v>
      </c>
      <c r="L181">
        <v>1350</v>
      </c>
      <c r="M181">
        <v>1350</v>
      </c>
      <c r="N181" t="s">
        <v>22</v>
      </c>
      <c r="O181" t="s">
        <v>35</v>
      </c>
      <c r="P181" t="s">
        <v>24</v>
      </c>
      <c r="Q181" t="str">
        <f>TEXT(clean_data[[#This Row],[Date]],"mmm")</f>
        <v>Sep</v>
      </c>
      <c r="R181">
        <f>YEAR(clean_data[[#This Row],[Date]])</f>
        <v>2024</v>
      </c>
      <c r="S181" s="2">
        <f>clean_data[[#This Row],[Profit]]/clean_data[[#This Row],[Revenue]]</f>
        <v>0.5</v>
      </c>
      <c r="T181" t="str" cm="1">
        <f t="array" ref="T181">_xlfn.IFS(clean_data[[#This Row],[Revenue]]&lt;300000,"Small",
     clean_data[[#This Row],[Revenue]]&lt;700000,"Medium",
     TRUE,"Large")</f>
        <v>Small</v>
      </c>
      <c r="U181" t="str" cm="1">
        <f t="array" ref="U181">_xlfn.IFS(clean_data[[#This Row],[profit margin%]]&lt;0.5,"Low Profit",
     clean_data[[#This Row],[profit margin%]]&lt;0.6,"Medium Profit",
     TRUE,"High Profit")</f>
        <v>Medium Profit</v>
      </c>
      <c r="V181" t="str">
        <f>TEXT(clean_data[[#This Row],[Date]],"mmm-yyyy")</f>
        <v>Sep-2024</v>
      </c>
      <c r="W181" s="8">
        <f>EOMONTH(clean_data[[#This Row],[Date]],-1)+1</f>
        <v>45536</v>
      </c>
    </row>
    <row r="182" spans="1:23" x14ac:dyDescent="0.3">
      <c r="A182" t="s">
        <v>254</v>
      </c>
      <c r="B182" s="1">
        <v>45370</v>
      </c>
      <c r="C182" t="s">
        <v>17</v>
      </c>
      <c r="D182" t="s">
        <v>42</v>
      </c>
      <c r="E182" t="s">
        <v>56</v>
      </c>
      <c r="F182" t="s">
        <v>65</v>
      </c>
      <c r="G182" t="s">
        <v>124</v>
      </c>
      <c r="H182">
        <v>42</v>
      </c>
      <c r="I182">
        <v>18000</v>
      </c>
      <c r="J182">
        <v>20</v>
      </c>
      <c r="K182">
        <v>604800</v>
      </c>
      <c r="L182">
        <v>272160</v>
      </c>
      <c r="M182">
        <v>332640</v>
      </c>
      <c r="N182" t="s">
        <v>30</v>
      </c>
      <c r="O182" t="s">
        <v>35</v>
      </c>
      <c r="P182" t="s">
        <v>40</v>
      </c>
      <c r="Q182" t="str">
        <f>TEXT(clean_data[[#This Row],[Date]],"mmm")</f>
        <v>Mar</v>
      </c>
      <c r="R182">
        <f>YEAR(clean_data[[#This Row],[Date]])</f>
        <v>2024</v>
      </c>
      <c r="S182" s="2">
        <f>clean_data[[#This Row],[Profit]]/clean_data[[#This Row],[Revenue]]</f>
        <v>0.55000000000000004</v>
      </c>
      <c r="T182" t="str" cm="1">
        <f t="array" ref="T182">_xlfn.IFS(clean_data[[#This Row],[Revenue]]&lt;300000,"Small",
     clean_data[[#This Row],[Revenue]]&lt;700000,"Medium",
     TRUE,"Large")</f>
        <v>Medium</v>
      </c>
      <c r="U182" t="str" cm="1">
        <f t="array" ref="U182">_xlfn.IFS(clean_data[[#This Row],[profit margin%]]&lt;0.5,"Low Profit",
     clean_data[[#This Row],[profit margin%]]&lt;0.6,"Medium Profit",
     TRUE,"High Profit")</f>
        <v>Medium Profit</v>
      </c>
      <c r="V182" t="str">
        <f>TEXT(clean_data[[#This Row],[Date]],"mmm-yyyy")</f>
        <v>Mar-2024</v>
      </c>
      <c r="W182" s="8">
        <f>EOMONTH(clean_data[[#This Row],[Date]],-1)+1</f>
        <v>45352</v>
      </c>
    </row>
    <row r="183" spans="1:23" x14ac:dyDescent="0.3">
      <c r="A183" t="s">
        <v>255</v>
      </c>
      <c r="B183" s="1">
        <v>45479</v>
      </c>
      <c r="C183" t="s">
        <v>58</v>
      </c>
      <c r="D183" t="s">
        <v>84</v>
      </c>
      <c r="E183" t="s">
        <v>19</v>
      </c>
      <c r="F183" t="s">
        <v>28</v>
      </c>
      <c r="G183" t="s">
        <v>29</v>
      </c>
      <c r="H183">
        <v>45</v>
      </c>
      <c r="I183">
        <v>15000</v>
      </c>
      <c r="J183">
        <v>0</v>
      </c>
      <c r="K183">
        <v>675000</v>
      </c>
      <c r="L183">
        <v>371250</v>
      </c>
      <c r="M183">
        <v>303750</v>
      </c>
      <c r="N183" t="s">
        <v>30</v>
      </c>
      <c r="O183" t="s">
        <v>23</v>
      </c>
      <c r="P183" t="s">
        <v>24</v>
      </c>
      <c r="Q183" t="str">
        <f>TEXT(clean_data[[#This Row],[Date]],"mmm")</f>
        <v>Jul</v>
      </c>
      <c r="R183">
        <f>YEAR(clean_data[[#This Row],[Date]])</f>
        <v>2024</v>
      </c>
      <c r="S183" s="2">
        <f>clean_data[[#This Row],[Profit]]/clean_data[[#This Row],[Revenue]]</f>
        <v>0.45</v>
      </c>
      <c r="T183" t="str" cm="1">
        <f t="array" ref="T183">_xlfn.IFS(clean_data[[#This Row],[Revenue]]&lt;300000,"Small",
     clean_data[[#This Row],[Revenue]]&lt;700000,"Medium",
     TRUE,"Large")</f>
        <v>Medium</v>
      </c>
      <c r="U183" t="str" cm="1">
        <f t="array" ref="U183">_xlfn.IFS(clean_data[[#This Row],[profit margin%]]&lt;0.5,"Low Profit",
     clean_data[[#This Row],[profit margin%]]&lt;0.6,"Medium Profit",
     TRUE,"High Profit")</f>
        <v>Low Profit</v>
      </c>
      <c r="V183" t="str">
        <f>TEXT(clean_data[[#This Row],[Date]],"mmm-yyyy")</f>
        <v>Jul-2024</v>
      </c>
      <c r="W183" s="8">
        <f>EOMONTH(clean_data[[#This Row],[Date]],-1)+1</f>
        <v>45474</v>
      </c>
    </row>
    <row r="184" spans="1:23" x14ac:dyDescent="0.3">
      <c r="A184" t="s">
        <v>256</v>
      </c>
      <c r="B184" s="1">
        <v>45183</v>
      </c>
      <c r="C184" t="s">
        <v>46</v>
      </c>
      <c r="D184" t="s">
        <v>55</v>
      </c>
      <c r="E184" t="s">
        <v>19</v>
      </c>
      <c r="F184" t="s">
        <v>65</v>
      </c>
      <c r="G184" t="s">
        <v>79</v>
      </c>
      <c r="H184">
        <v>50</v>
      </c>
      <c r="I184">
        <v>900</v>
      </c>
      <c r="J184">
        <v>20</v>
      </c>
      <c r="K184">
        <v>36000</v>
      </c>
      <c r="L184">
        <v>16200</v>
      </c>
      <c r="M184">
        <v>19800</v>
      </c>
      <c r="N184" t="s">
        <v>22</v>
      </c>
      <c r="O184" t="s">
        <v>35</v>
      </c>
      <c r="P184" t="s">
        <v>24</v>
      </c>
      <c r="Q184" t="str">
        <f>TEXT(clean_data[[#This Row],[Date]],"mmm")</f>
        <v>Sep</v>
      </c>
      <c r="R184">
        <f>YEAR(clean_data[[#This Row],[Date]])</f>
        <v>2023</v>
      </c>
      <c r="S184" s="2">
        <f>clean_data[[#This Row],[Profit]]/clean_data[[#This Row],[Revenue]]</f>
        <v>0.55000000000000004</v>
      </c>
      <c r="T184" t="str" cm="1">
        <f t="array" ref="T184">_xlfn.IFS(clean_data[[#This Row],[Revenue]]&lt;300000,"Small",
     clean_data[[#This Row],[Revenue]]&lt;700000,"Medium",
     TRUE,"Large")</f>
        <v>Small</v>
      </c>
      <c r="U184" t="str" cm="1">
        <f t="array" ref="U184">_xlfn.IFS(clean_data[[#This Row],[profit margin%]]&lt;0.5,"Low Profit",
     clean_data[[#This Row],[profit margin%]]&lt;0.6,"Medium Profit",
     TRUE,"High Profit")</f>
        <v>Medium Profit</v>
      </c>
      <c r="V184" t="str">
        <f>TEXT(clean_data[[#This Row],[Date]],"mmm-yyyy")</f>
        <v>Sep-2023</v>
      </c>
      <c r="W184" s="8">
        <f>EOMONTH(clean_data[[#This Row],[Date]],-1)+1</f>
        <v>45170</v>
      </c>
    </row>
    <row r="185" spans="1:23" x14ac:dyDescent="0.3">
      <c r="A185" t="s">
        <v>257</v>
      </c>
      <c r="B185" s="1">
        <v>44821</v>
      </c>
      <c r="C185" t="s">
        <v>46</v>
      </c>
      <c r="D185" t="s">
        <v>55</v>
      </c>
      <c r="E185" t="s">
        <v>60</v>
      </c>
      <c r="F185" t="s">
        <v>65</v>
      </c>
      <c r="G185" t="s">
        <v>124</v>
      </c>
      <c r="H185">
        <v>12</v>
      </c>
      <c r="I185">
        <v>18000</v>
      </c>
      <c r="J185">
        <v>15</v>
      </c>
      <c r="K185">
        <v>183600</v>
      </c>
      <c r="L185">
        <v>82620</v>
      </c>
      <c r="M185">
        <v>100980</v>
      </c>
      <c r="N185" t="s">
        <v>49</v>
      </c>
      <c r="O185" t="s">
        <v>67</v>
      </c>
      <c r="P185" t="s">
        <v>40</v>
      </c>
      <c r="Q185" t="str">
        <f>TEXT(clean_data[[#This Row],[Date]],"mmm")</f>
        <v>Sep</v>
      </c>
      <c r="R185">
        <f>YEAR(clean_data[[#This Row],[Date]])</f>
        <v>2022</v>
      </c>
      <c r="S185" s="2">
        <f>clean_data[[#This Row],[Profit]]/clean_data[[#This Row],[Revenue]]</f>
        <v>0.55000000000000004</v>
      </c>
      <c r="T185" t="str" cm="1">
        <f t="array" ref="T185">_xlfn.IFS(clean_data[[#This Row],[Revenue]]&lt;300000,"Small",
     clean_data[[#This Row],[Revenue]]&lt;700000,"Medium",
     TRUE,"Large")</f>
        <v>Small</v>
      </c>
      <c r="U185" t="str" cm="1">
        <f t="array" ref="U185">_xlfn.IFS(clean_data[[#This Row],[profit margin%]]&lt;0.5,"Low Profit",
     clean_data[[#This Row],[profit margin%]]&lt;0.6,"Medium Profit",
     TRUE,"High Profit")</f>
        <v>Medium Profit</v>
      </c>
      <c r="V185" t="str">
        <f>TEXT(clean_data[[#This Row],[Date]],"mmm-yyyy")</f>
        <v>Sep-2022</v>
      </c>
      <c r="W185" s="8">
        <f>EOMONTH(clean_data[[#This Row],[Date]],-1)+1</f>
        <v>44805</v>
      </c>
    </row>
    <row r="186" spans="1:23" x14ac:dyDescent="0.3">
      <c r="A186" t="s">
        <v>258</v>
      </c>
      <c r="B186" s="1">
        <v>45252</v>
      </c>
      <c r="C186" t="s">
        <v>17</v>
      </c>
      <c r="D186" t="s">
        <v>42</v>
      </c>
      <c r="E186" t="s">
        <v>60</v>
      </c>
      <c r="F186" t="s">
        <v>20</v>
      </c>
      <c r="G186" t="s">
        <v>74</v>
      </c>
      <c r="H186">
        <v>18</v>
      </c>
      <c r="I186">
        <v>4200</v>
      </c>
      <c r="J186">
        <v>20</v>
      </c>
      <c r="K186">
        <v>60480</v>
      </c>
      <c r="L186">
        <v>24192</v>
      </c>
      <c r="M186">
        <v>36288</v>
      </c>
      <c r="N186" t="s">
        <v>30</v>
      </c>
      <c r="O186" t="s">
        <v>50</v>
      </c>
      <c r="P186" t="s">
        <v>24</v>
      </c>
      <c r="Q186" t="str">
        <f>TEXT(clean_data[[#This Row],[Date]],"mmm")</f>
        <v>Nov</v>
      </c>
      <c r="R186">
        <f>YEAR(clean_data[[#This Row],[Date]])</f>
        <v>2023</v>
      </c>
      <c r="S186" s="2">
        <f>clean_data[[#This Row],[Profit]]/clean_data[[#This Row],[Revenue]]</f>
        <v>0.6</v>
      </c>
      <c r="T186" t="str" cm="1">
        <f t="array" ref="T186">_xlfn.IFS(clean_data[[#This Row],[Revenue]]&lt;300000,"Small",
     clean_data[[#This Row],[Revenue]]&lt;700000,"Medium",
     TRUE,"Large")</f>
        <v>Small</v>
      </c>
      <c r="U186" t="str" cm="1">
        <f t="array" ref="U186">_xlfn.IFS(clean_data[[#This Row],[profit margin%]]&lt;0.5,"Low Profit",
     clean_data[[#This Row],[profit margin%]]&lt;0.6,"Medium Profit",
     TRUE,"High Profit")</f>
        <v>High Profit</v>
      </c>
      <c r="V186" t="str">
        <f>TEXT(clean_data[[#This Row],[Date]],"mmm-yyyy")</f>
        <v>Nov-2023</v>
      </c>
      <c r="W186" s="8">
        <f>EOMONTH(clean_data[[#This Row],[Date]],-1)+1</f>
        <v>45231</v>
      </c>
    </row>
    <row r="187" spans="1:23" x14ac:dyDescent="0.3">
      <c r="A187" t="s">
        <v>259</v>
      </c>
      <c r="B187" s="1">
        <v>45130</v>
      </c>
      <c r="C187" t="s">
        <v>46</v>
      </c>
      <c r="D187" t="s">
        <v>55</v>
      </c>
      <c r="E187" t="s">
        <v>70</v>
      </c>
      <c r="F187" t="s">
        <v>65</v>
      </c>
      <c r="G187" t="s">
        <v>124</v>
      </c>
      <c r="H187">
        <v>36</v>
      </c>
      <c r="I187">
        <v>18000</v>
      </c>
      <c r="J187">
        <v>10</v>
      </c>
      <c r="K187">
        <v>583200</v>
      </c>
      <c r="L187">
        <v>262440</v>
      </c>
      <c r="M187">
        <v>320760</v>
      </c>
      <c r="N187" t="s">
        <v>30</v>
      </c>
      <c r="O187" t="s">
        <v>67</v>
      </c>
      <c r="P187" t="s">
        <v>24</v>
      </c>
      <c r="Q187" t="str">
        <f>TEXT(clean_data[[#This Row],[Date]],"mmm")</f>
        <v>Jul</v>
      </c>
      <c r="R187">
        <f>YEAR(clean_data[[#This Row],[Date]])</f>
        <v>2023</v>
      </c>
      <c r="S187" s="2">
        <f>clean_data[[#This Row],[Profit]]/clean_data[[#This Row],[Revenue]]</f>
        <v>0.55000000000000004</v>
      </c>
      <c r="T187" t="str" cm="1">
        <f t="array" ref="T187">_xlfn.IFS(clean_data[[#This Row],[Revenue]]&lt;300000,"Small",
     clean_data[[#This Row],[Revenue]]&lt;700000,"Medium",
     TRUE,"Large")</f>
        <v>Medium</v>
      </c>
      <c r="U187" t="str" cm="1">
        <f t="array" ref="U187">_xlfn.IFS(clean_data[[#This Row],[profit margin%]]&lt;0.5,"Low Profit",
     clean_data[[#This Row],[profit margin%]]&lt;0.6,"Medium Profit",
     TRUE,"High Profit")</f>
        <v>Medium Profit</v>
      </c>
      <c r="V187" t="str">
        <f>TEXT(clean_data[[#This Row],[Date]],"mmm-yyyy")</f>
        <v>Jul-2023</v>
      </c>
      <c r="W187" s="8">
        <f>EOMONTH(clean_data[[#This Row],[Date]],-1)+1</f>
        <v>45108</v>
      </c>
    </row>
    <row r="188" spans="1:23" x14ac:dyDescent="0.3">
      <c r="A188" t="s">
        <v>260</v>
      </c>
      <c r="B188" s="1">
        <v>45609</v>
      </c>
      <c r="C188" t="s">
        <v>58</v>
      </c>
      <c r="D188" t="s">
        <v>59</v>
      </c>
      <c r="E188" t="s">
        <v>78</v>
      </c>
      <c r="F188" t="s">
        <v>33</v>
      </c>
      <c r="G188" t="s">
        <v>39</v>
      </c>
      <c r="H188">
        <v>19</v>
      </c>
      <c r="I188">
        <v>5000</v>
      </c>
      <c r="J188">
        <v>0</v>
      </c>
      <c r="K188">
        <v>95000</v>
      </c>
      <c r="L188">
        <v>47500</v>
      </c>
      <c r="M188">
        <v>47500</v>
      </c>
      <c r="N188" t="s">
        <v>49</v>
      </c>
      <c r="O188" t="s">
        <v>50</v>
      </c>
      <c r="P188" t="s">
        <v>24</v>
      </c>
      <c r="Q188" t="str">
        <f>TEXT(clean_data[[#This Row],[Date]],"mmm")</f>
        <v>Nov</v>
      </c>
      <c r="R188">
        <f>YEAR(clean_data[[#This Row],[Date]])</f>
        <v>2024</v>
      </c>
      <c r="S188" s="2">
        <f>clean_data[[#This Row],[Profit]]/clean_data[[#This Row],[Revenue]]</f>
        <v>0.5</v>
      </c>
      <c r="T188" t="str" cm="1">
        <f t="array" ref="T188">_xlfn.IFS(clean_data[[#This Row],[Revenue]]&lt;300000,"Small",
     clean_data[[#This Row],[Revenue]]&lt;700000,"Medium",
     TRUE,"Large")</f>
        <v>Small</v>
      </c>
      <c r="U188" t="str" cm="1">
        <f t="array" ref="U188">_xlfn.IFS(clean_data[[#This Row],[profit margin%]]&lt;0.5,"Low Profit",
     clean_data[[#This Row],[profit margin%]]&lt;0.6,"Medium Profit",
     TRUE,"High Profit")</f>
        <v>Medium Profit</v>
      </c>
      <c r="V188" t="str">
        <f>TEXT(clean_data[[#This Row],[Date]],"mmm-yyyy")</f>
        <v>Nov-2024</v>
      </c>
      <c r="W188" s="8">
        <f>EOMONTH(clean_data[[#This Row],[Date]],-1)+1</f>
        <v>45597</v>
      </c>
    </row>
    <row r="189" spans="1:23" x14ac:dyDescent="0.3">
      <c r="A189" t="s">
        <v>261</v>
      </c>
      <c r="B189" s="1">
        <v>45480</v>
      </c>
      <c r="C189" t="s">
        <v>46</v>
      </c>
      <c r="D189" t="s">
        <v>55</v>
      </c>
      <c r="E189" t="s">
        <v>111</v>
      </c>
      <c r="F189" t="s">
        <v>33</v>
      </c>
      <c r="G189" t="s">
        <v>76</v>
      </c>
      <c r="H189">
        <v>7</v>
      </c>
      <c r="I189">
        <v>8500</v>
      </c>
      <c r="J189">
        <v>20</v>
      </c>
      <c r="K189">
        <v>47600</v>
      </c>
      <c r="L189">
        <v>23800</v>
      </c>
      <c r="M189">
        <v>23800</v>
      </c>
      <c r="N189" t="s">
        <v>30</v>
      </c>
      <c r="O189" t="s">
        <v>44</v>
      </c>
      <c r="P189" t="s">
        <v>40</v>
      </c>
      <c r="Q189" t="str">
        <f>TEXT(clean_data[[#This Row],[Date]],"mmm")</f>
        <v>Jul</v>
      </c>
      <c r="R189">
        <f>YEAR(clean_data[[#This Row],[Date]])</f>
        <v>2024</v>
      </c>
      <c r="S189" s="2">
        <f>clean_data[[#This Row],[Profit]]/clean_data[[#This Row],[Revenue]]</f>
        <v>0.5</v>
      </c>
      <c r="T189" t="str" cm="1">
        <f t="array" ref="T189">_xlfn.IFS(clean_data[[#This Row],[Revenue]]&lt;300000,"Small",
     clean_data[[#This Row],[Revenue]]&lt;700000,"Medium",
     TRUE,"Large")</f>
        <v>Small</v>
      </c>
      <c r="U189" t="str" cm="1">
        <f t="array" ref="U189">_xlfn.IFS(clean_data[[#This Row],[profit margin%]]&lt;0.5,"Low Profit",
     clean_data[[#This Row],[profit margin%]]&lt;0.6,"Medium Profit",
     TRUE,"High Profit")</f>
        <v>Medium Profit</v>
      </c>
      <c r="V189" t="str">
        <f>TEXT(clean_data[[#This Row],[Date]],"mmm-yyyy")</f>
        <v>Jul-2024</v>
      </c>
      <c r="W189" s="8">
        <f>EOMONTH(clean_data[[#This Row],[Date]],-1)+1</f>
        <v>45474</v>
      </c>
    </row>
    <row r="190" spans="1:23" x14ac:dyDescent="0.3">
      <c r="A190" t="s">
        <v>262</v>
      </c>
      <c r="B190" s="1">
        <v>44673</v>
      </c>
      <c r="C190" t="s">
        <v>46</v>
      </c>
      <c r="D190" t="s">
        <v>47</v>
      </c>
      <c r="E190" t="s">
        <v>56</v>
      </c>
      <c r="F190" t="s">
        <v>28</v>
      </c>
      <c r="G190" t="s">
        <v>85</v>
      </c>
      <c r="H190">
        <v>22</v>
      </c>
      <c r="I190">
        <v>8000</v>
      </c>
      <c r="J190">
        <v>15</v>
      </c>
      <c r="K190">
        <v>149600</v>
      </c>
      <c r="L190">
        <v>82280</v>
      </c>
      <c r="M190">
        <v>67320</v>
      </c>
      <c r="N190" t="s">
        <v>22</v>
      </c>
      <c r="O190" t="s">
        <v>44</v>
      </c>
      <c r="P190" t="s">
        <v>24</v>
      </c>
      <c r="Q190" t="str">
        <f>TEXT(clean_data[[#This Row],[Date]],"mmm")</f>
        <v>Apr</v>
      </c>
      <c r="R190">
        <f>YEAR(clean_data[[#This Row],[Date]])</f>
        <v>2022</v>
      </c>
      <c r="S190" s="2">
        <f>clean_data[[#This Row],[Profit]]/clean_data[[#This Row],[Revenue]]</f>
        <v>0.45</v>
      </c>
      <c r="T190" t="str" cm="1">
        <f t="array" ref="T190">_xlfn.IFS(clean_data[[#This Row],[Revenue]]&lt;300000,"Small",
     clean_data[[#This Row],[Revenue]]&lt;700000,"Medium",
     TRUE,"Large")</f>
        <v>Small</v>
      </c>
      <c r="U190" t="str" cm="1">
        <f t="array" ref="U190">_xlfn.IFS(clean_data[[#This Row],[profit margin%]]&lt;0.5,"Low Profit",
     clean_data[[#This Row],[profit margin%]]&lt;0.6,"Medium Profit",
     TRUE,"High Profit")</f>
        <v>Low Profit</v>
      </c>
      <c r="V190" t="str">
        <f>TEXT(clean_data[[#This Row],[Date]],"mmm-yyyy")</f>
        <v>Apr-2022</v>
      </c>
      <c r="W190" s="8">
        <f>EOMONTH(clean_data[[#This Row],[Date]],-1)+1</f>
        <v>44652</v>
      </c>
    </row>
    <row r="191" spans="1:23" x14ac:dyDescent="0.3">
      <c r="A191" t="s">
        <v>263</v>
      </c>
      <c r="B191" s="1">
        <v>44579</v>
      </c>
      <c r="C191" t="s">
        <v>46</v>
      </c>
      <c r="D191" t="s">
        <v>55</v>
      </c>
      <c r="E191" t="s">
        <v>60</v>
      </c>
      <c r="F191" t="s">
        <v>65</v>
      </c>
      <c r="G191" t="s">
        <v>104</v>
      </c>
      <c r="H191">
        <v>49</v>
      </c>
      <c r="I191">
        <v>3000</v>
      </c>
      <c r="J191">
        <v>10</v>
      </c>
      <c r="K191">
        <v>132300</v>
      </c>
      <c r="L191">
        <v>59535</v>
      </c>
      <c r="M191">
        <v>72765</v>
      </c>
      <c r="N191" t="s">
        <v>49</v>
      </c>
      <c r="O191" t="s">
        <v>35</v>
      </c>
      <c r="P191" t="s">
        <v>24</v>
      </c>
      <c r="Q191" t="str">
        <f>TEXT(clean_data[[#This Row],[Date]],"mmm")</f>
        <v>Jan</v>
      </c>
      <c r="R191">
        <f>YEAR(clean_data[[#This Row],[Date]])</f>
        <v>2022</v>
      </c>
      <c r="S191" s="2">
        <f>clean_data[[#This Row],[Profit]]/clean_data[[#This Row],[Revenue]]</f>
        <v>0.55000000000000004</v>
      </c>
      <c r="T191" t="str" cm="1">
        <f t="array" ref="T191">_xlfn.IFS(clean_data[[#This Row],[Revenue]]&lt;300000,"Small",
     clean_data[[#This Row],[Revenue]]&lt;700000,"Medium",
     TRUE,"Large")</f>
        <v>Small</v>
      </c>
      <c r="U191" t="str" cm="1">
        <f t="array" ref="U191">_xlfn.IFS(clean_data[[#This Row],[profit margin%]]&lt;0.5,"Low Profit",
     clean_data[[#This Row],[profit margin%]]&lt;0.6,"Medium Profit",
     TRUE,"High Profit")</f>
        <v>Medium Profit</v>
      </c>
      <c r="V191" t="str">
        <f>TEXT(clean_data[[#This Row],[Date]],"mmm-yyyy")</f>
        <v>Jan-2022</v>
      </c>
      <c r="W191" s="8">
        <f>EOMONTH(clean_data[[#This Row],[Date]],-1)+1</f>
        <v>44562</v>
      </c>
    </row>
    <row r="192" spans="1:23" x14ac:dyDescent="0.3">
      <c r="A192" t="s">
        <v>264</v>
      </c>
      <c r="B192" s="1">
        <v>44733</v>
      </c>
      <c r="C192" t="s">
        <v>46</v>
      </c>
      <c r="D192" t="s">
        <v>47</v>
      </c>
      <c r="E192" t="s">
        <v>78</v>
      </c>
      <c r="F192" t="s">
        <v>65</v>
      </c>
      <c r="G192" t="s">
        <v>104</v>
      </c>
      <c r="H192">
        <v>3</v>
      </c>
      <c r="I192">
        <v>3000</v>
      </c>
      <c r="J192">
        <v>15</v>
      </c>
      <c r="K192">
        <v>7650</v>
      </c>
      <c r="L192">
        <v>3442.5</v>
      </c>
      <c r="M192">
        <v>4207.5</v>
      </c>
      <c r="N192" t="s">
        <v>30</v>
      </c>
      <c r="O192" t="s">
        <v>50</v>
      </c>
      <c r="P192" t="s">
        <v>24</v>
      </c>
      <c r="Q192" t="str">
        <f>TEXT(clean_data[[#This Row],[Date]],"mmm")</f>
        <v>Jun</v>
      </c>
      <c r="R192">
        <f>YEAR(clean_data[[#This Row],[Date]])</f>
        <v>2022</v>
      </c>
      <c r="S192" s="2">
        <f>clean_data[[#This Row],[Profit]]/clean_data[[#This Row],[Revenue]]</f>
        <v>0.55000000000000004</v>
      </c>
      <c r="T192" t="str" cm="1">
        <f t="array" ref="T192">_xlfn.IFS(clean_data[[#This Row],[Revenue]]&lt;300000,"Small",
     clean_data[[#This Row],[Revenue]]&lt;700000,"Medium",
     TRUE,"Large")</f>
        <v>Small</v>
      </c>
      <c r="U192" t="str" cm="1">
        <f t="array" ref="U192">_xlfn.IFS(clean_data[[#This Row],[profit margin%]]&lt;0.5,"Low Profit",
     clean_data[[#This Row],[profit margin%]]&lt;0.6,"Medium Profit",
     TRUE,"High Profit")</f>
        <v>Medium Profit</v>
      </c>
      <c r="V192" t="str">
        <f>TEXT(clean_data[[#This Row],[Date]],"mmm-yyyy")</f>
        <v>Jun-2022</v>
      </c>
      <c r="W192" s="8">
        <f>EOMONTH(clean_data[[#This Row],[Date]],-1)+1</f>
        <v>44713</v>
      </c>
    </row>
    <row r="193" spans="1:23" x14ac:dyDescent="0.3">
      <c r="A193" t="s">
        <v>265</v>
      </c>
      <c r="B193" s="1">
        <v>44621</v>
      </c>
      <c r="C193" t="s">
        <v>17</v>
      </c>
      <c r="D193" t="s">
        <v>42</v>
      </c>
      <c r="E193" t="s">
        <v>38</v>
      </c>
      <c r="F193" t="s">
        <v>28</v>
      </c>
      <c r="G193" t="s">
        <v>71</v>
      </c>
      <c r="H193">
        <v>19</v>
      </c>
      <c r="I193">
        <v>35000</v>
      </c>
      <c r="J193">
        <v>15</v>
      </c>
      <c r="K193">
        <v>565250</v>
      </c>
      <c r="L193">
        <v>310887.5</v>
      </c>
      <c r="M193">
        <v>254362.5</v>
      </c>
      <c r="N193" t="s">
        <v>22</v>
      </c>
      <c r="O193" t="s">
        <v>23</v>
      </c>
      <c r="P193" t="s">
        <v>40</v>
      </c>
      <c r="Q193" t="str">
        <f>TEXT(clean_data[[#This Row],[Date]],"mmm")</f>
        <v>Mar</v>
      </c>
      <c r="R193">
        <f>YEAR(clean_data[[#This Row],[Date]])</f>
        <v>2022</v>
      </c>
      <c r="S193" s="2">
        <f>clean_data[[#This Row],[Profit]]/clean_data[[#This Row],[Revenue]]</f>
        <v>0.45</v>
      </c>
      <c r="T193" t="str" cm="1">
        <f t="array" ref="T193">_xlfn.IFS(clean_data[[#This Row],[Revenue]]&lt;300000,"Small",
     clean_data[[#This Row],[Revenue]]&lt;700000,"Medium",
     TRUE,"Large")</f>
        <v>Medium</v>
      </c>
      <c r="U193" t="str" cm="1">
        <f t="array" ref="U193">_xlfn.IFS(clean_data[[#This Row],[profit margin%]]&lt;0.5,"Low Profit",
     clean_data[[#This Row],[profit margin%]]&lt;0.6,"Medium Profit",
     TRUE,"High Profit")</f>
        <v>Low Profit</v>
      </c>
      <c r="V193" t="str">
        <f>TEXT(clean_data[[#This Row],[Date]],"mmm-yyyy")</f>
        <v>Mar-2022</v>
      </c>
      <c r="W193" s="8">
        <f>EOMONTH(clean_data[[#This Row],[Date]],-1)+1</f>
        <v>44621</v>
      </c>
    </row>
    <row r="194" spans="1:23" x14ac:dyDescent="0.3">
      <c r="A194" t="s">
        <v>266</v>
      </c>
      <c r="B194" s="1">
        <v>44832</v>
      </c>
      <c r="C194" t="s">
        <v>58</v>
      </c>
      <c r="D194" t="s">
        <v>59</v>
      </c>
      <c r="E194" t="s">
        <v>19</v>
      </c>
      <c r="F194" t="s">
        <v>28</v>
      </c>
      <c r="G194" t="s">
        <v>71</v>
      </c>
      <c r="H194">
        <v>11</v>
      </c>
      <c r="I194">
        <v>35000</v>
      </c>
      <c r="J194">
        <v>15</v>
      </c>
      <c r="K194">
        <v>327250</v>
      </c>
      <c r="L194">
        <v>179987.5</v>
      </c>
      <c r="M194">
        <v>147262.5</v>
      </c>
      <c r="N194" t="s">
        <v>22</v>
      </c>
      <c r="O194" t="s">
        <v>44</v>
      </c>
      <c r="P194" t="s">
        <v>24</v>
      </c>
      <c r="Q194" t="str">
        <f>TEXT(clean_data[[#This Row],[Date]],"mmm")</f>
        <v>Sep</v>
      </c>
      <c r="R194">
        <f>YEAR(clean_data[[#This Row],[Date]])</f>
        <v>2022</v>
      </c>
      <c r="S194" s="2">
        <f>clean_data[[#This Row],[Profit]]/clean_data[[#This Row],[Revenue]]</f>
        <v>0.45</v>
      </c>
      <c r="T194" t="str" cm="1">
        <f t="array" ref="T194">_xlfn.IFS(clean_data[[#This Row],[Revenue]]&lt;300000,"Small",
     clean_data[[#This Row],[Revenue]]&lt;700000,"Medium",
     TRUE,"Large")</f>
        <v>Medium</v>
      </c>
      <c r="U194" t="str" cm="1">
        <f t="array" ref="U194">_xlfn.IFS(clean_data[[#This Row],[profit margin%]]&lt;0.5,"Low Profit",
     clean_data[[#This Row],[profit margin%]]&lt;0.6,"Medium Profit",
     TRUE,"High Profit")</f>
        <v>Low Profit</v>
      </c>
      <c r="V194" t="str">
        <f>TEXT(clean_data[[#This Row],[Date]],"mmm-yyyy")</f>
        <v>Sep-2022</v>
      </c>
      <c r="W194" s="8">
        <f>EOMONTH(clean_data[[#This Row],[Date]],-1)+1</f>
        <v>44805</v>
      </c>
    </row>
    <row r="195" spans="1:23" x14ac:dyDescent="0.3">
      <c r="A195" t="s">
        <v>267</v>
      </c>
      <c r="B195" s="1">
        <v>44585</v>
      </c>
      <c r="C195" t="s">
        <v>17</v>
      </c>
      <c r="D195" t="s">
        <v>37</v>
      </c>
      <c r="E195" t="s">
        <v>38</v>
      </c>
      <c r="F195" t="s">
        <v>20</v>
      </c>
      <c r="G195" t="s">
        <v>74</v>
      </c>
      <c r="H195">
        <v>40</v>
      </c>
      <c r="I195">
        <v>4200</v>
      </c>
      <c r="J195">
        <v>15</v>
      </c>
      <c r="K195">
        <v>142800</v>
      </c>
      <c r="L195">
        <v>57120</v>
      </c>
      <c r="M195">
        <v>85680</v>
      </c>
      <c r="N195" t="s">
        <v>22</v>
      </c>
      <c r="O195" t="s">
        <v>50</v>
      </c>
      <c r="P195" t="s">
        <v>24</v>
      </c>
      <c r="Q195" t="str">
        <f>TEXT(clean_data[[#This Row],[Date]],"mmm")</f>
        <v>Jan</v>
      </c>
      <c r="R195">
        <f>YEAR(clean_data[[#This Row],[Date]])</f>
        <v>2022</v>
      </c>
      <c r="S195" s="2">
        <f>clean_data[[#This Row],[Profit]]/clean_data[[#This Row],[Revenue]]</f>
        <v>0.6</v>
      </c>
      <c r="T195" t="str" cm="1">
        <f t="array" ref="T195">_xlfn.IFS(clean_data[[#This Row],[Revenue]]&lt;300000,"Small",
     clean_data[[#This Row],[Revenue]]&lt;700000,"Medium",
     TRUE,"Large")</f>
        <v>Small</v>
      </c>
      <c r="U195" t="str" cm="1">
        <f t="array" ref="U195">_xlfn.IFS(clean_data[[#This Row],[profit margin%]]&lt;0.5,"Low Profit",
     clean_data[[#This Row],[profit margin%]]&lt;0.6,"Medium Profit",
     TRUE,"High Profit")</f>
        <v>High Profit</v>
      </c>
      <c r="V195" t="str">
        <f>TEXT(clean_data[[#This Row],[Date]],"mmm-yyyy")</f>
        <v>Jan-2022</v>
      </c>
      <c r="W195" s="8">
        <f>EOMONTH(clean_data[[#This Row],[Date]],-1)+1</f>
        <v>44562</v>
      </c>
    </row>
    <row r="196" spans="1:23" x14ac:dyDescent="0.3">
      <c r="A196" t="s">
        <v>268</v>
      </c>
      <c r="B196" s="1">
        <v>44725</v>
      </c>
      <c r="C196" t="s">
        <v>26</v>
      </c>
      <c r="D196" t="s">
        <v>27</v>
      </c>
      <c r="E196" t="s">
        <v>78</v>
      </c>
      <c r="F196" t="s">
        <v>65</v>
      </c>
      <c r="G196" t="s">
        <v>124</v>
      </c>
      <c r="H196">
        <v>16</v>
      </c>
      <c r="I196">
        <v>18000</v>
      </c>
      <c r="J196">
        <v>0</v>
      </c>
      <c r="K196">
        <v>288000</v>
      </c>
      <c r="L196">
        <v>129600</v>
      </c>
      <c r="M196">
        <v>158400</v>
      </c>
      <c r="N196" t="s">
        <v>49</v>
      </c>
      <c r="O196" t="s">
        <v>44</v>
      </c>
      <c r="P196" t="s">
        <v>24</v>
      </c>
      <c r="Q196" t="str">
        <f>TEXT(clean_data[[#This Row],[Date]],"mmm")</f>
        <v>Jun</v>
      </c>
      <c r="R196">
        <f>YEAR(clean_data[[#This Row],[Date]])</f>
        <v>2022</v>
      </c>
      <c r="S196" s="2">
        <f>clean_data[[#This Row],[Profit]]/clean_data[[#This Row],[Revenue]]</f>
        <v>0.55000000000000004</v>
      </c>
      <c r="T196" t="str" cm="1">
        <f t="array" ref="T196">_xlfn.IFS(clean_data[[#This Row],[Revenue]]&lt;300000,"Small",
     clean_data[[#This Row],[Revenue]]&lt;700000,"Medium",
     TRUE,"Large")</f>
        <v>Small</v>
      </c>
      <c r="U196" t="str" cm="1">
        <f t="array" ref="U196">_xlfn.IFS(clean_data[[#This Row],[profit margin%]]&lt;0.5,"Low Profit",
     clean_data[[#This Row],[profit margin%]]&lt;0.6,"Medium Profit",
     TRUE,"High Profit")</f>
        <v>Medium Profit</v>
      </c>
      <c r="V196" t="str">
        <f>TEXT(clean_data[[#This Row],[Date]],"mmm-yyyy")</f>
        <v>Jun-2022</v>
      </c>
      <c r="W196" s="8">
        <f>EOMONTH(clean_data[[#This Row],[Date]],-1)+1</f>
        <v>44713</v>
      </c>
    </row>
    <row r="197" spans="1:23" x14ac:dyDescent="0.3">
      <c r="A197" t="s">
        <v>269</v>
      </c>
      <c r="B197" s="1">
        <v>45437</v>
      </c>
      <c r="C197" t="s">
        <v>17</v>
      </c>
      <c r="D197" t="s">
        <v>37</v>
      </c>
      <c r="E197" t="s">
        <v>73</v>
      </c>
      <c r="F197" t="s">
        <v>28</v>
      </c>
      <c r="G197" t="s">
        <v>71</v>
      </c>
      <c r="H197">
        <v>42</v>
      </c>
      <c r="I197">
        <v>35000</v>
      </c>
      <c r="J197">
        <v>10</v>
      </c>
      <c r="K197">
        <v>1323000</v>
      </c>
      <c r="L197">
        <v>727650</v>
      </c>
      <c r="M197">
        <v>595350</v>
      </c>
      <c r="N197" t="s">
        <v>30</v>
      </c>
      <c r="O197" t="s">
        <v>35</v>
      </c>
      <c r="P197" t="s">
        <v>24</v>
      </c>
      <c r="Q197" t="str">
        <f>TEXT(clean_data[[#This Row],[Date]],"mmm")</f>
        <v>May</v>
      </c>
      <c r="R197">
        <f>YEAR(clean_data[[#This Row],[Date]])</f>
        <v>2024</v>
      </c>
      <c r="S197" s="2">
        <f>clean_data[[#This Row],[Profit]]/clean_data[[#This Row],[Revenue]]</f>
        <v>0.45</v>
      </c>
      <c r="T197" t="str" cm="1">
        <f t="array" ref="T197">_xlfn.IFS(clean_data[[#This Row],[Revenue]]&lt;300000,"Small",
     clean_data[[#This Row],[Revenue]]&lt;700000,"Medium",
     TRUE,"Large")</f>
        <v>Large</v>
      </c>
      <c r="U197" t="str" cm="1">
        <f t="array" ref="U197">_xlfn.IFS(clean_data[[#This Row],[profit margin%]]&lt;0.5,"Low Profit",
     clean_data[[#This Row],[profit margin%]]&lt;0.6,"Medium Profit",
     TRUE,"High Profit")</f>
        <v>Low Profit</v>
      </c>
      <c r="V197" t="str">
        <f>TEXT(clean_data[[#This Row],[Date]],"mmm-yyyy")</f>
        <v>May-2024</v>
      </c>
      <c r="W197" s="8">
        <f>EOMONTH(clean_data[[#This Row],[Date]],-1)+1</f>
        <v>45413</v>
      </c>
    </row>
    <row r="198" spans="1:23" x14ac:dyDescent="0.3">
      <c r="A198" t="s">
        <v>270</v>
      </c>
      <c r="B198" s="1">
        <v>45453</v>
      </c>
      <c r="C198" t="s">
        <v>46</v>
      </c>
      <c r="D198" t="s">
        <v>55</v>
      </c>
      <c r="E198" t="s">
        <v>111</v>
      </c>
      <c r="F198" t="s">
        <v>33</v>
      </c>
      <c r="G198" t="s">
        <v>39</v>
      </c>
      <c r="H198">
        <v>41</v>
      </c>
      <c r="I198">
        <v>5000</v>
      </c>
      <c r="J198">
        <v>10</v>
      </c>
      <c r="K198">
        <v>184500</v>
      </c>
      <c r="L198">
        <v>92250</v>
      </c>
      <c r="M198">
        <v>92250</v>
      </c>
      <c r="N198" t="s">
        <v>22</v>
      </c>
      <c r="O198" t="s">
        <v>44</v>
      </c>
      <c r="P198" t="s">
        <v>24</v>
      </c>
      <c r="Q198" t="str">
        <f>TEXT(clean_data[[#This Row],[Date]],"mmm")</f>
        <v>Jun</v>
      </c>
      <c r="R198">
        <f>YEAR(clean_data[[#This Row],[Date]])</f>
        <v>2024</v>
      </c>
      <c r="S198" s="2">
        <f>clean_data[[#This Row],[Profit]]/clean_data[[#This Row],[Revenue]]</f>
        <v>0.5</v>
      </c>
      <c r="T198" t="str" cm="1">
        <f t="array" ref="T198">_xlfn.IFS(clean_data[[#This Row],[Revenue]]&lt;300000,"Small",
     clean_data[[#This Row],[Revenue]]&lt;700000,"Medium",
     TRUE,"Large")</f>
        <v>Small</v>
      </c>
      <c r="U198" t="str" cm="1">
        <f t="array" ref="U198">_xlfn.IFS(clean_data[[#This Row],[profit margin%]]&lt;0.5,"Low Profit",
     clean_data[[#This Row],[profit margin%]]&lt;0.6,"Medium Profit",
     TRUE,"High Profit")</f>
        <v>Medium Profit</v>
      </c>
      <c r="V198" t="str">
        <f>TEXT(clean_data[[#This Row],[Date]],"mmm-yyyy")</f>
        <v>Jun-2024</v>
      </c>
      <c r="W198" s="8">
        <f>EOMONTH(clean_data[[#This Row],[Date]],-1)+1</f>
        <v>45444</v>
      </c>
    </row>
    <row r="199" spans="1:23" x14ac:dyDescent="0.3">
      <c r="A199" t="s">
        <v>271</v>
      </c>
      <c r="B199" s="1">
        <v>44990</v>
      </c>
      <c r="C199" t="s">
        <v>58</v>
      </c>
      <c r="D199" t="s">
        <v>84</v>
      </c>
      <c r="E199" t="s">
        <v>60</v>
      </c>
      <c r="F199" t="s">
        <v>33</v>
      </c>
      <c r="G199" t="s">
        <v>48</v>
      </c>
      <c r="H199">
        <v>45</v>
      </c>
      <c r="I199">
        <v>1500</v>
      </c>
      <c r="J199">
        <v>20</v>
      </c>
      <c r="K199">
        <v>54000</v>
      </c>
      <c r="L199">
        <v>27000</v>
      </c>
      <c r="M199">
        <v>27000</v>
      </c>
      <c r="N199" t="s">
        <v>22</v>
      </c>
      <c r="O199" t="s">
        <v>44</v>
      </c>
      <c r="P199" t="s">
        <v>24</v>
      </c>
      <c r="Q199" t="str">
        <f>TEXT(clean_data[[#This Row],[Date]],"mmm")</f>
        <v>Mar</v>
      </c>
      <c r="R199">
        <f>YEAR(clean_data[[#This Row],[Date]])</f>
        <v>2023</v>
      </c>
      <c r="S199" s="2">
        <f>clean_data[[#This Row],[Profit]]/clean_data[[#This Row],[Revenue]]</f>
        <v>0.5</v>
      </c>
      <c r="T199" t="str" cm="1">
        <f t="array" ref="T199">_xlfn.IFS(clean_data[[#This Row],[Revenue]]&lt;300000,"Small",
     clean_data[[#This Row],[Revenue]]&lt;700000,"Medium",
     TRUE,"Large")</f>
        <v>Small</v>
      </c>
      <c r="U199" t="str" cm="1">
        <f t="array" ref="U199">_xlfn.IFS(clean_data[[#This Row],[profit margin%]]&lt;0.5,"Low Profit",
     clean_data[[#This Row],[profit margin%]]&lt;0.6,"Medium Profit",
     TRUE,"High Profit")</f>
        <v>Medium Profit</v>
      </c>
      <c r="V199" t="str">
        <f>TEXT(clean_data[[#This Row],[Date]],"mmm-yyyy")</f>
        <v>Mar-2023</v>
      </c>
      <c r="W199" s="8">
        <f>EOMONTH(clean_data[[#This Row],[Date]],-1)+1</f>
        <v>44986</v>
      </c>
    </row>
    <row r="200" spans="1:23" x14ac:dyDescent="0.3">
      <c r="A200" t="s">
        <v>272</v>
      </c>
      <c r="B200" s="1">
        <v>45038</v>
      </c>
      <c r="C200" t="s">
        <v>26</v>
      </c>
      <c r="D200" t="s">
        <v>69</v>
      </c>
      <c r="E200" t="s">
        <v>111</v>
      </c>
      <c r="F200" t="s">
        <v>33</v>
      </c>
      <c r="G200" t="s">
        <v>39</v>
      </c>
      <c r="H200">
        <v>37</v>
      </c>
      <c r="I200">
        <v>5000</v>
      </c>
      <c r="J200">
        <v>0</v>
      </c>
      <c r="K200">
        <v>185000</v>
      </c>
      <c r="L200">
        <v>92500</v>
      </c>
      <c r="M200">
        <v>92500</v>
      </c>
      <c r="N200" t="s">
        <v>22</v>
      </c>
      <c r="O200" t="s">
        <v>67</v>
      </c>
      <c r="P200" t="s">
        <v>24</v>
      </c>
      <c r="Q200" t="str">
        <f>TEXT(clean_data[[#This Row],[Date]],"mmm")</f>
        <v>Apr</v>
      </c>
      <c r="R200">
        <f>YEAR(clean_data[[#This Row],[Date]])</f>
        <v>2023</v>
      </c>
      <c r="S200" s="2">
        <f>clean_data[[#This Row],[Profit]]/clean_data[[#This Row],[Revenue]]</f>
        <v>0.5</v>
      </c>
      <c r="T200" t="str" cm="1">
        <f t="array" ref="T200">_xlfn.IFS(clean_data[[#This Row],[Revenue]]&lt;300000,"Small",
     clean_data[[#This Row],[Revenue]]&lt;700000,"Medium",
     TRUE,"Large")</f>
        <v>Small</v>
      </c>
      <c r="U200" t="str" cm="1">
        <f t="array" ref="U200">_xlfn.IFS(clean_data[[#This Row],[profit margin%]]&lt;0.5,"Low Profit",
     clean_data[[#This Row],[profit margin%]]&lt;0.6,"Medium Profit",
     TRUE,"High Profit")</f>
        <v>Medium Profit</v>
      </c>
      <c r="V200" t="str">
        <f>TEXT(clean_data[[#This Row],[Date]],"mmm-yyyy")</f>
        <v>Apr-2023</v>
      </c>
      <c r="W200" s="8">
        <f>EOMONTH(clean_data[[#This Row],[Date]],-1)+1</f>
        <v>45017</v>
      </c>
    </row>
    <row r="201" spans="1:23" x14ac:dyDescent="0.3">
      <c r="A201" t="s">
        <v>273</v>
      </c>
      <c r="B201" s="1">
        <v>44945</v>
      </c>
      <c r="C201" t="s">
        <v>46</v>
      </c>
      <c r="D201" t="s">
        <v>47</v>
      </c>
      <c r="E201" t="s">
        <v>70</v>
      </c>
      <c r="F201" t="s">
        <v>65</v>
      </c>
      <c r="G201" t="s">
        <v>117</v>
      </c>
      <c r="H201">
        <v>44</v>
      </c>
      <c r="I201">
        <v>1200</v>
      </c>
      <c r="J201">
        <v>5</v>
      </c>
      <c r="K201">
        <v>50160</v>
      </c>
      <c r="L201">
        <v>22572</v>
      </c>
      <c r="M201">
        <v>27588</v>
      </c>
      <c r="N201" t="s">
        <v>49</v>
      </c>
      <c r="O201" t="s">
        <v>35</v>
      </c>
      <c r="P201" t="s">
        <v>40</v>
      </c>
      <c r="Q201" t="str">
        <f>TEXT(clean_data[[#This Row],[Date]],"mmm")</f>
        <v>Jan</v>
      </c>
      <c r="R201">
        <f>YEAR(clean_data[[#This Row],[Date]])</f>
        <v>2023</v>
      </c>
      <c r="S201" s="2">
        <f>clean_data[[#This Row],[Profit]]/clean_data[[#This Row],[Revenue]]</f>
        <v>0.55000000000000004</v>
      </c>
      <c r="T201" t="str" cm="1">
        <f t="array" ref="T201">_xlfn.IFS(clean_data[[#This Row],[Revenue]]&lt;300000,"Small",
     clean_data[[#This Row],[Revenue]]&lt;700000,"Medium",
     TRUE,"Large")</f>
        <v>Small</v>
      </c>
      <c r="U201" t="str" cm="1">
        <f t="array" ref="U201">_xlfn.IFS(clean_data[[#This Row],[profit margin%]]&lt;0.5,"Low Profit",
     clean_data[[#This Row],[profit margin%]]&lt;0.6,"Medium Profit",
     TRUE,"High Profit")</f>
        <v>Medium Profit</v>
      </c>
      <c r="V201" t="str">
        <f>TEXT(clean_data[[#This Row],[Date]],"mmm-yyyy")</f>
        <v>Jan-2023</v>
      </c>
      <c r="W201" s="8">
        <f>EOMONTH(clean_data[[#This Row],[Date]],-1)+1</f>
        <v>44927</v>
      </c>
    </row>
    <row r="202" spans="1:23" x14ac:dyDescent="0.3">
      <c r="A202" t="s">
        <v>274</v>
      </c>
      <c r="B202" s="1">
        <v>45550</v>
      </c>
      <c r="C202" t="s">
        <v>26</v>
      </c>
      <c r="D202" t="s">
        <v>69</v>
      </c>
      <c r="E202" t="s">
        <v>78</v>
      </c>
      <c r="F202" t="s">
        <v>65</v>
      </c>
      <c r="G202" t="s">
        <v>66</v>
      </c>
      <c r="H202">
        <v>37</v>
      </c>
      <c r="I202">
        <v>5500</v>
      </c>
      <c r="J202">
        <v>0</v>
      </c>
      <c r="K202">
        <v>203500</v>
      </c>
      <c r="L202">
        <v>91575</v>
      </c>
      <c r="M202">
        <v>111925</v>
      </c>
      <c r="N202" t="s">
        <v>49</v>
      </c>
      <c r="O202" t="s">
        <v>50</v>
      </c>
      <c r="P202" t="s">
        <v>40</v>
      </c>
      <c r="Q202" t="str">
        <f>TEXT(clean_data[[#This Row],[Date]],"mmm")</f>
        <v>Sep</v>
      </c>
      <c r="R202">
        <f>YEAR(clean_data[[#This Row],[Date]])</f>
        <v>2024</v>
      </c>
      <c r="S202" s="2">
        <f>clean_data[[#This Row],[Profit]]/clean_data[[#This Row],[Revenue]]</f>
        <v>0.55000000000000004</v>
      </c>
      <c r="T202" t="str" cm="1">
        <f t="array" ref="T202">_xlfn.IFS(clean_data[[#This Row],[Revenue]]&lt;300000,"Small",
     clean_data[[#This Row],[Revenue]]&lt;700000,"Medium",
     TRUE,"Large")</f>
        <v>Small</v>
      </c>
      <c r="U202" t="str" cm="1">
        <f t="array" ref="U202">_xlfn.IFS(clean_data[[#This Row],[profit margin%]]&lt;0.5,"Low Profit",
     clean_data[[#This Row],[profit margin%]]&lt;0.6,"Medium Profit",
     TRUE,"High Profit")</f>
        <v>Medium Profit</v>
      </c>
      <c r="V202" t="str">
        <f>TEXT(clean_data[[#This Row],[Date]],"mmm-yyyy")</f>
        <v>Sep-2024</v>
      </c>
      <c r="W202" s="8">
        <f>EOMONTH(clean_data[[#This Row],[Date]],-1)+1</f>
        <v>45536</v>
      </c>
    </row>
    <row r="203" spans="1:23" x14ac:dyDescent="0.3">
      <c r="A203" t="s">
        <v>275</v>
      </c>
      <c r="B203" s="1">
        <v>44605</v>
      </c>
      <c r="C203" t="s">
        <v>17</v>
      </c>
      <c r="D203" t="s">
        <v>18</v>
      </c>
      <c r="E203" t="s">
        <v>19</v>
      </c>
      <c r="F203" t="s">
        <v>28</v>
      </c>
      <c r="G203" t="s">
        <v>95</v>
      </c>
      <c r="H203">
        <v>28</v>
      </c>
      <c r="I203">
        <v>75000</v>
      </c>
      <c r="J203">
        <v>10</v>
      </c>
      <c r="K203">
        <v>1890000</v>
      </c>
      <c r="L203">
        <v>1039500</v>
      </c>
      <c r="M203">
        <v>850500</v>
      </c>
      <c r="N203" t="s">
        <v>22</v>
      </c>
      <c r="O203" t="s">
        <v>35</v>
      </c>
      <c r="P203" t="s">
        <v>24</v>
      </c>
      <c r="Q203" t="str">
        <f>TEXT(clean_data[[#This Row],[Date]],"mmm")</f>
        <v>Feb</v>
      </c>
      <c r="R203">
        <f>YEAR(clean_data[[#This Row],[Date]])</f>
        <v>2022</v>
      </c>
      <c r="S203" s="2">
        <f>clean_data[[#This Row],[Profit]]/clean_data[[#This Row],[Revenue]]</f>
        <v>0.45</v>
      </c>
      <c r="T203" t="str" cm="1">
        <f t="array" ref="T203">_xlfn.IFS(clean_data[[#This Row],[Revenue]]&lt;300000,"Small",
     clean_data[[#This Row],[Revenue]]&lt;700000,"Medium",
     TRUE,"Large")</f>
        <v>Large</v>
      </c>
      <c r="U203" t="str" cm="1">
        <f t="array" ref="U203">_xlfn.IFS(clean_data[[#This Row],[profit margin%]]&lt;0.5,"Low Profit",
     clean_data[[#This Row],[profit margin%]]&lt;0.6,"Medium Profit",
     TRUE,"High Profit")</f>
        <v>Low Profit</v>
      </c>
      <c r="V203" t="str">
        <f>TEXT(clean_data[[#This Row],[Date]],"mmm-yyyy")</f>
        <v>Feb-2022</v>
      </c>
      <c r="W203" s="8">
        <f>EOMONTH(clean_data[[#This Row],[Date]],-1)+1</f>
        <v>44593</v>
      </c>
    </row>
    <row r="204" spans="1:23" x14ac:dyDescent="0.3">
      <c r="A204" t="s">
        <v>276</v>
      </c>
      <c r="B204" s="1">
        <v>44697</v>
      </c>
      <c r="C204" t="s">
        <v>26</v>
      </c>
      <c r="D204" t="s">
        <v>69</v>
      </c>
      <c r="E204" t="s">
        <v>32</v>
      </c>
      <c r="F204" t="s">
        <v>20</v>
      </c>
      <c r="G204" t="s">
        <v>74</v>
      </c>
      <c r="H204">
        <v>50</v>
      </c>
      <c r="I204">
        <v>4200</v>
      </c>
      <c r="J204">
        <v>15</v>
      </c>
      <c r="K204">
        <v>178500</v>
      </c>
      <c r="L204">
        <v>71400</v>
      </c>
      <c r="M204">
        <v>107100</v>
      </c>
      <c r="N204" t="s">
        <v>49</v>
      </c>
      <c r="O204" t="s">
        <v>23</v>
      </c>
      <c r="P204" t="s">
        <v>24</v>
      </c>
      <c r="Q204" t="str">
        <f>TEXT(clean_data[[#This Row],[Date]],"mmm")</f>
        <v>May</v>
      </c>
      <c r="R204">
        <f>YEAR(clean_data[[#This Row],[Date]])</f>
        <v>2022</v>
      </c>
      <c r="S204" s="2">
        <f>clean_data[[#This Row],[Profit]]/clean_data[[#This Row],[Revenue]]</f>
        <v>0.6</v>
      </c>
      <c r="T204" t="str" cm="1">
        <f t="array" ref="T204">_xlfn.IFS(clean_data[[#This Row],[Revenue]]&lt;300000,"Small",
     clean_data[[#This Row],[Revenue]]&lt;700000,"Medium",
     TRUE,"Large")</f>
        <v>Small</v>
      </c>
      <c r="U204" t="str" cm="1">
        <f t="array" ref="U204">_xlfn.IFS(clean_data[[#This Row],[profit margin%]]&lt;0.5,"Low Profit",
     clean_data[[#This Row],[profit margin%]]&lt;0.6,"Medium Profit",
     TRUE,"High Profit")</f>
        <v>High Profit</v>
      </c>
      <c r="V204" t="str">
        <f>TEXT(clean_data[[#This Row],[Date]],"mmm-yyyy")</f>
        <v>May-2022</v>
      </c>
      <c r="W204" s="8">
        <f>EOMONTH(clean_data[[#This Row],[Date]],-1)+1</f>
        <v>44682</v>
      </c>
    </row>
    <row r="205" spans="1:23" x14ac:dyDescent="0.3">
      <c r="A205" t="s">
        <v>277</v>
      </c>
      <c r="B205" s="1">
        <v>45304</v>
      </c>
      <c r="C205" t="s">
        <v>26</v>
      </c>
      <c r="D205" t="s">
        <v>27</v>
      </c>
      <c r="E205" t="s">
        <v>70</v>
      </c>
      <c r="F205" t="s">
        <v>28</v>
      </c>
      <c r="G205" t="s">
        <v>87</v>
      </c>
      <c r="H205">
        <v>35</v>
      </c>
      <c r="I205">
        <v>45000</v>
      </c>
      <c r="J205">
        <v>15</v>
      </c>
      <c r="K205">
        <v>1338750</v>
      </c>
      <c r="L205">
        <v>736312.5</v>
      </c>
      <c r="M205">
        <v>602437.5</v>
      </c>
      <c r="N205" t="s">
        <v>30</v>
      </c>
      <c r="O205" t="s">
        <v>44</v>
      </c>
      <c r="P205" t="s">
        <v>40</v>
      </c>
      <c r="Q205" t="str">
        <f>TEXT(clean_data[[#This Row],[Date]],"mmm")</f>
        <v>Jan</v>
      </c>
      <c r="R205">
        <f>YEAR(clean_data[[#This Row],[Date]])</f>
        <v>2024</v>
      </c>
      <c r="S205" s="2">
        <f>clean_data[[#This Row],[Profit]]/clean_data[[#This Row],[Revenue]]</f>
        <v>0.45</v>
      </c>
      <c r="T205" t="str" cm="1">
        <f t="array" ref="T205">_xlfn.IFS(clean_data[[#This Row],[Revenue]]&lt;300000,"Small",
     clean_data[[#This Row],[Revenue]]&lt;700000,"Medium",
     TRUE,"Large")</f>
        <v>Large</v>
      </c>
      <c r="U205" t="str" cm="1">
        <f t="array" ref="U205">_xlfn.IFS(clean_data[[#This Row],[profit margin%]]&lt;0.5,"Low Profit",
     clean_data[[#This Row],[profit margin%]]&lt;0.6,"Medium Profit",
     TRUE,"High Profit")</f>
        <v>Low Profit</v>
      </c>
      <c r="V205" t="str">
        <f>TEXT(clean_data[[#This Row],[Date]],"mmm-yyyy")</f>
        <v>Jan-2024</v>
      </c>
      <c r="W205" s="8">
        <f>EOMONTH(clean_data[[#This Row],[Date]],-1)+1</f>
        <v>45292</v>
      </c>
    </row>
    <row r="206" spans="1:23" x14ac:dyDescent="0.3">
      <c r="A206" t="s">
        <v>278</v>
      </c>
      <c r="B206" s="1">
        <v>44586</v>
      </c>
      <c r="C206" t="s">
        <v>26</v>
      </c>
      <c r="D206" t="s">
        <v>69</v>
      </c>
      <c r="E206" t="s">
        <v>60</v>
      </c>
      <c r="F206" t="s">
        <v>65</v>
      </c>
      <c r="G206" t="s">
        <v>79</v>
      </c>
      <c r="H206">
        <v>25</v>
      </c>
      <c r="I206">
        <v>900</v>
      </c>
      <c r="J206">
        <v>5</v>
      </c>
      <c r="K206">
        <v>21375</v>
      </c>
      <c r="L206">
        <v>9618.75</v>
      </c>
      <c r="M206">
        <v>11756.25</v>
      </c>
      <c r="N206" t="s">
        <v>49</v>
      </c>
      <c r="O206" t="s">
        <v>50</v>
      </c>
      <c r="P206" t="s">
        <v>24</v>
      </c>
      <c r="Q206" t="str">
        <f>TEXT(clean_data[[#This Row],[Date]],"mmm")</f>
        <v>Jan</v>
      </c>
      <c r="R206">
        <f>YEAR(clean_data[[#This Row],[Date]])</f>
        <v>2022</v>
      </c>
      <c r="S206" s="2">
        <f>clean_data[[#This Row],[Profit]]/clean_data[[#This Row],[Revenue]]</f>
        <v>0.55000000000000004</v>
      </c>
      <c r="T206" t="str" cm="1">
        <f t="array" ref="T206">_xlfn.IFS(clean_data[[#This Row],[Revenue]]&lt;300000,"Small",
     clean_data[[#This Row],[Revenue]]&lt;700000,"Medium",
     TRUE,"Large")</f>
        <v>Small</v>
      </c>
      <c r="U206" t="str" cm="1">
        <f t="array" ref="U206">_xlfn.IFS(clean_data[[#This Row],[profit margin%]]&lt;0.5,"Low Profit",
     clean_data[[#This Row],[profit margin%]]&lt;0.6,"Medium Profit",
     TRUE,"High Profit")</f>
        <v>Medium Profit</v>
      </c>
      <c r="V206" t="str">
        <f>TEXT(clean_data[[#This Row],[Date]],"mmm-yyyy")</f>
        <v>Jan-2022</v>
      </c>
      <c r="W206" s="8">
        <f>EOMONTH(clean_data[[#This Row],[Date]],-1)+1</f>
        <v>44562</v>
      </c>
    </row>
    <row r="207" spans="1:23" x14ac:dyDescent="0.3">
      <c r="A207" t="s">
        <v>279</v>
      </c>
      <c r="B207" s="1">
        <v>44843</v>
      </c>
      <c r="C207" t="s">
        <v>46</v>
      </c>
      <c r="D207" t="s">
        <v>47</v>
      </c>
      <c r="E207" t="s">
        <v>56</v>
      </c>
      <c r="F207" t="s">
        <v>65</v>
      </c>
      <c r="G207" t="s">
        <v>79</v>
      </c>
      <c r="H207">
        <v>50</v>
      </c>
      <c r="I207">
        <v>900</v>
      </c>
      <c r="J207">
        <v>0</v>
      </c>
      <c r="K207">
        <v>45000</v>
      </c>
      <c r="L207">
        <v>20250</v>
      </c>
      <c r="M207">
        <v>24750</v>
      </c>
      <c r="N207" t="s">
        <v>30</v>
      </c>
      <c r="O207" t="s">
        <v>35</v>
      </c>
      <c r="P207" t="s">
        <v>24</v>
      </c>
      <c r="Q207" t="str">
        <f>TEXT(clean_data[[#This Row],[Date]],"mmm")</f>
        <v>Oct</v>
      </c>
      <c r="R207">
        <f>YEAR(clean_data[[#This Row],[Date]])</f>
        <v>2022</v>
      </c>
      <c r="S207" s="2">
        <f>clean_data[[#This Row],[Profit]]/clean_data[[#This Row],[Revenue]]</f>
        <v>0.55000000000000004</v>
      </c>
      <c r="T207" t="str" cm="1">
        <f t="array" ref="T207">_xlfn.IFS(clean_data[[#This Row],[Revenue]]&lt;300000,"Small",
     clean_data[[#This Row],[Revenue]]&lt;700000,"Medium",
     TRUE,"Large")</f>
        <v>Small</v>
      </c>
      <c r="U207" t="str" cm="1">
        <f t="array" ref="U207">_xlfn.IFS(clean_data[[#This Row],[profit margin%]]&lt;0.5,"Low Profit",
     clean_data[[#This Row],[profit margin%]]&lt;0.6,"Medium Profit",
     TRUE,"High Profit")</f>
        <v>Medium Profit</v>
      </c>
      <c r="V207" t="str">
        <f>TEXT(clean_data[[#This Row],[Date]],"mmm-yyyy")</f>
        <v>Oct-2022</v>
      </c>
      <c r="W207" s="8">
        <f>EOMONTH(clean_data[[#This Row],[Date]],-1)+1</f>
        <v>44835</v>
      </c>
    </row>
    <row r="208" spans="1:23" x14ac:dyDescent="0.3">
      <c r="A208" t="s">
        <v>280</v>
      </c>
      <c r="B208" s="1">
        <v>44762</v>
      </c>
      <c r="C208" t="s">
        <v>26</v>
      </c>
      <c r="D208" t="s">
        <v>69</v>
      </c>
      <c r="E208" t="s">
        <v>38</v>
      </c>
      <c r="F208" t="s">
        <v>28</v>
      </c>
      <c r="G208" t="s">
        <v>87</v>
      </c>
      <c r="H208">
        <v>48</v>
      </c>
      <c r="I208">
        <v>45000</v>
      </c>
      <c r="J208">
        <v>0</v>
      </c>
      <c r="K208">
        <v>2160000</v>
      </c>
      <c r="L208">
        <v>1188000</v>
      </c>
      <c r="M208">
        <v>972000</v>
      </c>
      <c r="N208" t="s">
        <v>49</v>
      </c>
      <c r="O208" t="s">
        <v>44</v>
      </c>
      <c r="P208" t="s">
        <v>24</v>
      </c>
      <c r="Q208" t="str">
        <f>TEXT(clean_data[[#This Row],[Date]],"mmm")</f>
        <v>Jul</v>
      </c>
      <c r="R208">
        <f>YEAR(clean_data[[#This Row],[Date]])</f>
        <v>2022</v>
      </c>
      <c r="S208" s="2">
        <f>clean_data[[#This Row],[Profit]]/clean_data[[#This Row],[Revenue]]</f>
        <v>0.45</v>
      </c>
      <c r="T208" t="str" cm="1">
        <f t="array" ref="T208">_xlfn.IFS(clean_data[[#This Row],[Revenue]]&lt;300000,"Small",
     clean_data[[#This Row],[Revenue]]&lt;700000,"Medium",
     TRUE,"Large")</f>
        <v>Large</v>
      </c>
      <c r="U208" t="str" cm="1">
        <f t="array" ref="U208">_xlfn.IFS(clean_data[[#This Row],[profit margin%]]&lt;0.5,"Low Profit",
     clean_data[[#This Row],[profit margin%]]&lt;0.6,"Medium Profit",
     TRUE,"High Profit")</f>
        <v>Low Profit</v>
      </c>
      <c r="V208" t="str">
        <f>TEXT(clean_data[[#This Row],[Date]],"mmm-yyyy")</f>
        <v>Jul-2022</v>
      </c>
      <c r="W208" s="8">
        <f>EOMONTH(clean_data[[#This Row],[Date]],-1)+1</f>
        <v>44743</v>
      </c>
    </row>
    <row r="209" spans="1:23" x14ac:dyDescent="0.3">
      <c r="A209" t="s">
        <v>281</v>
      </c>
      <c r="B209" s="1">
        <v>45603</v>
      </c>
      <c r="C209" t="s">
        <v>26</v>
      </c>
      <c r="D209" t="s">
        <v>27</v>
      </c>
      <c r="E209" t="s">
        <v>111</v>
      </c>
      <c r="F209" t="s">
        <v>33</v>
      </c>
      <c r="G209" t="s">
        <v>76</v>
      </c>
      <c r="H209">
        <v>47</v>
      </c>
      <c r="I209">
        <v>8500</v>
      </c>
      <c r="J209">
        <v>20</v>
      </c>
      <c r="K209">
        <v>319600</v>
      </c>
      <c r="L209">
        <v>159800</v>
      </c>
      <c r="M209">
        <v>159800</v>
      </c>
      <c r="N209" t="s">
        <v>22</v>
      </c>
      <c r="O209" t="s">
        <v>67</v>
      </c>
      <c r="P209" t="s">
        <v>24</v>
      </c>
      <c r="Q209" t="str">
        <f>TEXT(clean_data[[#This Row],[Date]],"mmm")</f>
        <v>Nov</v>
      </c>
      <c r="R209">
        <f>YEAR(clean_data[[#This Row],[Date]])</f>
        <v>2024</v>
      </c>
      <c r="S209" s="2">
        <f>clean_data[[#This Row],[Profit]]/clean_data[[#This Row],[Revenue]]</f>
        <v>0.5</v>
      </c>
      <c r="T209" t="str" cm="1">
        <f t="array" ref="T209">_xlfn.IFS(clean_data[[#This Row],[Revenue]]&lt;300000,"Small",
     clean_data[[#This Row],[Revenue]]&lt;700000,"Medium",
     TRUE,"Large")</f>
        <v>Medium</v>
      </c>
      <c r="U209" t="str" cm="1">
        <f t="array" ref="U209">_xlfn.IFS(clean_data[[#This Row],[profit margin%]]&lt;0.5,"Low Profit",
     clean_data[[#This Row],[profit margin%]]&lt;0.6,"Medium Profit",
     TRUE,"High Profit")</f>
        <v>Medium Profit</v>
      </c>
      <c r="V209" t="str">
        <f>TEXT(clean_data[[#This Row],[Date]],"mmm-yyyy")</f>
        <v>Nov-2024</v>
      </c>
      <c r="W209" s="8">
        <f>EOMONTH(clean_data[[#This Row],[Date]],-1)+1</f>
        <v>45597</v>
      </c>
    </row>
    <row r="210" spans="1:23" x14ac:dyDescent="0.3">
      <c r="A210" t="s">
        <v>282</v>
      </c>
      <c r="B210" s="1">
        <v>45177</v>
      </c>
      <c r="C210" t="s">
        <v>17</v>
      </c>
      <c r="D210" t="s">
        <v>18</v>
      </c>
      <c r="E210" t="s">
        <v>111</v>
      </c>
      <c r="F210" t="s">
        <v>20</v>
      </c>
      <c r="G210" t="s">
        <v>115</v>
      </c>
      <c r="H210">
        <v>20</v>
      </c>
      <c r="I210">
        <v>2500</v>
      </c>
      <c r="J210">
        <v>10</v>
      </c>
      <c r="K210">
        <v>45000</v>
      </c>
      <c r="L210">
        <v>18000</v>
      </c>
      <c r="M210">
        <v>27000</v>
      </c>
      <c r="N210" t="s">
        <v>22</v>
      </c>
      <c r="O210" t="s">
        <v>67</v>
      </c>
      <c r="P210" t="s">
        <v>24</v>
      </c>
      <c r="Q210" t="str">
        <f>TEXT(clean_data[[#This Row],[Date]],"mmm")</f>
        <v>Sep</v>
      </c>
      <c r="R210">
        <f>YEAR(clean_data[[#This Row],[Date]])</f>
        <v>2023</v>
      </c>
      <c r="S210" s="2">
        <f>clean_data[[#This Row],[Profit]]/clean_data[[#This Row],[Revenue]]</f>
        <v>0.6</v>
      </c>
      <c r="T210" t="str" cm="1">
        <f t="array" ref="T210">_xlfn.IFS(clean_data[[#This Row],[Revenue]]&lt;300000,"Small",
     clean_data[[#This Row],[Revenue]]&lt;700000,"Medium",
     TRUE,"Large")</f>
        <v>Small</v>
      </c>
      <c r="U210" t="str" cm="1">
        <f t="array" ref="U210">_xlfn.IFS(clean_data[[#This Row],[profit margin%]]&lt;0.5,"Low Profit",
     clean_data[[#This Row],[profit margin%]]&lt;0.6,"Medium Profit",
     TRUE,"High Profit")</f>
        <v>High Profit</v>
      </c>
      <c r="V210" t="str">
        <f>TEXT(clean_data[[#This Row],[Date]],"mmm-yyyy")</f>
        <v>Sep-2023</v>
      </c>
      <c r="W210" s="8">
        <f>EOMONTH(clean_data[[#This Row],[Date]],-1)+1</f>
        <v>45170</v>
      </c>
    </row>
    <row r="211" spans="1:23" x14ac:dyDescent="0.3">
      <c r="A211" t="s">
        <v>283</v>
      </c>
      <c r="B211" s="1">
        <v>44916</v>
      </c>
      <c r="C211" t="s">
        <v>58</v>
      </c>
      <c r="D211" t="s">
        <v>64</v>
      </c>
      <c r="E211" t="s">
        <v>60</v>
      </c>
      <c r="F211" t="s">
        <v>28</v>
      </c>
      <c r="G211" t="s">
        <v>71</v>
      </c>
      <c r="H211">
        <v>42</v>
      </c>
      <c r="I211">
        <v>35000</v>
      </c>
      <c r="J211">
        <v>15</v>
      </c>
      <c r="K211">
        <v>1249500</v>
      </c>
      <c r="L211">
        <v>687225</v>
      </c>
      <c r="M211">
        <v>562275</v>
      </c>
      <c r="N211" t="s">
        <v>49</v>
      </c>
      <c r="O211" t="s">
        <v>23</v>
      </c>
      <c r="P211" t="s">
        <v>40</v>
      </c>
      <c r="Q211" t="str">
        <f>TEXT(clean_data[[#This Row],[Date]],"mmm")</f>
        <v>Dec</v>
      </c>
      <c r="R211">
        <f>YEAR(clean_data[[#This Row],[Date]])</f>
        <v>2022</v>
      </c>
      <c r="S211" s="2">
        <f>clean_data[[#This Row],[Profit]]/clean_data[[#This Row],[Revenue]]</f>
        <v>0.45</v>
      </c>
      <c r="T211" t="str" cm="1">
        <f t="array" ref="T211">_xlfn.IFS(clean_data[[#This Row],[Revenue]]&lt;300000,"Small",
     clean_data[[#This Row],[Revenue]]&lt;700000,"Medium",
     TRUE,"Large")</f>
        <v>Large</v>
      </c>
      <c r="U211" t="str" cm="1">
        <f t="array" ref="U211">_xlfn.IFS(clean_data[[#This Row],[profit margin%]]&lt;0.5,"Low Profit",
     clean_data[[#This Row],[profit margin%]]&lt;0.6,"Medium Profit",
     TRUE,"High Profit")</f>
        <v>Low Profit</v>
      </c>
      <c r="V211" t="str">
        <f>TEXT(clean_data[[#This Row],[Date]],"mmm-yyyy")</f>
        <v>Dec-2022</v>
      </c>
      <c r="W211" s="8">
        <f>EOMONTH(clean_data[[#This Row],[Date]],-1)+1</f>
        <v>44896</v>
      </c>
    </row>
    <row r="212" spans="1:23" x14ac:dyDescent="0.3">
      <c r="A212" t="s">
        <v>284</v>
      </c>
      <c r="B212" s="1">
        <v>45356</v>
      </c>
      <c r="C212" t="s">
        <v>17</v>
      </c>
      <c r="D212" t="s">
        <v>37</v>
      </c>
      <c r="E212" t="s">
        <v>78</v>
      </c>
      <c r="F212" t="s">
        <v>65</v>
      </c>
      <c r="G212" t="s">
        <v>104</v>
      </c>
      <c r="H212">
        <v>15</v>
      </c>
      <c r="I212">
        <v>3000</v>
      </c>
      <c r="J212">
        <v>10</v>
      </c>
      <c r="K212">
        <v>40500</v>
      </c>
      <c r="L212">
        <v>18225</v>
      </c>
      <c r="M212">
        <v>22275</v>
      </c>
      <c r="N212" t="s">
        <v>49</v>
      </c>
      <c r="O212" t="s">
        <v>35</v>
      </c>
      <c r="P212" t="s">
        <v>24</v>
      </c>
      <c r="Q212" t="str">
        <f>TEXT(clean_data[[#This Row],[Date]],"mmm")</f>
        <v>Mar</v>
      </c>
      <c r="R212">
        <f>YEAR(clean_data[[#This Row],[Date]])</f>
        <v>2024</v>
      </c>
      <c r="S212" s="2">
        <f>clean_data[[#This Row],[Profit]]/clean_data[[#This Row],[Revenue]]</f>
        <v>0.55000000000000004</v>
      </c>
      <c r="T212" t="str" cm="1">
        <f t="array" ref="T212">_xlfn.IFS(clean_data[[#This Row],[Revenue]]&lt;300000,"Small",
     clean_data[[#This Row],[Revenue]]&lt;700000,"Medium",
     TRUE,"Large")</f>
        <v>Small</v>
      </c>
      <c r="U212" t="str" cm="1">
        <f t="array" ref="U212">_xlfn.IFS(clean_data[[#This Row],[profit margin%]]&lt;0.5,"Low Profit",
     clean_data[[#This Row],[profit margin%]]&lt;0.6,"Medium Profit",
     TRUE,"High Profit")</f>
        <v>Medium Profit</v>
      </c>
      <c r="V212" t="str">
        <f>TEXT(clean_data[[#This Row],[Date]],"mmm-yyyy")</f>
        <v>Mar-2024</v>
      </c>
      <c r="W212" s="8">
        <f>EOMONTH(clean_data[[#This Row],[Date]],-1)+1</f>
        <v>45352</v>
      </c>
    </row>
    <row r="213" spans="1:23" x14ac:dyDescent="0.3">
      <c r="A213" t="s">
        <v>285</v>
      </c>
      <c r="B213" s="1">
        <v>45640</v>
      </c>
      <c r="C213" t="s">
        <v>58</v>
      </c>
      <c r="D213" t="s">
        <v>64</v>
      </c>
      <c r="E213" t="s">
        <v>111</v>
      </c>
      <c r="F213" t="s">
        <v>20</v>
      </c>
      <c r="G213" t="s">
        <v>115</v>
      </c>
      <c r="H213">
        <v>16</v>
      </c>
      <c r="I213">
        <v>2500</v>
      </c>
      <c r="J213">
        <v>10</v>
      </c>
      <c r="K213">
        <v>36000</v>
      </c>
      <c r="L213">
        <v>14400</v>
      </c>
      <c r="M213">
        <v>21600</v>
      </c>
      <c r="N213" t="s">
        <v>49</v>
      </c>
      <c r="O213" t="s">
        <v>35</v>
      </c>
      <c r="P213" t="s">
        <v>24</v>
      </c>
      <c r="Q213" t="str">
        <f>TEXT(clean_data[[#This Row],[Date]],"mmm")</f>
        <v>Dec</v>
      </c>
      <c r="R213">
        <f>YEAR(clean_data[[#This Row],[Date]])</f>
        <v>2024</v>
      </c>
      <c r="S213" s="2">
        <f>clean_data[[#This Row],[Profit]]/clean_data[[#This Row],[Revenue]]</f>
        <v>0.6</v>
      </c>
      <c r="T213" t="str" cm="1">
        <f t="array" ref="T213">_xlfn.IFS(clean_data[[#This Row],[Revenue]]&lt;300000,"Small",
     clean_data[[#This Row],[Revenue]]&lt;700000,"Medium",
     TRUE,"Large")</f>
        <v>Small</v>
      </c>
      <c r="U213" t="str" cm="1">
        <f t="array" ref="U213">_xlfn.IFS(clean_data[[#This Row],[profit margin%]]&lt;0.5,"Low Profit",
     clean_data[[#This Row],[profit margin%]]&lt;0.6,"Medium Profit",
     TRUE,"High Profit")</f>
        <v>High Profit</v>
      </c>
      <c r="V213" t="str">
        <f>TEXT(clean_data[[#This Row],[Date]],"mmm-yyyy")</f>
        <v>Dec-2024</v>
      </c>
      <c r="W213" s="8">
        <f>EOMONTH(clean_data[[#This Row],[Date]],-1)+1</f>
        <v>45627</v>
      </c>
    </row>
    <row r="214" spans="1:23" x14ac:dyDescent="0.3">
      <c r="A214" t="s">
        <v>286</v>
      </c>
      <c r="B214" s="1">
        <v>45440</v>
      </c>
      <c r="C214" t="s">
        <v>17</v>
      </c>
      <c r="D214" t="s">
        <v>18</v>
      </c>
      <c r="E214" t="s">
        <v>111</v>
      </c>
      <c r="F214" t="s">
        <v>20</v>
      </c>
      <c r="G214" t="s">
        <v>21</v>
      </c>
      <c r="H214">
        <v>18</v>
      </c>
      <c r="I214">
        <v>3500</v>
      </c>
      <c r="J214">
        <v>15</v>
      </c>
      <c r="K214">
        <v>53550</v>
      </c>
      <c r="L214">
        <v>21420</v>
      </c>
      <c r="M214">
        <v>32130</v>
      </c>
      <c r="N214" t="s">
        <v>22</v>
      </c>
      <c r="O214" t="s">
        <v>35</v>
      </c>
      <c r="P214" t="s">
        <v>40</v>
      </c>
      <c r="Q214" t="str">
        <f>TEXT(clean_data[[#This Row],[Date]],"mmm")</f>
        <v>May</v>
      </c>
      <c r="R214">
        <f>YEAR(clean_data[[#This Row],[Date]])</f>
        <v>2024</v>
      </c>
      <c r="S214" s="2">
        <f>clean_data[[#This Row],[Profit]]/clean_data[[#This Row],[Revenue]]</f>
        <v>0.6</v>
      </c>
      <c r="T214" t="str" cm="1">
        <f t="array" ref="T214">_xlfn.IFS(clean_data[[#This Row],[Revenue]]&lt;300000,"Small",
     clean_data[[#This Row],[Revenue]]&lt;700000,"Medium",
     TRUE,"Large")</f>
        <v>Small</v>
      </c>
      <c r="U214" t="str" cm="1">
        <f t="array" ref="U214">_xlfn.IFS(clean_data[[#This Row],[profit margin%]]&lt;0.5,"Low Profit",
     clean_data[[#This Row],[profit margin%]]&lt;0.6,"Medium Profit",
     TRUE,"High Profit")</f>
        <v>High Profit</v>
      </c>
      <c r="V214" t="str">
        <f>TEXT(clean_data[[#This Row],[Date]],"mmm-yyyy")</f>
        <v>May-2024</v>
      </c>
      <c r="W214" s="8">
        <f>EOMONTH(clean_data[[#This Row],[Date]],-1)+1</f>
        <v>45413</v>
      </c>
    </row>
    <row r="215" spans="1:23" x14ac:dyDescent="0.3">
      <c r="A215" t="s">
        <v>287</v>
      </c>
      <c r="B215" s="1">
        <v>44688</v>
      </c>
      <c r="C215" t="s">
        <v>46</v>
      </c>
      <c r="D215" t="s">
        <v>55</v>
      </c>
      <c r="E215" t="s">
        <v>19</v>
      </c>
      <c r="F215" t="s">
        <v>33</v>
      </c>
      <c r="G215" t="s">
        <v>34</v>
      </c>
      <c r="H215">
        <v>1</v>
      </c>
      <c r="I215">
        <v>25000</v>
      </c>
      <c r="J215">
        <v>5</v>
      </c>
      <c r="K215">
        <v>23750</v>
      </c>
      <c r="L215">
        <v>11875</v>
      </c>
      <c r="M215">
        <v>11875</v>
      </c>
      <c r="N215" t="s">
        <v>22</v>
      </c>
      <c r="O215" t="s">
        <v>35</v>
      </c>
      <c r="P215" t="s">
        <v>24</v>
      </c>
      <c r="Q215" t="str">
        <f>TEXT(clean_data[[#This Row],[Date]],"mmm")</f>
        <v>May</v>
      </c>
      <c r="R215">
        <f>YEAR(clean_data[[#This Row],[Date]])</f>
        <v>2022</v>
      </c>
      <c r="S215" s="2">
        <f>clean_data[[#This Row],[Profit]]/clean_data[[#This Row],[Revenue]]</f>
        <v>0.5</v>
      </c>
      <c r="T215" t="str" cm="1">
        <f t="array" ref="T215">_xlfn.IFS(clean_data[[#This Row],[Revenue]]&lt;300000,"Small",
     clean_data[[#This Row],[Revenue]]&lt;700000,"Medium",
     TRUE,"Large")</f>
        <v>Small</v>
      </c>
      <c r="U215" t="str" cm="1">
        <f t="array" ref="U215">_xlfn.IFS(clean_data[[#This Row],[profit margin%]]&lt;0.5,"Low Profit",
     clean_data[[#This Row],[profit margin%]]&lt;0.6,"Medium Profit",
     TRUE,"High Profit")</f>
        <v>Medium Profit</v>
      </c>
      <c r="V215" t="str">
        <f>TEXT(clean_data[[#This Row],[Date]],"mmm-yyyy")</f>
        <v>May-2022</v>
      </c>
      <c r="W215" s="8">
        <f>EOMONTH(clean_data[[#This Row],[Date]],-1)+1</f>
        <v>44682</v>
      </c>
    </row>
    <row r="216" spans="1:23" x14ac:dyDescent="0.3">
      <c r="A216" t="s">
        <v>288</v>
      </c>
      <c r="B216" s="1">
        <v>45481</v>
      </c>
      <c r="C216" t="s">
        <v>46</v>
      </c>
      <c r="D216" t="s">
        <v>55</v>
      </c>
      <c r="E216" t="s">
        <v>19</v>
      </c>
      <c r="F216" t="s">
        <v>33</v>
      </c>
      <c r="G216" t="s">
        <v>34</v>
      </c>
      <c r="H216">
        <v>25</v>
      </c>
      <c r="I216">
        <v>25000</v>
      </c>
      <c r="J216">
        <v>15</v>
      </c>
      <c r="K216">
        <v>531250</v>
      </c>
      <c r="L216">
        <v>265625</v>
      </c>
      <c r="M216">
        <v>265625</v>
      </c>
      <c r="N216" t="s">
        <v>22</v>
      </c>
      <c r="O216" t="s">
        <v>50</v>
      </c>
      <c r="P216" t="s">
        <v>40</v>
      </c>
      <c r="Q216" t="str">
        <f>TEXT(clean_data[[#This Row],[Date]],"mmm")</f>
        <v>Jul</v>
      </c>
      <c r="R216">
        <f>YEAR(clean_data[[#This Row],[Date]])</f>
        <v>2024</v>
      </c>
      <c r="S216" s="2">
        <f>clean_data[[#This Row],[Profit]]/clean_data[[#This Row],[Revenue]]</f>
        <v>0.5</v>
      </c>
      <c r="T216" t="str" cm="1">
        <f t="array" ref="T216">_xlfn.IFS(clean_data[[#This Row],[Revenue]]&lt;300000,"Small",
     clean_data[[#This Row],[Revenue]]&lt;700000,"Medium",
     TRUE,"Large")</f>
        <v>Medium</v>
      </c>
      <c r="U216" t="str" cm="1">
        <f t="array" ref="U216">_xlfn.IFS(clean_data[[#This Row],[profit margin%]]&lt;0.5,"Low Profit",
     clean_data[[#This Row],[profit margin%]]&lt;0.6,"Medium Profit",
     TRUE,"High Profit")</f>
        <v>Medium Profit</v>
      </c>
      <c r="V216" t="str">
        <f>TEXT(clean_data[[#This Row],[Date]],"mmm-yyyy")</f>
        <v>Jul-2024</v>
      </c>
      <c r="W216" s="8">
        <f>EOMONTH(clean_data[[#This Row],[Date]],-1)+1</f>
        <v>45474</v>
      </c>
    </row>
    <row r="217" spans="1:23" x14ac:dyDescent="0.3">
      <c r="A217" t="s">
        <v>289</v>
      </c>
      <c r="B217" s="1">
        <v>45147</v>
      </c>
      <c r="C217" t="s">
        <v>17</v>
      </c>
      <c r="D217" t="s">
        <v>42</v>
      </c>
      <c r="E217" t="s">
        <v>60</v>
      </c>
      <c r="F217" t="s">
        <v>65</v>
      </c>
      <c r="G217" t="s">
        <v>117</v>
      </c>
      <c r="H217">
        <v>47</v>
      </c>
      <c r="I217">
        <v>1200</v>
      </c>
      <c r="J217">
        <v>15</v>
      </c>
      <c r="K217">
        <v>47940</v>
      </c>
      <c r="L217">
        <v>21573</v>
      </c>
      <c r="M217">
        <v>26367</v>
      </c>
      <c r="N217" t="s">
        <v>30</v>
      </c>
      <c r="O217" t="s">
        <v>50</v>
      </c>
      <c r="P217" t="s">
        <v>24</v>
      </c>
      <c r="Q217" t="str">
        <f>TEXT(clean_data[[#This Row],[Date]],"mmm")</f>
        <v>Aug</v>
      </c>
      <c r="R217">
        <f>YEAR(clean_data[[#This Row],[Date]])</f>
        <v>2023</v>
      </c>
      <c r="S217" s="2">
        <f>clean_data[[#This Row],[Profit]]/clean_data[[#This Row],[Revenue]]</f>
        <v>0.55000000000000004</v>
      </c>
      <c r="T217" t="str" cm="1">
        <f t="array" ref="T217">_xlfn.IFS(clean_data[[#This Row],[Revenue]]&lt;300000,"Small",
     clean_data[[#This Row],[Revenue]]&lt;700000,"Medium",
     TRUE,"Large")</f>
        <v>Small</v>
      </c>
      <c r="U217" t="str" cm="1">
        <f t="array" ref="U217">_xlfn.IFS(clean_data[[#This Row],[profit margin%]]&lt;0.5,"Low Profit",
     clean_data[[#This Row],[profit margin%]]&lt;0.6,"Medium Profit",
     TRUE,"High Profit")</f>
        <v>Medium Profit</v>
      </c>
      <c r="V217" t="str">
        <f>TEXT(clean_data[[#This Row],[Date]],"mmm-yyyy")</f>
        <v>Aug-2023</v>
      </c>
      <c r="W217" s="8">
        <f>EOMONTH(clean_data[[#This Row],[Date]],-1)+1</f>
        <v>45139</v>
      </c>
    </row>
    <row r="218" spans="1:23" x14ac:dyDescent="0.3">
      <c r="A218" t="s">
        <v>290</v>
      </c>
      <c r="B218" s="1">
        <v>45183</v>
      </c>
      <c r="C218" t="s">
        <v>26</v>
      </c>
      <c r="D218" t="s">
        <v>27</v>
      </c>
      <c r="E218" t="s">
        <v>78</v>
      </c>
      <c r="F218" t="s">
        <v>28</v>
      </c>
      <c r="G218" t="s">
        <v>71</v>
      </c>
      <c r="H218">
        <v>36</v>
      </c>
      <c r="I218">
        <v>35000</v>
      </c>
      <c r="J218">
        <v>20</v>
      </c>
      <c r="K218">
        <v>1008000</v>
      </c>
      <c r="L218">
        <v>554400</v>
      </c>
      <c r="M218">
        <v>453600</v>
      </c>
      <c r="N218" t="s">
        <v>22</v>
      </c>
      <c r="O218" t="s">
        <v>23</v>
      </c>
      <c r="P218" t="s">
        <v>40</v>
      </c>
      <c r="Q218" t="str">
        <f>TEXT(clean_data[[#This Row],[Date]],"mmm")</f>
        <v>Sep</v>
      </c>
      <c r="R218">
        <f>YEAR(clean_data[[#This Row],[Date]])</f>
        <v>2023</v>
      </c>
      <c r="S218" s="2">
        <f>clean_data[[#This Row],[Profit]]/clean_data[[#This Row],[Revenue]]</f>
        <v>0.45</v>
      </c>
      <c r="T218" t="str" cm="1">
        <f t="array" ref="T218">_xlfn.IFS(clean_data[[#This Row],[Revenue]]&lt;300000,"Small",
     clean_data[[#This Row],[Revenue]]&lt;700000,"Medium",
     TRUE,"Large")</f>
        <v>Large</v>
      </c>
      <c r="U218" t="str" cm="1">
        <f t="array" ref="U218">_xlfn.IFS(clean_data[[#This Row],[profit margin%]]&lt;0.5,"Low Profit",
     clean_data[[#This Row],[profit margin%]]&lt;0.6,"Medium Profit",
     TRUE,"High Profit")</f>
        <v>Low Profit</v>
      </c>
      <c r="V218" t="str">
        <f>TEXT(clean_data[[#This Row],[Date]],"mmm-yyyy")</f>
        <v>Sep-2023</v>
      </c>
      <c r="W218" s="8">
        <f>EOMONTH(clean_data[[#This Row],[Date]],-1)+1</f>
        <v>45170</v>
      </c>
    </row>
    <row r="219" spans="1:23" x14ac:dyDescent="0.3">
      <c r="A219" t="s">
        <v>291</v>
      </c>
      <c r="B219" s="1">
        <v>45112</v>
      </c>
      <c r="C219" t="s">
        <v>46</v>
      </c>
      <c r="D219" t="s">
        <v>55</v>
      </c>
      <c r="E219" t="s">
        <v>19</v>
      </c>
      <c r="F219" t="s">
        <v>65</v>
      </c>
      <c r="G219" t="s">
        <v>79</v>
      </c>
      <c r="H219">
        <v>16</v>
      </c>
      <c r="I219">
        <v>900</v>
      </c>
      <c r="J219">
        <v>15</v>
      </c>
      <c r="K219">
        <v>12240</v>
      </c>
      <c r="L219">
        <v>5508</v>
      </c>
      <c r="M219">
        <v>6732</v>
      </c>
      <c r="N219" t="s">
        <v>22</v>
      </c>
      <c r="O219" t="s">
        <v>50</v>
      </c>
      <c r="P219" t="s">
        <v>40</v>
      </c>
      <c r="Q219" t="str">
        <f>TEXT(clean_data[[#This Row],[Date]],"mmm")</f>
        <v>Jul</v>
      </c>
      <c r="R219">
        <f>YEAR(clean_data[[#This Row],[Date]])</f>
        <v>2023</v>
      </c>
      <c r="S219" s="2">
        <f>clean_data[[#This Row],[Profit]]/clean_data[[#This Row],[Revenue]]</f>
        <v>0.55000000000000004</v>
      </c>
      <c r="T219" t="str" cm="1">
        <f t="array" ref="T219">_xlfn.IFS(clean_data[[#This Row],[Revenue]]&lt;300000,"Small",
     clean_data[[#This Row],[Revenue]]&lt;700000,"Medium",
     TRUE,"Large")</f>
        <v>Small</v>
      </c>
      <c r="U219" t="str" cm="1">
        <f t="array" ref="U219">_xlfn.IFS(clean_data[[#This Row],[profit margin%]]&lt;0.5,"Low Profit",
     clean_data[[#This Row],[profit margin%]]&lt;0.6,"Medium Profit",
     TRUE,"High Profit")</f>
        <v>Medium Profit</v>
      </c>
      <c r="V219" t="str">
        <f>TEXT(clean_data[[#This Row],[Date]],"mmm-yyyy")</f>
        <v>Jul-2023</v>
      </c>
      <c r="W219" s="8">
        <f>EOMONTH(clean_data[[#This Row],[Date]],-1)+1</f>
        <v>45108</v>
      </c>
    </row>
    <row r="220" spans="1:23" x14ac:dyDescent="0.3">
      <c r="A220" t="s">
        <v>292</v>
      </c>
      <c r="B220" s="1">
        <v>45071</v>
      </c>
      <c r="C220" t="s">
        <v>58</v>
      </c>
      <c r="D220" t="s">
        <v>64</v>
      </c>
      <c r="E220" t="s">
        <v>60</v>
      </c>
      <c r="F220" t="s">
        <v>65</v>
      </c>
      <c r="G220" t="s">
        <v>104</v>
      </c>
      <c r="H220">
        <v>47</v>
      </c>
      <c r="I220">
        <v>3000</v>
      </c>
      <c r="J220">
        <v>10</v>
      </c>
      <c r="K220">
        <v>126900</v>
      </c>
      <c r="L220">
        <v>57105</v>
      </c>
      <c r="M220">
        <v>69795</v>
      </c>
      <c r="N220" t="s">
        <v>30</v>
      </c>
      <c r="O220" t="s">
        <v>67</v>
      </c>
      <c r="P220" t="s">
        <v>24</v>
      </c>
      <c r="Q220" t="str">
        <f>TEXT(clean_data[[#This Row],[Date]],"mmm")</f>
        <v>May</v>
      </c>
      <c r="R220">
        <f>YEAR(clean_data[[#This Row],[Date]])</f>
        <v>2023</v>
      </c>
      <c r="S220" s="2">
        <f>clean_data[[#This Row],[Profit]]/clean_data[[#This Row],[Revenue]]</f>
        <v>0.55000000000000004</v>
      </c>
      <c r="T220" t="str" cm="1">
        <f t="array" ref="T220">_xlfn.IFS(clean_data[[#This Row],[Revenue]]&lt;300000,"Small",
     clean_data[[#This Row],[Revenue]]&lt;700000,"Medium",
     TRUE,"Large")</f>
        <v>Small</v>
      </c>
      <c r="U220" t="str" cm="1">
        <f t="array" ref="U220">_xlfn.IFS(clean_data[[#This Row],[profit margin%]]&lt;0.5,"Low Profit",
     clean_data[[#This Row],[profit margin%]]&lt;0.6,"Medium Profit",
     TRUE,"High Profit")</f>
        <v>Medium Profit</v>
      </c>
      <c r="V220" t="str">
        <f>TEXT(clean_data[[#This Row],[Date]],"mmm-yyyy")</f>
        <v>May-2023</v>
      </c>
      <c r="W220" s="8">
        <f>EOMONTH(clean_data[[#This Row],[Date]],-1)+1</f>
        <v>45047</v>
      </c>
    </row>
    <row r="221" spans="1:23" x14ac:dyDescent="0.3">
      <c r="A221" t="s">
        <v>293</v>
      </c>
      <c r="B221" s="1">
        <v>45510</v>
      </c>
      <c r="C221" t="s">
        <v>26</v>
      </c>
      <c r="D221" t="s">
        <v>27</v>
      </c>
      <c r="E221" t="s">
        <v>52</v>
      </c>
      <c r="F221" t="s">
        <v>28</v>
      </c>
      <c r="G221" t="s">
        <v>95</v>
      </c>
      <c r="H221">
        <v>27</v>
      </c>
      <c r="I221">
        <v>75000</v>
      </c>
      <c r="J221">
        <v>5</v>
      </c>
      <c r="K221">
        <v>1923750</v>
      </c>
      <c r="L221">
        <v>1058062.5</v>
      </c>
      <c r="M221">
        <v>865687.5</v>
      </c>
      <c r="N221" t="s">
        <v>30</v>
      </c>
      <c r="O221" t="s">
        <v>44</v>
      </c>
      <c r="P221" t="s">
        <v>24</v>
      </c>
      <c r="Q221" t="str">
        <f>TEXT(clean_data[[#This Row],[Date]],"mmm")</f>
        <v>Aug</v>
      </c>
      <c r="R221">
        <f>YEAR(clean_data[[#This Row],[Date]])</f>
        <v>2024</v>
      </c>
      <c r="S221" s="2">
        <f>clean_data[[#This Row],[Profit]]/clean_data[[#This Row],[Revenue]]</f>
        <v>0.45</v>
      </c>
      <c r="T221" t="str" cm="1">
        <f t="array" ref="T221">_xlfn.IFS(clean_data[[#This Row],[Revenue]]&lt;300000,"Small",
     clean_data[[#This Row],[Revenue]]&lt;700000,"Medium",
     TRUE,"Large")</f>
        <v>Large</v>
      </c>
      <c r="U221" t="str" cm="1">
        <f t="array" ref="U221">_xlfn.IFS(clean_data[[#This Row],[profit margin%]]&lt;0.5,"Low Profit",
     clean_data[[#This Row],[profit margin%]]&lt;0.6,"Medium Profit",
     TRUE,"High Profit")</f>
        <v>Low Profit</v>
      </c>
      <c r="V221" t="str">
        <f>TEXT(clean_data[[#This Row],[Date]],"mmm-yyyy")</f>
        <v>Aug-2024</v>
      </c>
      <c r="W221" s="8">
        <f>EOMONTH(clean_data[[#This Row],[Date]],-1)+1</f>
        <v>45505</v>
      </c>
    </row>
    <row r="222" spans="1:23" x14ac:dyDescent="0.3">
      <c r="A222" t="s">
        <v>294</v>
      </c>
      <c r="B222" s="1">
        <v>44568</v>
      </c>
      <c r="C222" t="s">
        <v>58</v>
      </c>
      <c r="D222" t="s">
        <v>59</v>
      </c>
      <c r="E222" t="s">
        <v>56</v>
      </c>
      <c r="F222" t="s">
        <v>65</v>
      </c>
      <c r="G222" t="s">
        <v>66</v>
      </c>
      <c r="H222">
        <v>2</v>
      </c>
      <c r="I222">
        <v>5500</v>
      </c>
      <c r="J222">
        <v>0</v>
      </c>
      <c r="K222">
        <v>11000</v>
      </c>
      <c r="L222">
        <v>4950</v>
      </c>
      <c r="M222">
        <v>6050</v>
      </c>
      <c r="N222" t="s">
        <v>22</v>
      </c>
      <c r="O222" t="s">
        <v>23</v>
      </c>
      <c r="P222" t="s">
        <v>40</v>
      </c>
      <c r="Q222" t="str">
        <f>TEXT(clean_data[[#This Row],[Date]],"mmm")</f>
        <v>Jan</v>
      </c>
      <c r="R222">
        <f>YEAR(clean_data[[#This Row],[Date]])</f>
        <v>2022</v>
      </c>
      <c r="S222" s="2">
        <f>clean_data[[#This Row],[Profit]]/clean_data[[#This Row],[Revenue]]</f>
        <v>0.55000000000000004</v>
      </c>
      <c r="T222" t="str" cm="1">
        <f t="array" ref="T222">_xlfn.IFS(clean_data[[#This Row],[Revenue]]&lt;300000,"Small",
     clean_data[[#This Row],[Revenue]]&lt;700000,"Medium",
     TRUE,"Large")</f>
        <v>Small</v>
      </c>
      <c r="U222" t="str" cm="1">
        <f t="array" ref="U222">_xlfn.IFS(clean_data[[#This Row],[profit margin%]]&lt;0.5,"Low Profit",
     clean_data[[#This Row],[profit margin%]]&lt;0.6,"Medium Profit",
     TRUE,"High Profit")</f>
        <v>Medium Profit</v>
      </c>
      <c r="V222" t="str">
        <f>TEXT(clean_data[[#This Row],[Date]],"mmm-yyyy")</f>
        <v>Jan-2022</v>
      </c>
      <c r="W222" s="8">
        <f>EOMONTH(clean_data[[#This Row],[Date]],-1)+1</f>
        <v>44562</v>
      </c>
    </row>
    <row r="223" spans="1:23" x14ac:dyDescent="0.3">
      <c r="A223" t="s">
        <v>295</v>
      </c>
      <c r="B223" s="1">
        <v>44562</v>
      </c>
      <c r="C223" t="s">
        <v>17</v>
      </c>
      <c r="D223" t="s">
        <v>42</v>
      </c>
      <c r="E223" t="s">
        <v>73</v>
      </c>
      <c r="F223" t="s">
        <v>28</v>
      </c>
      <c r="G223" t="s">
        <v>29</v>
      </c>
      <c r="H223">
        <v>45</v>
      </c>
      <c r="I223">
        <v>15000</v>
      </c>
      <c r="J223">
        <v>15</v>
      </c>
      <c r="K223">
        <v>573750</v>
      </c>
      <c r="L223">
        <v>315562.5</v>
      </c>
      <c r="M223">
        <v>258187.5</v>
      </c>
      <c r="N223" t="s">
        <v>30</v>
      </c>
      <c r="O223" t="s">
        <v>35</v>
      </c>
      <c r="P223" t="s">
        <v>24</v>
      </c>
      <c r="Q223" t="str">
        <f>TEXT(clean_data[[#This Row],[Date]],"mmm")</f>
        <v>Jan</v>
      </c>
      <c r="R223">
        <f>YEAR(clean_data[[#This Row],[Date]])</f>
        <v>2022</v>
      </c>
      <c r="S223" s="2">
        <f>clean_data[[#This Row],[Profit]]/clean_data[[#This Row],[Revenue]]</f>
        <v>0.45</v>
      </c>
      <c r="T223" t="str" cm="1">
        <f t="array" ref="T223">_xlfn.IFS(clean_data[[#This Row],[Revenue]]&lt;300000,"Small",
     clean_data[[#This Row],[Revenue]]&lt;700000,"Medium",
     TRUE,"Large")</f>
        <v>Medium</v>
      </c>
      <c r="U223" t="str" cm="1">
        <f t="array" ref="U223">_xlfn.IFS(clean_data[[#This Row],[profit margin%]]&lt;0.5,"Low Profit",
     clean_data[[#This Row],[profit margin%]]&lt;0.6,"Medium Profit",
     TRUE,"High Profit")</f>
        <v>Low Profit</v>
      </c>
      <c r="V223" t="str">
        <f>TEXT(clean_data[[#This Row],[Date]],"mmm-yyyy")</f>
        <v>Jan-2022</v>
      </c>
      <c r="W223" s="8">
        <f>EOMONTH(clean_data[[#This Row],[Date]],-1)+1</f>
        <v>44562</v>
      </c>
    </row>
    <row r="224" spans="1:23" x14ac:dyDescent="0.3">
      <c r="A224" t="s">
        <v>296</v>
      </c>
      <c r="B224" s="1">
        <v>45570</v>
      </c>
      <c r="C224" t="s">
        <v>46</v>
      </c>
      <c r="D224" t="s">
        <v>47</v>
      </c>
      <c r="E224" t="s">
        <v>38</v>
      </c>
      <c r="F224" t="s">
        <v>33</v>
      </c>
      <c r="G224" t="s">
        <v>34</v>
      </c>
      <c r="H224">
        <v>18</v>
      </c>
      <c r="I224">
        <v>25000</v>
      </c>
      <c r="J224">
        <v>15</v>
      </c>
      <c r="K224">
        <v>382500</v>
      </c>
      <c r="L224">
        <v>191250</v>
      </c>
      <c r="M224">
        <v>191250</v>
      </c>
      <c r="N224" t="s">
        <v>49</v>
      </c>
      <c r="O224" t="s">
        <v>23</v>
      </c>
      <c r="P224" t="s">
        <v>24</v>
      </c>
      <c r="Q224" t="str">
        <f>TEXT(clean_data[[#This Row],[Date]],"mmm")</f>
        <v>Oct</v>
      </c>
      <c r="R224">
        <f>YEAR(clean_data[[#This Row],[Date]])</f>
        <v>2024</v>
      </c>
      <c r="S224" s="2">
        <f>clean_data[[#This Row],[Profit]]/clean_data[[#This Row],[Revenue]]</f>
        <v>0.5</v>
      </c>
      <c r="T224" t="str" cm="1">
        <f t="array" ref="T224">_xlfn.IFS(clean_data[[#This Row],[Revenue]]&lt;300000,"Small",
     clean_data[[#This Row],[Revenue]]&lt;700000,"Medium",
     TRUE,"Large")</f>
        <v>Medium</v>
      </c>
      <c r="U224" t="str" cm="1">
        <f t="array" ref="U224">_xlfn.IFS(clean_data[[#This Row],[profit margin%]]&lt;0.5,"Low Profit",
     clean_data[[#This Row],[profit margin%]]&lt;0.6,"Medium Profit",
     TRUE,"High Profit")</f>
        <v>Medium Profit</v>
      </c>
      <c r="V224" t="str">
        <f>TEXT(clean_data[[#This Row],[Date]],"mmm-yyyy")</f>
        <v>Oct-2024</v>
      </c>
      <c r="W224" s="8">
        <f>EOMONTH(clean_data[[#This Row],[Date]],-1)+1</f>
        <v>45566</v>
      </c>
    </row>
    <row r="225" spans="1:23" x14ac:dyDescent="0.3">
      <c r="A225" t="s">
        <v>297</v>
      </c>
      <c r="B225" s="1">
        <v>45462</v>
      </c>
      <c r="C225" t="s">
        <v>46</v>
      </c>
      <c r="D225" t="s">
        <v>47</v>
      </c>
      <c r="E225" t="s">
        <v>73</v>
      </c>
      <c r="F225" t="s">
        <v>28</v>
      </c>
      <c r="G225" t="s">
        <v>95</v>
      </c>
      <c r="H225">
        <v>6</v>
      </c>
      <c r="I225">
        <v>75000</v>
      </c>
      <c r="J225">
        <v>15</v>
      </c>
      <c r="K225">
        <v>382500</v>
      </c>
      <c r="L225">
        <v>210375</v>
      </c>
      <c r="M225">
        <v>172125</v>
      </c>
      <c r="N225" t="s">
        <v>49</v>
      </c>
      <c r="O225" t="s">
        <v>67</v>
      </c>
      <c r="P225" t="s">
        <v>24</v>
      </c>
      <c r="Q225" t="str">
        <f>TEXT(clean_data[[#This Row],[Date]],"mmm")</f>
        <v>Jun</v>
      </c>
      <c r="R225">
        <f>YEAR(clean_data[[#This Row],[Date]])</f>
        <v>2024</v>
      </c>
      <c r="S225" s="2">
        <f>clean_data[[#This Row],[Profit]]/clean_data[[#This Row],[Revenue]]</f>
        <v>0.45</v>
      </c>
      <c r="T225" t="str" cm="1">
        <f t="array" ref="T225">_xlfn.IFS(clean_data[[#This Row],[Revenue]]&lt;300000,"Small",
     clean_data[[#This Row],[Revenue]]&lt;700000,"Medium",
     TRUE,"Large")</f>
        <v>Medium</v>
      </c>
      <c r="U225" t="str" cm="1">
        <f t="array" ref="U225">_xlfn.IFS(clean_data[[#This Row],[profit margin%]]&lt;0.5,"Low Profit",
     clean_data[[#This Row],[profit margin%]]&lt;0.6,"Medium Profit",
     TRUE,"High Profit")</f>
        <v>Low Profit</v>
      </c>
      <c r="V225" t="str">
        <f>TEXT(clean_data[[#This Row],[Date]],"mmm-yyyy")</f>
        <v>Jun-2024</v>
      </c>
      <c r="W225" s="8">
        <f>EOMONTH(clean_data[[#This Row],[Date]],-1)+1</f>
        <v>45444</v>
      </c>
    </row>
    <row r="226" spans="1:23" x14ac:dyDescent="0.3">
      <c r="A226" t="s">
        <v>298</v>
      </c>
      <c r="B226" s="1">
        <v>45475</v>
      </c>
      <c r="C226" t="s">
        <v>26</v>
      </c>
      <c r="D226" t="s">
        <v>27</v>
      </c>
      <c r="E226" t="s">
        <v>52</v>
      </c>
      <c r="F226" t="s">
        <v>65</v>
      </c>
      <c r="G226" t="s">
        <v>66</v>
      </c>
      <c r="H226">
        <v>42</v>
      </c>
      <c r="I226">
        <v>5500</v>
      </c>
      <c r="J226">
        <v>10</v>
      </c>
      <c r="K226">
        <v>207900</v>
      </c>
      <c r="L226">
        <v>93555</v>
      </c>
      <c r="M226">
        <v>114345</v>
      </c>
      <c r="N226" t="s">
        <v>30</v>
      </c>
      <c r="O226" t="s">
        <v>67</v>
      </c>
      <c r="P226" t="s">
        <v>40</v>
      </c>
      <c r="Q226" t="str">
        <f>TEXT(clean_data[[#This Row],[Date]],"mmm")</f>
        <v>Jul</v>
      </c>
      <c r="R226">
        <f>YEAR(clean_data[[#This Row],[Date]])</f>
        <v>2024</v>
      </c>
      <c r="S226" s="2">
        <f>clean_data[[#This Row],[Profit]]/clean_data[[#This Row],[Revenue]]</f>
        <v>0.55000000000000004</v>
      </c>
      <c r="T226" t="str" cm="1">
        <f t="array" ref="T226">_xlfn.IFS(clean_data[[#This Row],[Revenue]]&lt;300000,"Small",
     clean_data[[#This Row],[Revenue]]&lt;700000,"Medium",
     TRUE,"Large")</f>
        <v>Small</v>
      </c>
      <c r="U226" t="str" cm="1">
        <f t="array" ref="U226">_xlfn.IFS(clean_data[[#This Row],[profit margin%]]&lt;0.5,"Low Profit",
     clean_data[[#This Row],[profit margin%]]&lt;0.6,"Medium Profit",
     TRUE,"High Profit")</f>
        <v>Medium Profit</v>
      </c>
      <c r="V226" t="str">
        <f>TEXT(clean_data[[#This Row],[Date]],"mmm-yyyy")</f>
        <v>Jul-2024</v>
      </c>
      <c r="W226" s="8">
        <f>EOMONTH(clean_data[[#This Row],[Date]],-1)+1</f>
        <v>45474</v>
      </c>
    </row>
    <row r="227" spans="1:23" x14ac:dyDescent="0.3">
      <c r="A227" t="s">
        <v>299</v>
      </c>
      <c r="B227" s="1">
        <v>44628</v>
      </c>
      <c r="C227" t="s">
        <v>46</v>
      </c>
      <c r="D227" t="s">
        <v>55</v>
      </c>
      <c r="E227" t="s">
        <v>73</v>
      </c>
      <c r="F227" t="s">
        <v>28</v>
      </c>
      <c r="G227" t="s">
        <v>95</v>
      </c>
      <c r="H227">
        <v>44</v>
      </c>
      <c r="I227">
        <v>75000</v>
      </c>
      <c r="J227">
        <v>10</v>
      </c>
      <c r="K227">
        <v>2970000</v>
      </c>
      <c r="L227">
        <v>1633500</v>
      </c>
      <c r="M227">
        <v>1336500</v>
      </c>
      <c r="N227" t="s">
        <v>22</v>
      </c>
      <c r="O227" t="s">
        <v>35</v>
      </c>
      <c r="P227" t="s">
        <v>40</v>
      </c>
      <c r="Q227" t="str">
        <f>TEXT(clean_data[[#This Row],[Date]],"mmm")</f>
        <v>Mar</v>
      </c>
      <c r="R227">
        <f>YEAR(clean_data[[#This Row],[Date]])</f>
        <v>2022</v>
      </c>
      <c r="S227" s="2">
        <f>clean_data[[#This Row],[Profit]]/clean_data[[#This Row],[Revenue]]</f>
        <v>0.45</v>
      </c>
      <c r="T227" t="str" cm="1">
        <f t="array" ref="T227">_xlfn.IFS(clean_data[[#This Row],[Revenue]]&lt;300000,"Small",
     clean_data[[#This Row],[Revenue]]&lt;700000,"Medium",
     TRUE,"Large")</f>
        <v>Large</v>
      </c>
      <c r="U227" t="str" cm="1">
        <f t="array" ref="U227">_xlfn.IFS(clean_data[[#This Row],[profit margin%]]&lt;0.5,"Low Profit",
     clean_data[[#This Row],[profit margin%]]&lt;0.6,"Medium Profit",
     TRUE,"High Profit")</f>
        <v>Low Profit</v>
      </c>
      <c r="V227" t="str">
        <f>TEXT(clean_data[[#This Row],[Date]],"mmm-yyyy")</f>
        <v>Mar-2022</v>
      </c>
      <c r="W227" s="8">
        <f>EOMONTH(clean_data[[#This Row],[Date]],-1)+1</f>
        <v>44621</v>
      </c>
    </row>
    <row r="228" spans="1:23" x14ac:dyDescent="0.3">
      <c r="A228" t="s">
        <v>300</v>
      </c>
      <c r="B228" s="1">
        <v>44923</v>
      </c>
      <c r="C228" t="s">
        <v>17</v>
      </c>
      <c r="D228" t="s">
        <v>18</v>
      </c>
      <c r="E228" t="s">
        <v>19</v>
      </c>
      <c r="F228" t="s">
        <v>20</v>
      </c>
      <c r="G228" t="s">
        <v>115</v>
      </c>
      <c r="H228">
        <v>5</v>
      </c>
      <c r="I228">
        <v>2500</v>
      </c>
      <c r="J228">
        <v>10</v>
      </c>
      <c r="K228">
        <v>11250</v>
      </c>
      <c r="L228">
        <v>4500</v>
      </c>
      <c r="M228">
        <v>6750</v>
      </c>
      <c r="N228" t="s">
        <v>22</v>
      </c>
      <c r="O228" t="s">
        <v>44</v>
      </c>
      <c r="P228" t="s">
        <v>24</v>
      </c>
      <c r="Q228" t="str">
        <f>TEXT(clean_data[[#This Row],[Date]],"mmm")</f>
        <v>Dec</v>
      </c>
      <c r="R228">
        <f>YEAR(clean_data[[#This Row],[Date]])</f>
        <v>2022</v>
      </c>
      <c r="S228" s="2">
        <f>clean_data[[#This Row],[Profit]]/clean_data[[#This Row],[Revenue]]</f>
        <v>0.6</v>
      </c>
      <c r="T228" t="str" cm="1">
        <f t="array" ref="T228">_xlfn.IFS(clean_data[[#This Row],[Revenue]]&lt;300000,"Small",
     clean_data[[#This Row],[Revenue]]&lt;700000,"Medium",
     TRUE,"Large")</f>
        <v>Small</v>
      </c>
      <c r="U228" t="str" cm="1">
        <f t="array" ref="U228">_xlfn.IFS(clean_data[[#This Row],[profit margin%]]&lt;0.5,"Low Profit",
     clean_data[[#This Row],[profit margin%]]&lt;0.6,"Medium Profit",
     TRUE,"High Profit")</f>
        <v>High Profit</v>
      </c>
      <c r="V228" t="str">
        <f>TEXT(clean_data[[#This Row],[Date]],"mmm-yyyy")</f>
        <v>Dec-2022</v>
      </c>
      <c r="W228" s="8">
        <f>EOMONTH(clean_data[[#This Row],[Date]],-1)+1</f>
        <v>44896</v>
      </c>
    </row>
    <row r="229" spans="1:23" x14ac:dyDescent="0.3">
      <c r="A229" t="s">
        <v>301</v>
      </c>
      <c r="B229" s="1">
        <v>45313</v>
      </c>
      <c r="C229" t="s">
        <v>17</v>
      </c>
      <c r="D229" t="s">
        <v>37</v>
      </c>
      <c r="E229" t="s">
        <v>78</v>
      </c>
      <c r="F229" t="s">
        <v>28</v>
      </c>
      <c r="G229" t="s">
        <v>29</v>
      </c>
      <c r="H229">
        <v>48</v>
      </c>
      <c r="I229">
        <v>15000</v>
      </c>
      <c r="J229">
        <v>10</v>
      </c>
      <c r="K229">
        <v>648000</v>
      </c>
      <c r="L229">
        <v>356400</v>
      </c>
      <c r="M229">
        <v>291600</v>
      </c>
      <c r="N229" t="s">
        <v>30</v>
      </c>
      <c r="O229" t="s">
        <v>23</v>
      </c>
      <c r="P229" t="s">
        <v>24</v>
      </c>
      <c r="Q229" t="str">
        <f>TEXT(clean_data[[#This Row],[Date]],"mmm")</f>
        <v>Jan</v>
      </c>
      <c r="R229">
        <f>YEAR(clean_data[[#This Row],[Date]])</f>
        <v>2024</v>
      </c>
      <c r="S229" s="2">
        <f>clean_data[[#This Row],[Profit]]/clean_data[[#This Row],[Revenue]]</f>
        <v>0.45</v>
      </c>
      <c r="T229" t="str" cm="1">
        <f t="array" ref="T229">_xlfn.IFS(clean_data[[#This Row],[Revenue]]&lt;300000,"Small",
     clean_data[[#This Row],[Revenue]]&lt;700000,"Medium",
     TRUE,"Large")</f>
        <v>Medium</v>
      </c>
      <c r="U229" t="str" cm="1">
        <f t="array" ref="U229">_xlfn.IFS(clean_data[[#This Row],[profit margin%]]&lt;0.5,"Low Profit",
     clean_data[[#This Row],[profit margin%]]&lt;0.6,"Medium Profit",
     TRUE,"High Profit")</f>
        <v>Low Profit</v>
      </c>
      <c r="V229" t="str">
        <f>TEXT(clean_data[[#This Row],[Date]],"mmm-yyyy")</f>
        <v>Jan-2024</v>
      </c>
      <c r="W229" s="8">
        <f>EOMONTH(clean_data[[#This Row],[Date]],-1)+1</f>
        <v>45292</v>
      </c>
    </row>
    <row r="230" spans="1:23" x14ac:dyDescent="0.3">
      <c r="A230" t="s">
        <v>302</v>
      </c>
      <c r="B230" s="1">
        <v>45012</v>
      </c>
      <c r="C230" t="s">
        <v>26</v>
      </c>
      <c r="D230" t="s">
        <v>69</v>
      </c>
      <c r="E230" t="s">
        <v>38</v>
      </c>
      <c r="F230" t="s">
        <v>65</v>
      </c>
      <c r="G230" t="s">
        <v>124</v>
      </c>
      <c r="H230">
        <v>2</v>
      </c>
      <c r="I230">
        <v>18000</v>
      </c>
      <c r="J230">
        <v>10</v>
      </c>
      <c r="K230">
        <v>32400</v>
      </c>
      <c r="L230">
        <v>14580</v>
      </c>
      <c r="M230">
        <v>17820</v>
      </c>
      <c r="N230" t="s">
        <v>49</v>
      </c>
      <c r="O230" t="s">
        <v>44</v>
      </c>
      <c r="P230" t="s">
        <v>24</v>
      </c>
      <c r="Q230" t="str">
        <f>TEXT(clean_data[[#This Row],[Date]],"mmm")</f>
        <v>Mar</v>
      </c>
      <c r="R230">
        <f>YEAR(clean_data[[#This Row],[Date]])</f>
        <v>2023</v>
      </c>
      <c r="S230" s="2">
        <f>clean_data[[#This Row],[Profit]]/clean_data[[#This Row],[Revenue]]</f>
        <v>0.55000000000000004</v>
      </c>
      <c r="T230" t="str" cm="1">
        <f t="array" ref="T230">_xlfn.IFS(clean_data[[#This Row],[Revenue]]&lt;300000,"Small",
     clean_data[[#This Row],[Revenue]]&lt;700000,"Medium",
     TRUE,"Large")</f>
        <v>Small</v>
      </c>
      <c r="U230" t="str" cm="1">
        <f t="array" ref="U230">_xlfn.IFS(clean_data[[#This Row],[profit margin%]]&lt;0.5,"Low Profit",
     clean_data[[#This Row],[profit margin%]]&lt;0.6,"Medium Profit",
     TRUE,"High Profit")</f>
        <v>Medium Profit</v>
      </c>
      <c r="V230" t="str">
        <f>TEXT(clean_data[[#This Row],[Date]],"mmm-yyyy")</f>
        <v>Mar-2023</v>
      </c>
      <c r="W230" s="8">
        <f>EOMONTH(clean_data[[#This Row],[Date]],-1)+1</f>
        <v>44986</v>
      </c>
    </row>
    <row r="231" spans="1:23" x14ac:dyDescent="0.3">
      <c r="A231" t="s">
        <v>303</v>
      </c>
      <c r="B231" s="1">
        <v>45248</v>
      </c>
      <c r="C231" t="s">
        <v>58</v>
      </c>
      <c r="D231" t="s">
        <v>59</v>
      </c>
      <c r="E231" t="s">
        <v>78</v>
      </c>
      <c r="F231" t="s">
        <v>65</v>
      </c>
      <c r="G231" t="s">
        <v>117</v>
      </c>
      <c r="H231">
        <v>50</v>
      </c>
      <c r="I231">
        <v>1200</v>
      </c>
      <c r="J231">
        <v>20</v>
      </c>
      <c r="K231">
        <v>48000</v>
      </c>
      <c r="L231">
        <v>21600</v>
      </c>
      <c r="M231">
        <v>26400</v>
      </c>
      <c r="N231" t="s">
        <v>30</v>
      </c>
      <c r="O231" t="s">
        <v>35</v>
      </c>
      <c r="P231" t="s">
        <v>24</v>
      </c>
      <c r="Q231" t="str">
        <f>TEXT(clean_data[[#This Row],[Date]],"mmm")</f>
        <v>Nov</v>
      </c>
      <c r="R231">
        <f>YEAR(clean_data[[#This Row],[Date]])</f>
        <v>2023</v>
      </c>
      <c r="S231" s="2">
        <f>clean_data[[#This Row],[Profit]]/clean_data[[#This Row],[Revenue]]</f>
        <v>0.55000000000000004</v>
      </c>
      <c r="T231" t="str" cm="1">
        <f t="array" ref="T231">_xlfn.IFS(clean_data[[#This Row],[Revenue]]&lt;300000,"Small",
     clean_data[[#This Row],[Revenue]]&lt;700000,"Medium",
     TRUE,"Large")</f>
        <v>Small</v>
      </c>
      <c r="U231" t="str" cm="1">
        <f t="array" ref="U231">_xlfn.IFS(clean_data[[#This Row],[profit margin%]]&lt;0.5,"Low Profit",
     clean_data[[#This Row],[profit margin%]]&lt;0.6,"Medium Profit",
     TRUE,"High Profit")</f>
        <v>Medium Profit</v>
      </c>
      <c r="V231" t="str">
        <f>TEXT(clean_data[[#This Row],[Date]],"mmm-yyyy")</f>
        <v>Nov-2023</v>
      </c>
      <c r="W231" s="8">
        <f>EOMONTH(clean_data[[#This Row],[Date]],-1)+1</f>
        <v>45231</v>
      </c>
    </row>
    <row r="232" spans="1:23" x14ac:dyDescent="0.3">
      <c r="A232" t="s">
        <v>304</v>
      </c>
      <c r="B232" s="1">
        <v>44721</v>
      </c>
      <c r="C232" t="s">
        <v>46</v>
      </c>
      <c r="D232" t="s">
        <v>55</v>
      </c>
      <c r="E232" t="s">
        <v>78</v>
      </c>
      <c r="F232" t="s">
        <v>65</v>
      </c>
      <c r="G232" t="s">
        <v>124</v>
      </c>
      <c r="H232">
        <v>24</v>
      </c>
      <c r="I232">
        <v>18000</v>
      </c>
      <c r="J232">
        <v>0</v>
      </c>
      <c r="K232">
        <v>432000</v>
      </c>
      <c r="L232">
        <v>194400</v>
      </c>
      <c r="M232">
        <v>237600</v>
      </c>
      <c r="N232" t="s">
        <v>30</v>
      </c>
      <c r="O232" t="s">
        <v>50</v>
      </c>
      <c r="P232" t="s">
        <v>24</v>
      </c>
      <c r="Q232" t="str">
        <f>TEXT(clean_data[[#This Row],[Date]],"mmm")</f>
        <v>Jun</v>
      </c>
      <c r="R232">
        <f>YEAR(clean_data[[#This Row],[Date]])</f>
        <v>2022</v>
      </c>
      <c r="S232" s="2">
        <f>clean_data[[#This Row],[Profit]]/clean_data[[#This Row],[Revenue]]</f>
        <v>0.55000000000000004</v>
      </c>
      <c r="T232" t="str" cm="1">
        <f t="array" ref="T232">_xlfn.IFS(clean_data[[#This Row],[Revenue]]&lt;300000,"Small",
     clean_data[[#This Row],[Revenue]]&lt;700000,"Medium",
     TRUE,"Large")</f>
        <v>Medium</v>
      </c>
      <c r="U232" t="str" cm="1">
        <f t="array" ref="U232">_xlfn.IFS(clean_data[[#This Row],[profit margin%]]&lt;0.5,"Low Profit",
     clean_data[[#This Row],[profit margin%]]&lt;0.6,"Medium Profit",
     TRUE,"High Profit")</f>
        <v>Medium Profit</v>
      </c>
      <c r="V232" t="str">
        <f>TEXT(clean_data[[#This Row],[Date]],"mmm-yyyy")</f>
        <v>Jun-2022</v>
      </c>
      <c r="W232" s="8">
        <f>EOMONTH(clean_data[[#This Row],[Date]],-1)+1</f>
        <v>44713</v>
      </c>
    </row>
    <row r="233" spans="1:23" x14ac:dyDescent="0.3">
      <c r="A233" t="s">
        <v>305</v>
      </c>
      <c r="B233" s="1">
        <v>45424</v>
      </c>
      <c r="C233" t="s">
        <v>17</v>
      </c>
      <c r="D233" t="s">
        <v>18</v>
      </c>
      <c r="E233" t="s">
        <v>78</v>
      </c>
      <c r="F233" t="s">
        <v>28</v>
      </c>
      <c r="G233" t="s">
        <v>87</v>
      </c>
      <c r="H233">
        <v>28</v>
      </c>
      <c r="I233">
        <v>45000</v>
      </c>
      <c r="J233">
        <v>15</v>
      </c>
      <c r="K233">
        <v>1071000</v>
      </c>
      <c r="L233">
        <v>589050</v>
      </c>
      <c r="M233">
        <v>481950</v>
      </c>
      <c r="N233" t="s">
        <v>22</v>
      </c>
      <c r="O233" t="s">
        <v>67</v>
      </c>
      <c r="P233" t="s">
        <v>40</v>
      </c>
      <c r="Q233" t="str">
        <f>TEXT(clean_data[[#This Row],[Date]],"mmm")</f>
        <v>May</v>
      </c>
      <c r="R233">
        <f>YEAR(clean_data[[#This Row],[Date]])</f>
        <v>2024</v>
      </c>
      <c r="S233" s="2">
        <f>clean_data[[#This Row],[Profit]]/clean_data[[#This Row],[Revenue]]</f>
        <v>0.45</v>
      </c>
      <c r="T233" t="str" cm="1">
        <f t="array" ref="T233">_xlfn.IFS(clean_data[[#This Row],[Revenue]]&lt;300000,"Small",
     clean_data[[#This Row],[Revenue]]&lt;700000,"Medium",
     TRUE,"Large")</f>
        <v>Large</v>
      </c>
      <c r="U233" t="str" cm="1">
        <f t="array" ref="U233">_xlfn.IFS(clean_data[[#This Row],[profit margin%]]&lt;0.5,"Low Profit",
     clean_data[[#This Row],[profit margin%]]&lt;0.6,"Medium Profit",
     TRUE,"High Profit")</f>
        <v>Low Profit</v>
      </c>
      <c r="V233" t="str">
        <f>TEXT(clean_data[[#This Row],[Date]],"mmm-yyyy")</f>
        <v>May-2024</v>
      </c>
      <c r="W233" s="8">
        <f>EOMONTH(clean_data[[#This Row],[Date]],-1)+1</f>
        <v>45413</v>
      </c>
    </row>
    <row r="234" spans="1:23" x14ac:dyDescent="0.3">
      <c r="A234" t="s">
        <v>306</v>
      </c>
      <c r="B234" s="1">
        <v>45355</v>
      </c>
      <c r="C234" t="s">
        <v>26</v>
      </c>
      <c r="D234" t="s">
        <v>27</v>
      </c>
      <c r="E234" t="s">
        <v>70</v>
      </c>
      <c r="F234" t="s">
        <v>28</v>
      </c>
      <c r="G234" t="s">
        <v>29</v>
      </c>
      <c r="H234">
        <v>39</v>
      </c>
      <c r="I234">
        <v>15000</v>
      </c>
      <c r="J234">
        <v>10</v>
      </c>
      <c r="K234">
        <v>526500</v>
      </c>
      <c r="L234">
        <v>289575</v>
      </c>
      <c r="M234">
        <v>236925</v>
      </c>
      <c r="N234" t="s">
        <v>30</v>
      </c>
      <c r="O234" t="s">
        <v>50</v>
      </c>
      <c r="P234" t="s">
        <v>24</v>
      </c>
      <c r="Q234" t="str">
        <f>TEXT(clean_data[[#This Row],[Date]],"mmm")</f>
        <v>Mar</v>
      </c>
      <c r="R234">
        <f>YEAR(clean_data[[#This Row],[Date]])</f>
        <v>2024</v>
      </c>
      <c r="S234" s="2">
        <f>clean_data[[#This Row],[Profit]]/clean_data[[#This Row],[Revenue]]</f>
        <v>0.45</v>
      </c>
      <c r="T234" t="str" cm="1">
        <f t="array" ref="T234">_xlfn.IFS(clean_data[[#This Row],[Revenue]]&lt;300000,"Small",
     clean_data[[#This Row],[Revenue]]&lt;700000,"Medium",
     TRUE,"Large")</f>
        <v>Medium</v>
      </c>
      <c r="U234" t="str" cm="1">
        <f t="array" ref="U234">_xlfn.IFS(clean_data[[#This Row],[profit margin%]]&lt;0.5,"Low Profit",
     clean_data[[#This Row],[profit margin%]]&lt;0.6,"Medium Profit",
     TRUE,"High Profit")</f>
        <v>Low Profit</v>
      </c>
      <c r="V234" t="str">
        <f>TEXT(clean_data[[#This Row],[Date]],"mmm-yyyy")</f>
        <v>Mar-2024</v>
      </c>
      <c r="W234" s="8">
        <f>EOMONTH(clean_data[[#This Row],[Date]],-1)+1</f>
        <v>45352</v>
      </c>
    </row>
    <row r="235" spans="1:23" x14ac:dyDescent="0.3">
      <c r="A235" t="s">
        <v>307</v>
      </c>
      <c r="B235" s="1">
        <v>45364</v>
      </c>
      <c r="C235" t="s">
        <v>26</v>
      </c>
      <c r="D235" t="s">
        <v>27</v>
      </c>
      <c r="E235" t="s">
        <v>38</v>
      </c>
      <c r="F235" t="s">
        <v>20</v>
      </c>
      <c r="G235" t="s">
        <v>115</v>
      </c>
      <c r="H235">
        <v>11</v>
      </c>
      <c r="I235">
        <v>2500</v>
      </c>
      <c r="J235">
        <v>5</v>
      </c>
      <c r="K235">
        <v>26125</v>
      </c>
      <c r="L235">
        <v>10450</v>
      </c>
      <c r="M235">
        <v>15675</v>
      </c>
      <c r="N235" t="s">
        <v>49</v>
      </c>
      <c r="O235" t="s">
        <v>50</v>
      </c>
      <c r="P235" t="s">
        <v>24</v>
      </c>
      <c r="Q235" t="str">
        <f>TEXT(clean_data[[#This Row],[Date]],"mmm")</f>
        <v>Mar</v>
      </c>
      <c r="R235">
        <f>YEAR(clean_data[[#This Row],[Date]])</f>
        <v>2024</v>
      </c>
      <c r="S235" s="2">
        <f>clean_data[[#This Row],[Profit]]/clean_data[[#This Row],[Revenue]]</f>
        <v>0.6</v>
      </c>
      <c r="T235" t="str" cm="1">
        <f t="array" ref="T235">_xlfn.IFS(clean_data[[#This Row],[Revenue]]&lt;300000,"Small",
     clean_data[[#This Row],[Revenue]]&lt;700000,"Medium",
     TRUE,"Large")</f>
        <v>Small</v>
      </c>
      <c r="U235" t="str" cm="1">
        <f t="array" ref="U235">_xlfn.IFS(clean_data[[#This Row],[profit margin%]]&lt;0.5,"Low Profit",
     clean_data[[#This Row],[profit margin%]]&lt;0.6,"Medium Profit",
     TRUE,"High Profit")</f>
        <v>High Profit</v>
      </c>
      <c r="V235" t="str">
        <f>TEXT(clean_data[[#This Row],[Date]],"mmm-yyyy")</f>
        <v>Mar-2024</v>
      </c>
      <c r="W235" s="8">
        <f>EOMONTH(clean_data[[#This Row],[Date]],-1)+1</f>
        <v>45352</v>
      </c>
    </row>
    <row r="236" spans="1:23" x14ac:dyDescent="0.3">
      <c r="A236" t="s">
        <v>308</v>
      </c>
      <c r="B236" s="1">
        <v>45509</v>
      </c>
      <c r="C236" t="s">
        <v>26</v>
      </c>
      <c r="D236" t="s">
        <v>27</v>
      </c>
      <c r="E236" t="s">
        <v>32</v>
      </c>
      <c r="F236" t="s">
        <v>33</v>
      </c>
      <c r="G236" t="s">
        <v>48</v>
      </c>
      <c r="H236">
        <v>20</v>
      </c>
      <c r="I236">
        <v>1500</v>
      </c>
      <c r="J236">
        <v>15</v>
      </c>
      <c r="K236">
        <v>25500</v>
      </c>
      <c r="L236">
        <v>12750</v>
      </c>
      <c r="M236">
        <v>12750</v>
      </c>
      <c r="N236" t="s">
        <v>49</v>
      </c>
      <c r="O236" t="s">
        <v>50</v>
      </c>
      <c r="P236" t="s">
        <v>24</v>
      </c>
      <c r="Q236" t="str">
        <f>TEXT(clean_data[[#This Row],[Date]],"mmm")</f>
        <v>Aug</v>
      </c>
      <c r="R236">
        <f>YEAR(clean_data[[#This Row],[Date]])</f>
        <v>2024</v>
      </c>
      <c r="S236" s="2">
        <f>clean_data[[#This Row],[Profit]]/clean_data[[#This Row],[Revenue]]</f>
        <v>0.5</v>
      </c>
      <c r="T236" t="str" cm="1">
        <f t="array" ref="T236">_xlfn.IFS(clean_data[[#This Row],[Revenue]]&lt;300000,"Small",
     clean_data[[#This Row],[Revenue]]&lt;700000,"Medium",
     TRUE,"Large")</f>
        <v>Small</v>
      </c>
      <c r="U236" t="str" cm="1">
        <f t="array" ref="U236">_xlfn.IFS(clean_data[[#This Row],[profit margin%]]&lt;0.5,"Low Profit",
     clean_data[[#This Row],[profit margin%]]&lt;0.6,"Medium Profit",
     TRUE,"High Profit")</f>
        <v>Medium Profit</v>
      </c>
      <c r="V236" t="str">
        <f>TEXT(clean_data[[#This Row],[Date]],"mmm-yyyy")</f>
        <v>Aug-2024</v>
      </c>
      <c r="W236" s="8">
        <f>EOMONTH(clean_data[[#This Row],[Date]],-1)+1</f>
        <v>45505</v>
      </c>
    </row>
    <row r="237" spans="1:23" x14ac:dyDescent="0.3">
      <c r="A237" t="s">
        <v>309</v>
      </c>
      <c r="B237" s="1">
        <v>45040</v>
      </c>
      <c r="C237" t="s">
        <v>58</v>
      </c>
      <c r="D237" t="s">
        <v>64</v>
      </c>
      <c r="E237" t="s">
        <v>38</v>
      </c>
      <c r="F237" t="s">
        <v>20</v>
      </c>
      <c r="G237" t="s">
        <v>115</v>
      </c>
      <c r="H237">
        <v>7</v>
      </c>
      <c r="I237">
        <v>2500</v>
      </c>
      <c r="J237">
        <v>5</v>
      </c>
      <c r="K237">
        <v>16625</v>
      </c>
      <c r="L237">
        <v>6650</v>
      </c>
      <c r="M237">
        <v>9975</v>
      </c>
      <c r="N237" t="s">
        <v>30</v>
      </c>
      <c r="O237" t="s">
        <v>23</v>
      </c>
      <c r="P237" t="s">
        <v>24</v>
      </c>
      <c r="Q237" t="str">
        <f>TEXT(clean_data[[#This Row],[Date]],"mmm")</f>
        <v>Apr</v>
      </c>
      <c r="R237">
        <f>YEAR(clean_data[[#This Row],[Date]])</f>
        <v>2023</v>
      </c>
      <c r="S237" s="2">
        <f>clean_data[[#This Row],[Profit]]/clean_data[[#This Row],[Revenue]]</f>
        <v>0.6</v>
      </c>
      <c r="T237" t="str" cm="1">
        <f t="array" ref="T237">_xlfn.IFS(clean_data[[#This Row],[Revenue]]&lt;300000,"Small",
     clean_data[[#This Row],[Revenue]]&lt;700000,"Medium",
     TRUE,"Large")</f>
        <v>Small</v>
      </c>
      <c r="U237" t="str" cm="1">
        <f t="array" ref="U237">_xlfn.IFS(clean_data[[#This Row],[profit margin%]]&lt;0.5,"Low Profit",
     clean_data[[#This Row],[profit margin%]]&lt;0.6,"Medium Profit",
     TRUE,"High Profit")</f>
        <v>High Profit</v>
      </c>
      <c r="V237" t="str">
        <f>TEXT(clean_data[[#This Row],[Date]],"mmm-yyyy")</f>
        <v>Apr-2023</v>
      </c>
      <c r="W237" s="8">
        <f>EOMONTH(clean_data[[#This Row],[Date]],-1)+1</f>
        <v>45017</v>
      </c>
    </row>
    <row r="238" spans="1:23" x14ac:dyDescent="0.3">
      <c r="A238" t="s">
        <v>310</v>
      </c>
      <c r="B238" s="1">
        <v>45226</v>
      </c>
      <c r="C238" t="s">
        <v>58</v>
      </c>
      <c r="D238" t="s">
        <v>59</v>
      </c>
      <c r="E238" t="s">
        <v>60</v>
      </c>
      <c r="F238" t="s">
        <v>33</v>
      </c>
      <c r="G238" t="s">
        <v>48</v>
      </c>
      <c r="H238">
        <v>42</v>
      </c>
      <c r="I238">
        <v>1500</v>
      </c>
      <c r="J238">
        <v>20</v>
      </c>
      <c r="K238">
        <v>50400</v>
      </c>
      <c r="L238">
        <v>25200</v>
      </c>
      <c r="M238">
        <v>25200</v>
      </c>
      <c r="N238" t="s">
        <v>49</v>
      </c>
      <c r="O238" t="s">
        <v>50</v>
      </c>
      <c r="P238" t="s">
        <v>24</v>
      </c>
      <c r="Q238" t="str">
        <f>TEXT(clean_data[[#This Row],[Date]],"mmm")</f>
        <v>Oct</v>
      </c>
      <c r="R238">
        <f>YEAR(clean_data[[#This Row],[Date]])</f>
        <v>2023</v>
      </c>
      <c r="S238" s="2">
        <f>clean_data[[#This Row],[Profit]]/clean_data[[#This Row],[Revenue]]</f>
        <v>0.5</v>
      </c>
      <c r="T238" t="str" cm="1">
        <f t="array" ref="T238">_xlfn.IFS(clean_data[[#This Row],[Revenue]]&lt;300000,"Small",
     clean_data[[#This Row],[Revenue]]&lt;700000,"Medium",
     TRUE,"Large")</f>
        <v>Small</v>
      </c>
      <c r="U238" t="str" cm="1">
        <f t="array" ref="U238">_xlfn.IFS(clean_data[[#This Row],[profit margin%]]&lt;0.5,"Low Profit",
     clean_data[[#This Row],[profit margin%]]&lt;0.6,"Medium Profit",
     TRUE,"High Profit")</f>
        <v>Medium Profit</v>
      </c>
      <c r="V238" t="str">
        <f>TEXT(clean_data[[#This Row],[Date]],"mmm-yyyy")</f>
        <v>Oct-2023</v>
      </c>
      <c r="W238" s="8">
        <f>EOMONTH(clean_data[[#This Row],[Date]],-1)+1</f>
        <v>45200</v>
      </c>
    </row>
    <row r="239" spans="1:23" x14ac:dyDescent="0.3">
      <c r="A239" t="s">
        <v>311</v>
      </c>
      <c r="B239" s="1">
        <v>44942</v>
      </c>
      <c r="C239" t="s">
        <v>17</v>
      </c>
      <c r="D239" t="s">
        <v>18</v>
      </c>
      <c r="E239" t="s">
        <v>32</v>
      </c>
      <c r="F239" t="s">
        <v>33</v>
      </c>
      <c r="G239" t="s">
        <v>34</v>
      </c>
      <c r="H239">
        <v>48</v>
      </c>
      <c r="I239">
        <v>25000</v>
      </c>
      <c r="J239">
        <v>15</v>
      </c>
      <c r="K239">
        <v>1020000</v>
      </c>
      <c r="L239">
        <v>510000</v>
      </c>
      <c r="M239">
        <v>510000</v>
      </c>
      <c r="N239" t="s">
        <v>30</v>
      </c>
      <c r="O239" t="s">
        <v>50</v>
      </c>
      <c r="P239" t="s">
        <v>40</v>
      </c>
      <c r="Q239" t="str">
        <f>TEXT(clean_data[[#This Row],[Date]],"mmm")</f>
        <v>Jan</v>
      </c>
      <c r="R239">
        <f>YEAR(clean_data[[#This Row],[Date]])</f>
        <v>2023</v>
      </c>
      <c r="S239" s="2">
        <f>clean_data[[#This Row],[Profit]]/clean_data[[#This Row],[Revenue]]</f>
        <v>0.5</v>
      </c>
      <c r="T239" t="str" cm="1">
        <f t="array" ref="T239">_xlfn.IFS(clean_data[[#This Row],[Revenue]]&lt;300000,"Small",
     clean_data[[#This Row],[Revenue]]&lt;700000,"Medium",
     TRUE,"Large")</f>
        <v>Large</v>
      </c>
      <c r="U239" t="str" cm="1">
        <f t="array" ref="U239">_xlfn.IFS(clean_data[[#This Row],[profit margin%]]&lt;0.5,"Low Profit",
     clean_data[[#This Row],[profit margin%]]&lt;0.6,"Medium Profit",
     TRUE,"High Profit")</f>
        <v>Medium Profit</v>
      </c>
      <c r="V239" t="str">
        <f>TEXT(clean_data[[#This Row],[Date]],"mmm-yyyy")</f>
        <v>Jan-2023</v>
      </c>
      <c r="W239" s="8">
        <f>EOMONTH(clean_data[[#This Row],[Date]],-1)+1</f>
        <v>44927</v>
      </c>
    </row>
    <row r="240" spans="1:23" x14ac:dyDescent="0.3">
      <c r="A240" t="s">
        <v>312</v>
      </c>
      <c r="B240" s="1">
        <v>45300</v>
      </c>
      <c r="C240" t="s">
        <v>58</v>
      </c>
      <c r="D240" t="s">
        <v>59</v>
      </c>
      <c r="E240" t="s">
        <v>52</v>
      </c>
      <c r="F240" t="s">
        <v>20</v>
      </c>
      <c r="G240" t="s">
        <v>53</v>
      </c>
      <c r="H240">
        <v>35</v>
      </c>
      <c r="I240">
        <v>600</v>
      </c>
      <c r="J240">
        <v>5</v>
      </c>
      <c r="K240">
        <v>19950</v>
      </c>
      <c r="L240">
        <v>7980</v>
      </c>
      <c r="M240">
        <v>11970</v>
      </c>
      <c r="N240" t="s">
        <v>30</v>
      </c>
      <c r="O240" t="s">
        <v>23</v>
      </c>
      <c r="P240" t="s">
        <v>40</v>
      </c>
      <c r="Q240" t="str">
        <f>TEXT(clean_data[[#This Row],[Date]],"mmm")</f>
        <v>Jan</v>
      </c>
      <c r="R240">
        <f>YEAR(clean_data[[#This Row],[Date]])</f>
        <v>2024</v>
      </c>
      <c r="S240" s="2">
        <f>clean_data[[#This Row],[Profit]]/clean_data[[#This Row],[Revenue]]</f>
        <v>0.6</v>
      </c>
      <c r="T240" t="str" cm="1">
        <f t="array" ref="T240">_xlfn.IFS(clean_data[[#This Row],[Revenue]]&lt;300000,"Small",
     clean_data[[#This Row],[Revenue]]&lt;700000,"Medium",
     TRUE,"Large")</f>
        <v>Small</v>
      </c>
      <c r="U240" t="str" cm="1">
        <f t="array" ref="U240">_xlfn.IFS(clean_data[[#This Row],[profit margin%]]&lt;0.5,"Low Profit",
     clean_data[[#This Row],[profit margin%]]&lt;0.6,"Medium Profit",
     TRUE,"High Profit")</f>
        <v>High Profit</v>
      </c>
      <c r="V240" t="str">
        <f>TEXT(clean_data[[#This Row],[Date]],"mmm-yyyy")</f>
        <v>Jan-2024</v>
      </c>
      <c r="W240" s="8">
        <f>EOMONTH(clean_data[[#This Row],[Date]],-1)+1</f>
        <v>45292</v>
      </c>
    </row>
    <row r="241" spans="1:23" x14ac:dyDescent="0.3">
      <c r="A241" t="s">
        <v>313</v>
      </c>
      <c r="B241" s="1">
        <v>44972</v>
      </c>
      <c r="C241" t="s">
        <v>17</v>
      </c>
      <c r="D241" t="s">
        <v>42</v>
      </c>
      <c r="E241" t="s">
        <v>52</v>
      </c>
      <c r="F241" t="s">
        <v>65</v>
      </c>
      <c r="G241" t="s">
        <v>66</v>
      </c>
      <c r="H241">
        <v>9</v>
      </c>
      <c r="I241">
        <v>5500</v>
      </c>
      <c r="J241">
        <v>10</v>
      </c>
      <c r="K241">
        <v>44550</v>
      </c>
      <c r="L241">
        <v>20047.5</v>
      </c>
      <c r="M241">
        <v>24502.5</v>
      </c>
      <c r="N241" t="s">
        <v>49</v>
      </c>
      <c r="O241" t="s">
        <v>44</v>
      </c>
      <c r="P241" t="s">
        <v>24</v>
      </c>
      <c r="Q241" t="str">
        <f>TEXT(clean_data[[#This Row],[Date]],"mmm")</f>
        <v>Feb</v>
      </c>
      <c r="R241">
        <f>YEAR(clean_data[[#This Row],[Date]])</f>
        <v>2023</v>
      </c>
      <c r="S241" s="2">
        <f>clean_data[[#This Row],[Profit]]/clean_data[[#This Row],[Revenue]]</f>
        <v>0.55000000000000004</v>
      </c>
      <c r="T241" t="str" cm="1">
        <f t="array" ref="T241">_xlfn.IFS(clean_data[[#This Row],[Revenue]]&lt;300000,"Small",
     clean_data[[#This Row],[Revenue]]&lt;700000,"Medium",
     TRUE,"Large")</f>
        <v>Small</v>
      </c>
      <c r="U241" t="str" cm="1">
        <f t="array" ref="U241">_xlfn.IFS(clean_data[[#This Row],[profit margin%]]&lt;0.5,"Low Profit",
     clean_data[[#This Row],[profit margin%]]&lt;0.6,"Medium Profit",
     TRUE,"High Profit")</f>
        <v>Medium Profit</v>
      </c>
      <c r="V241" t="str">
        <f>TEXT(clean_data[[#This Row],[Date]],"mmm-yyyy")</f>
        <v>Feb-2023</v>
      </c>
      <c r="W241" s="8">
        <f>EOMONTH(clean_data[[#This Row],[Date]],-1)+1</f>
        <v>44958</v>
      </c>
    </row>
    <row r="242" spans="1:23" x14ac:dyDescent="0.3">
      <c r="A242" t="s">
        <v>314</v>
      </c>
      <c r="B242" s="1">
        <v>45408</v>
      </c>
      <c r="C242" t="s">
        <v>58</v>
      </c>
      <c r="D242" t="s">
        <v>84</v>
      </c>
      <c r="E242" t="s">
        <v>60</v>
      </c>
      <c r="F242" t="s">
        <v>65</v>
      </c>
      <c r="G242" t="s">
        <v>79</v>
      </c>
      <c r="H242">
        <v>26</v>
      </c>
      <c r="I242">
        <v>900</v>
      </c>
      <c r="J242">
        <v>20</v>
      </c>
      <c r="K242">
        <v>18720</v>
      </c>
      <c r="L242">
        <v>8424</v>
      </c>
      <c r="M242">
        <v>10296</v>
      </c>
      <c r="N242" t="s">
        <v>22</v>
      </c>
      <c r="O242" t="s">
        <v>23</v>
      </c>
      <c r="P242" t="s">
        <v>40</v>
      </c>
      <c r="Q242" t="str">
        <f>TEXT(clean_data[[#This Row],[Date]],"mmm")</f>
        <v>Apr</v>
      </c>
      <c r="R242">
        <f>YEAR(clean_data[[#This Row],[Date]])</f>
        <v>2024</v>
      </c>
      <c r="S242" s="2">
        <f>clean_data[[#This Row],[Profit]]/clean_data[[#This Row],[Revenue]]</f>
        <v>0.55000000000000004</v>
      </c>
      <c r="T242" t="str" cm="1">
        <f t="array" ref="T242">_xlfn.IFS(clean_data[[#This Row],[Revenue]]&lt;300000,"Small",
     clean_data[[#This Row],[Revenue]]&lt;700000,"Medium",
     TRUE,"Large")</f>
        <v>Small</v>
      </c>
      <c r="U242" t="str" cm="1">
        <f t="array" ref="U242">_xlfn.IFS(clean_data[[#This Row],[profit margin%]]&lt;0.5,"Low Profit",
     clean_data[[#This Row],[profit margin%]]&lt;0.6,"Medium Profit",
     TRUE,"High Profit")</f>
        <v>Medium Profit</v>
      </c>
      <c r="V242" t="str">
        <f>TEXT(clean_data[[#This Row],[Date]],"mmm-yyyy")</f>
        <v>Apr-2024</v>
      </c>
      <c r="W242" s="8">
        <f>EOMONTH(clean_data[[#This Row],[Date]],-1)+1</f>
        <v>45383</v>
      </c>
    </row>
    <row r="243" spans="1:23" x14ac:dyDescent="0.3">
      <c r="A243" t="s">
        <v>315</v>
      </c>
      <c r="B243" s="1">
        <v>45598</v>
      </c>
      <c r="C243" t="s">
        <v>17</v>
      </c>
      <c r="D243" t="s">
        <v>42</v>
      </c>
      <c r="E243" t="s">
        <v>111</v>
      </c>
      <c r="F243" t="s">
        <v>28</v>
      </c>
      <c r="G243" t="s">
        <v>95</v>
      </c>
      <c r="H243">
        <v>50</v>
      </c>
      <c r="I243">
        <v>75000</v>
      </c>
      <c r="J243">
        <v>5</v>
      </c>
      <c r="K243">
        <v>3562500</v>
      </c>
      <c r="L243">
        <v>1959375</v>
      </c>
      <c r="M243">
        <v>1603125</v>
      </c>
      <c r="N243" t="s">
        <v>30</v>
      </c>
      <c r="O243" t="s">
        <v>67</v>
      </c>
      <c r="P243" t="s">
        <v>24</v>
      </c>
      <c r="Q243" t="str">
        <f>TEXT(clean_data[[#This Row],[Date]],"mmm")</f>
        <v>Nov</v>
      </c>
      <c r="R243">
        <f>YEAR(clean_data[[#This Row],[Date]])</f>
        <v>2024</v>
      </c>
      <c r="S243" s="2">
        <f>clean_data[[#This Row],[Profit]]/clean_data[[#This Row],[Revenue]]</f>
        <v>0.45</v>
      </c>
      <c r="T243" t="str" cm="1">
        <f t="array" ref="T243">_xlfn.IFS(clean_data[[#This Row],[Revenue]]&lt;300000,"Small",
     clean_data[[#This Row],[Revenue]]&lt;700000,"Medium",
     TRUE,"Large")</f>
        <v>Large</v>
      </c>
      <c r="U243" t="str" cm="1">
        <f t="array" ref="U243">_xlfn.IFS(clean_data[[#This Row],[profit margin%]]&lt;0.5,"Low Profit",
     clean_data[[#This Row],[profit margin%]]&lt;0.6,"Medium Profit",
     TRUE,"High Profit")</f>
        <v>Low Profit</v>
      </c>
      <c r="V243" t="str">
        <f>TEXT(clean_data[[#This Row],[Date]],"mmm-yyyy")</f>
        <v>Nov-2024</v>
      </c>
      <c r="W243" s="8">
        <f>EOMONTH(clean_data[[#This Row],[Date]],-1)+1</f>
        <v>45597</v>
      </c>
    </row>
    <row r="244" spans="1:23" x14ac:dyDescent="0.3">
      <c r="A244" t="s">
        <v>316</v>
      </c>
      <c r="B244" s="1">
        <v>44639</v>
      </c>
      <c r="C244" t="s">
        <v>58</v>
      </c>
      <c r="D244" t="s">
        <v>59</v>
      </c>
      <c r="E244" t="s">
        <v>32</v>
      </c>
      <c r="F244" t="s">
        <v>28</v>
      </c>
      <c r="G244" t="s">
        <v>95</v>
      </c>
      <c r="H244">
        <v>7</v>
      </c>
      <c r="I244">
        <v>75000</v>
      </c>
      <c r="J244">
        <v>10</v>
      </c>
      <c r="K244">
        <v>472500</v>
      </c>
      <c r="L244">
        <v>259875</v>
      </c>
      <c r="M244">
        <v>212625</v>
      </c>
      <c r="N244" t="s">
        <v>22</v>
      </c>
      <c r="O244" t="s">
        <v>67</v>
      </c>
      <c r="P244" t="s">
        <v>24</v>
      </c>
      <c r="Q244" t="str">
        <f>TEXT(clean_data[[#This Row],[Date]],"mmm")</f>
        <v>Mar</v>
      </c>
      <c r="R244">
        <f>YEAR(clean_data[[#This Row],[Date]])</f>
        <v>2022</v>
      </c>
      <c r="S244" s="2">
        <f>clean_data[[#This Row],[Profit]]/clean_data[[#This Row],[Revenue]]</f>
        <v>0.45</v>
      </c>
      <c r="T244" t="str" cm="1">
        <f t="array" ref="T244">_xlfn.IFS(clean_data[[#This Row],[Revenue]]&lt;300000,"Small",
     clean_data[[#This Row],[Revenue]]&lt;700000,"Medium",
     TRUE,"Large")</f>
        <v>Medium</v>
      </c>
      <c r="U244" t="str" cm="1">
        <f t="array" ref="U244">_xlfn.IFS(clean_data[[#This Row],[profit margin%]]&lt;0.5,"Low Profit",
     clean_data[[#This Row],[profit margin%]]&lt;0.6,"Medium Profit",
     TRUE,"High Profit")</f>
        <v>Low Profit</v>
      </c>
      <c r="V244" t="str">
        <f>TEXT(clean_data[[#This Row],[Date]],"mmm-yyyy")</f>
        <v>Mar-2022</v>
      </c>
      <c r="W244" s="8">
        <f>EOMONTH(clean_data[[#This Row],[Date]],-1)+1</f>
        <v>44621</v>
      </c>
    </row>
    <row r="245" spans="1:23" x14ac:dyDescent="0.3">
      <c r="A245" t="s">
        <v>317</v>
      </c>
      <c r="B245" s="1">
        <v>45645</v>
      </c>
      <c r="C245" t="s">
        <v>46</v>
      </c>
      <c r="D245" t="s">
        <v>55</v>
      </c>
      <c r="E245" t="s">
        <v>70</v>
      </c>
      <c r="F245" t="s">
        <v>65</v>
      </c>
      <c r="G245" t="s">
        <v>66</v>
      </c>
      <c r="H245">
        <v>50</v>
      </c>
      <c r="I245">
        <v>5500</v>
      </c>
      <c r="J245">
        <v>20</v>
      </c>
      <c r="K245">
        <v>220000</v>
      </c>
      <c r="L245">
        <v>99000</v>
      </c>
      <c r="M245">
        <v>121000</v>
      </c>
      <c r="N245" t="s">
        <v>30</v>
      </c>
      <c r="O245" t="s">
        <v>50</v>
      </c>
      <c r="P245" t="s">
        <v>40</v>
      </c>
      <c r="Q245" t="str">
        <f>TEXT(clean_data[[#This Row],[Date]],"mmm")</f>
        <v>Dec</v>
      </c>
      <c r="R245">
        <f>YEAR(clean_data[[#This Row],[Date]])</f>
        <v>2024</v>
      </c>
      <c r="S245" s="2">
        <f>clean_data[[#This Row],[Profit]]/clean_data[[#This Row],[Revenue]]</f>
        <v>0.55000000000000004</v>
      </c>
      <c r="T245" t="str" cm="1">
        <f t="array" ref="T245">_xlfn.IFS(clean_data[[#This Row],[Revenue]]&lt;300000,"Small",
     clean_data[[#This Row],[Revenue]]&lt;700000,"Medium",
     TRUE,"Large")</f>
        <v>Small</v>
      </c>
      <c r="U245" t="str" cm="1">
        <f t="array" ref="U245">_xlfn.IFS(clean_data[[#This Row],[profit margin%]]&lt;0.5,"Low Profit",
     clean_data[[#This Row],[profit margin%]]&lt;0.6,"Medium Profit",
     TRUE,"High Profit")</f>
        <v>Medium Profit</v>
      </c>
      <c r="V245" t="str">
        <f>TEXT(clean_data[[#This Row],[Date]],"mmm-yyyy")</f>
        <v>Dec-2024</v>
      </c>
      <c r="W245" s="8">
        <f>EOMONTH(clean_data[[#This Row],[Date]],-1)+1</f>
        <v>45627</v>
      </c>
    </row>
    <row r="246" spans="1:23" x14ac:dyDescent="0.3">
      <c r="A246" t="s">
        <v>318</v>
      </c>
      <c r="B246" s="1">
        <v>44608</v>
      </c>
      <c r="C246" t="s">
        <v>26</v>
      </c>
      <c r="D246" t="s">
        <v>69</v>
      </c>
      <c r="E246" t="s">
        <v>32</v>
      </c>
      <c r="F246" t="s">
        <v>28</v>
      </c>
      <c r="G246" t="s">
        <v>95</v>
      </c>
      <c r="H246">
        <v>47</v>
      </c>
      <c r="I246">
        <v>75000</v>
      </c>
      <c r="J246">
        <v>5</v>
      </c>
      <c r="K246">
        <v>3348750</v>
      </c>
      <c r="L246">
        <v>1841812.5</v>
      </c>
      <c r="M246">
        <v>1506937.5</v>
      </c>
      <c r="N246" t="s">
        <v>49</v>
      </c>
      <c r="O246" t="s">
        <v>50</v>
      </c>
      <c r="P246" t="s">
        <v>24</v>
      </c>
      <c r="Q246" t="str">
        <f>TEXT(clean_data[[#This Row],[Date]],"mmm")</f>
        <v>Feb</v>
      </c>
      <c r="R246">
        <f>YEAR(clean_data[[#This Row],[Date]])</f>
        <v>2022</v>
      </c>
      <c r="S246" s="2">
        <f>clean_data[[#This Row],[Profit]]/clean_data[[#This Row],[Revenue]]</f>
        <v>0.45</v>
      </c>
      <c r="T246" t="str" cm="1">
        <f t="array" ref="T246">_xlfn.IFS(clean_data[[#This Row],[Revenue]]&lt;300000,"Small",
     clean_data[[#This Row],[Revenue]]&lt;700000,"Medium",
     TRUE,"Large")</f>
        <v>Large</v>
      </c>
      <c r="U246" t="str" cm="1">
        <f t="array" ref="U246">_xlfn.IFS(clean_data[[#This Row],[profit margin%]]&lt;0.5,"Low Profit",
     clean_data[[#This Row],[profit margin%]]&lt;0.6,"Medium Profit",
     TRUE,"High Profit")</f>
        <v>Low Profit</v>
      </c>
      <c r="V246" t="str">
        <f>TEXT(clean_data[[#This Row],[Date]],"mmm-yyyy")</f>
        <v>Feb-2022</v>
      </c>
      <c r="W246" s="8">
        <f>EOMONTH(clean_data[[#This Row],[Date]],-1)+1</f>
        <v>44593</v>
      </c>
    </row>
    <row r="247" spans="1:23" x14ac:dyDescent="0.3">
      <c r="A247" t="s">
        <v>319</v>
      </c>
      <c r="B247" s="1">
        <v>45469</v>
      </c>
      <c r="C247" t="s">
        <v>46</v>
      </c>
      <c r="D247" t="s">
        <v>55</v>
      </c>
      <c r="E247" t="s">
        <v>70</v>
      </c>
      <c r="F247" t="s">
        <v>65</v>
      </c>
      <c r="G247" t="s">
        <v>117</v>
      </c>
      <c r="H247">
        <v>29</v>
      </c>
      <c r="I247">
        <v>1200</v>
      </c>
      <c r="J247">
        <v>15</v>
      </c>
      <c r="K247">
        <v>29580</v>
      </c>
      <c r="L247">
        <v>13311</v>
      </c>
      <c r="M247">
        <v>16269</v>
      </c>
      <c r="N247" t="s">
        <v>30</v>
      </c>
      <c r="O247" t="s">
        <v>50</v>
      </c>
      <c r="P247" t="s">
        <v>24</v>
      </c>
      <c r="Q247" t="str">
        <f>TEXT(clean_data[[#This Row],[Date]],"mmm")</f>
        <v>Jun</v>
      </c>
      <c r="R247">
        <f>YEAR(clean_data[[#This Row],[Date]])</f>
        <v>2024</v>
      </c>
      <c r="S247" s="2">
        <f>clean_data[[#This Row],[Profit]]/clean_data[[#This Row],[Revenue]]</f>
        <v>0.55000000000000004</v>
      </c>
      <c r="T247" t="str" cm="1">
        <f t="array" ref="T247">_xlfn.IFS(clean_data[[#This Row],[Revenue]]&lt;300000,"Small",
     clean_data[[#This Row],[Revenue]]&lt;700000,"Medium",
     TRUE,"Large")</f>
        <v>Small</v>
      </c>
      <c r="U247" t="str" cm="1">
        <f t="array" ref="U247">_xlfn.IFS(clean_data[[#This Row],[profit margin%]]&lt;0.5,"Low Profit",
     clean_data[[#This Row],[profit margin%]]&lt;0.6,"Medium Profit",
     TRUE,"High Profit")</f>
        <v>Medium Profit</v>
      </c>
      <c r="V247" t="str">
        <f>TEXT(clean_data[[#This Row],[Date]],"mmm-yyyy")</f>
        <v>Jun-2024</v>
      </c>
      <c r="W247" s="8">
        <f>EOMONTH(clean_data[[#This Row],[Date]],-1)+1</f>
        <v>45444</v>
      </c>
    </row>
    <row r="248" spans="1:23" x14ac:dyDescent="0.3">
      <c r="A248" t="s">
        <v>320</v>
      </c>
      <c r="B248" s="1">
        <v>44646</v>
      </c>
      <c r="C248" t="s">
        <v>26</v>
      </c>
      <c r="D248" t="s">
        <v>27</v>
      </c>
      <c r="E248" t="s">
        <v>70</v>
      </c>
      <c r="F248" t="s">
        <v>28</v>
      </c>
      <c r="G248" t="s">
        <v>87</v>
      </c>
      <c r="H248">
        <v>48</v>
      </c>
      <c r="I248">
        <v>45000</v>
      </c>
      <c r="J248">
        <v>5</v>
      </c>
      <c r="K248">
        <v>2052000</v>
      </c>
      <c r="L248">
        <v>1128600</v>
      </c>
      <c r="M248">
        <v>923400</v>
      </c>
      <c r="N248" t="s">
        <v>30</v>
      </c>
      <c r="O248" t="s">
        <v>67</v>
      </c>
      <c r="P248" t="s">
        <v>40</v>
      </c>
      <c r="Q248" t="str">
        <f>TEXT(clean_data[[#This Row],[Date]],"mmm")</f>
        <v>Mar</v>
      </c>
      <c r="R248">
        <f>YEAR(clean_data[[#This Row],[Date]])</f>
        <v>2022</v>
      </c>
      <c r="S248" s="2">
        <f>clean_data[[#This Row],[Profit]]/clean_data[[#This Row],[Revenue]]</f>
        <v>0.45</v>
      </c>
      <c r="T248" t="str" cm="1">
        <f t="array" ref="T248">_xlfn.IFS(clean_data[[#This Row],[Revenue]]&lt;300000,"Small",
     clean_data[[#This Row],[Revenue]]&lt;700000,"Medium",
     TRUE,"Large")</f>
        <v>Large</v>
      </c>
      <c r="U248" t="str" cm="1">
        <f t="array" ref="U248">_xlfn.IFS(clean_data[[#This Row],[profit margin%]]&lt;0.5,"Low Profit",
     clean_data[[#This Row],[profit margin%]]&lt;0.6,"Medium Profit",
     TRUE,"High Profit")</f>
        <v>Low Profit</v>
      </c>
      <c r="V248" t="str">
        <f>TEXT(clean_data[[#This Row],[Date]],"mmm-yyyy")</f>
        <v>Mar-2022</v>
      </c>
      <c r="W248" s="8">
        <f>EOMONTH(clean_data[[#This Row],[Date]],-1)+1</f>
        <v>44621</v>
      </c>
    </row>
    <row r="249" spans="1:23" x14ac:dyDescent="0.3">
      <c r="A249" t="s">
        <v>321</v>
      </c>
      <c r="B249" s="1">
        <v>44876</v>
      </c>
      <c r="C249" t="s">
        <v>58</v>
      </c>
      <c r="D249" t="s">
        <v>59</v>
      </c>
      <c r="E249" t="s">
        <v>19</v>
      </c>
      <c r="F249" t="s">
        <v>65</v>
      </c>
      <c r="G249" t="s">
        <v>104</v>
      </c>
      <c r="H249">
        <v>12</v>
      </c>
      <c r="I249">
        <v>3000</v>
      </c>
      <c r="J249">
        <v>15</v>
      </c>
      <c r="K249">
        <v>30600</v>
      </c>
      <c r="L249">
        <v>13770</v>
      </c>
      <c r="M249">
        <v>16830</v>
      </c>
      <c r="N249" t="s">
        <v>30</v>
      </c>
      <c r="O249" t="s">
        <v>67</v>
      </c>
      <c r="P249" t="s">
        <v>24</v>
      </c>
      <c r="Q249" t="str">
        <f>TEXT(clean_data[[#This Row],[Date]],"mmm")</f>
        <v>Nov</v>
      </c>
      <c r="R249">
        <f>YEAR(clean_data[[#This Row],[Date]])</f>
        <v>2022</v>
      </c>
      <c r="S249" s="2">
        <f>clean_data[[#This Row],[Profit]]/clean_data[[#This Row],[Revenue]]</f>
        <v>0.55000000000000004</v>
      </c>
      <c r="T249" t="str" cm="1">
        <f t="array" ref="T249">_xlfn.IFS(clean_data[[#This Row],[Revenue]]&lt;300000,"Small",
     clean_data[[#This Row],[Revenue]]&lt;700000,"Medium",
     TRUE,"Large")</f>
        <v>Small</v>
      </c>
      <c r="U249" t="str" cm="1">
        <f t="array" ref="U249">_xlfn.IFS(clean_data[[#This Row],[profit margin%]]&lt;0.5,"Low Profit",
     clean_data[[#This Row],[profit margin%]]&lt;0.6,"Medium Profit",
     TRUE,"High Profit")</f>
        <v>Medium Profit</v>
      </c>
      <c r="V249" t="str">
        <f>TEXT(clean_data[[#This Row],[Date]],"mmm-yyyy")</f>
        <v>Nov-2022</v>
      </c>
      <c r="W249" s="8">
        <f>EOMONTH(clean_data[[#This Row],[Date]],-1)+1</f>
        <v>44866</v>
      </c>
    </row>
    <row r="250" spans="1:23" x14ac:dyDescent="0.3">
      <c r="A250" t="s">
        <v>322</v>
      </c>
      <c r="B250" s="1">
        <v>44941</v>
      </c>
      <c r="C250" t="s">
        <v>58</v>
      </c>
      <c r="D250" t="s">
        <v>59</v>
      </c>
      <c r="E250" t="s">
        <v>56</v>
      </c>
      <c r="F250" t="s">
        <v>20</v>
      </c>
      <c r="G250" t="s">
        <v>74</v>
      </c>
      <c r="H250">
        <v>18</v>
      </c>
      <c r="I250">
        <v>4200</v>
      </c>
      <c r="J250">
        <v>0</v>
      </c>
      <c r="K250">
        <v>75600</v>
      </c>
      <c r="L250">
        <v>30240</v>
      </c>
      <c r="M250">
        <v>45360</v>
      </c>
      <c r="N250" t="s">
        <v>30</v>
      </c>
      <c r="O250" t="s">
        <v>67</v>
      </c>
      <c r="P250" t="s">
        <v>40</v>
      </c>
      <c r="Q250" t="str">
        <f>TEXT(clean_data[[#This Row],[Date]],"mmm")</f>
        <v>Jan</v>
      </c>
      <c r="R250">
        <f>YEAR(clean_data[[#This Row],[Date]])</f>
        <v>2023</v>
      </c>
      <c r="S250" s="2">
        <f>clean_data[[#This Row],[Profit]]/clean_data[[#This Row],[Revenue]]</f>
        <v>0.6</v>
      </c>
      <c r="T250" t="str" cm="1">
        <f t="array" ref="T250">_xlfn.IFS(clean_data[[#This Row],[Revenue]]&lt;300000,"Small",
     clean_data[[#This Row],[Revenue]]&lt;700000,"Medium",
     TRUE,"Large")</f>
        <v>Small</v>
      </c>
      <c r="U250" t="str" cm="1">
        <f t="array" ref="U250">_xlfn.IFS(clean_data[[#This Row],[profit margin%]]&lt;0.5,"Low Profit",
     clean_data[[#This Row],[profit margin%]]&lt;0.6,"Medium Profit",
     TRUE,"High Profit")</f>
        <v>High Profit</v>
      </c>
      <c r="V250" t="str">
        <f>TEXT(clean_data[[#This Row],[Date]],"mmm-yyyy")</f>
        <v>Jan-2023</v>
      </c>
      <c r="W250" s="8">
        <f>EOMONTH(clean_data[[#This Row],[Date]],-1)+1</f>
        <v>44927</v>
      </c>
    </row>
    <row r="251" spans="1:23" x14ac:dyDescent="0.3">
      <c r="A251" t="s">
        <v>323</v>
      </c>
      <c r="B251" s="1">
        <v>44907</v>
      </c>
      <c r="C251" t="s">
        <v>17</v>
      </c>
      <c r="D251" t="s">
        <v>18</v>
      </c>
      <c r="E251" t="s">
        <v>60</v>
      </c>
      <c r="F251" t="s">
        <v>28</v>
      </c>
      <c r="G251" t="s">
        <v>71</v>
      </c>
      <c r="H251">
        <v>43</v>
      </c>
      <c r="I251">
        <v>35000</v>
      </c>
      <c r="J251">
        <v>15</v>
      </c>
      <c r="K251">
        <v>1279250</v>
      </c>
      <c r="L251">
        <v>703587.5</v>
      </c>
      <c r="M251">
        <v>575662.5</v>
      </c>
      <c r="N251" t="s">
        <v>22</v>
      </c>
      <c r="O251" t="s">
        <v>50</v>
      </c>
      <c r="P251" t="s">
        <v>40</v>
      </c>
      <c r="Q251" t="str">
        <f>TEXT(clean_data[[#This Row],[Date]],"mmm")</f>
        <v>Dec</v>
      </c>
      <c r="R251">
        <f>YEAR(clean_data[[#This Row],[Date]])</f>
        <v>2022</v>
      </c>
      <c r="S251" s="2">
        <f>clean_data[[#This Row],[Profit]]/clean_data[[#This Row],[Revenue]]</f>
        <v>0.45</v>
      </c>
      <c r="T251" t="str" cm="1">
        <f t="array" ref="T251">_xlfn.IFS(clean_data[[#This Row],[Revenue]]&lt;300000,"Small",
     clean_data[[#This Row],[Revenue]]&lt;700000,"Medium",
     TRUE,"Large")</f>
        <v>Large</v>
      </c>
      <c r="U251" t="str" cm="1">
        <f t="array" ref="U251">_xlfn.IFS(clean_data[[#This Row],[profit margin%]]&lt;0.5,"Low Profit",
     clean_data[[#This Row],[profit margin%]]&lt;0.6,"Medium Profit",
     TRUE,"High Profit")</f>
        <v>Low Profit</v>
      </c>
      <c r="V251" t="str">
        <f>TEXT(clean_data[[#This Row],[Date]],"mmm-yyyy")</f>
        <v>Dec-2022</v>
      </c>
      <c r="W251" s="8">
        <f>EOMONTH(clean_data[[#This Row],[Date]],-1)+1</f>
        <v>44896</v>
      </c>
    </row>
    <row r="252" spans="1:23" x14ac:dyDescent="0.3">
      <c r="A252" t="s">
        <v>324</v>
      </c>
      <c r="B252" s="1">
        <v>45311</v>
      </c>
      <c r="C252" t="s">
        <v>58</v>
      </c>
      <c r="D252" t="s">
        <v>64</v>
      </c>
      <c r="E252" t="s">
        <v>52</v>
      </c>
      <c r="F252" t="s">
        <v>33</v>
      </c>
      <c r="G252" t="s">
        <v>34</v>
      </c>
      <c r="H252">
        <v>30</v>
      </c>
      <c r="I252">
        <v>25000</v>
      </c>
      <c r="J252">
        <v>20</v>
      </c>
      <c r="K252">
        <v>600000</v>
      </c>
      <c r="L252">
        <v>300000</v>
      </c>
      <c r="M252">
        <v>300000</v>
      </c>
      <c r="N252" t="s">
        <v>22</v>
      </c>
      <c r="O252" t="s">
        <v>50</v>
      </c>
      <c r="P252" t="s">
        <v>24</v>
      </c>
      <c r="Q252" t="str">
        <f>TEXT(clean_data[[#This Row],[Date]],"mmm")</f>
        <v>Jan</v>
      </c>
      <c r="R252">
        <f>YEAR(clean_data[[#This Row],[Date]])</f>
        <v>2024</v>
      </c>
      <c r="S252" s="2">
        <f>clean_data[[#This Row],[Profit]]/clean_data[[#This Row],[Revenue]]</f>
        <v>0.5</v>
      </c>
      <c r="T252" t="str" cm="1">
        <f t="array" ref="T252">_xlfn.IFS(clean_data[[#This Row],[Revenue]]&lt;300000,"Small",
     clean_data[[#This Row],[Revenue]]&lt;700000,"Medium",
     TRUE,"Large")</f>
        <v>Medium</v>
      </c>
      <c r="U252" t="str" cm="1">
        <f t="array" ref="U252">_xlfn.IFS(clean_data[[#This Row],[profit margin%]]&lt;0.5,"Low Profit",
     clean_data[[#This Row],[profit margin%]]&lt;0.6,"Medium Profit",
     TRUE,"High Profit")</f>
        <v>Medium Profit</v>
      </c>
      <c r="V252" t="str">
        <f>TEXT(clean_data[[#This Row],[Date]],"mmm-yyyy")</f>
        <v>Jan-2024</v>
      </c>
      <c r="W252" s="8">
        <f>EOMONTH(clean_data[[#This Row],[Date]],-1)+1</f>
        <v>45292</v>
      </c>
    </row>
    <row r="253" spans="1:23" x14ac:dyDescent="0.3">
      <c r="A253" t="s">
        <v>325</v>
      </c>
      <c r="B253" s="1">
        <v>44734</v>
      </c>
      <c r="C253" t="s">
        <v>46</v>
      </c>
      <c r="D253" t="s">
        <v>55</v>
      </c>
      <c r="E253" t="s">
        <v>52</v>
      </c>
      <c r="F253" t="s">
        <v>20</v>
      </c>
      <c r="G253" t="s">
        <v>61</v>
      </c>
      <c r="H253">
        <v>8</v>
      </c>
      <c r="I253">
        <v>800</v>
      </c>
      <c r="J253">
        <v>5</v>
      </c>
      <c r="K253">
        <v>6080</v>
      </c>
      <c r="L253">
        <v>2432</v>
      </c>
      <c r="M253">
        <v>3648</v>
      </c>
      <c r="N253" t="s">
        <v>22</v>
      </c>
      <c r="O253" t="s">
        <v>44</v>
      </c>
      <c r="P253" t="s">
        <v>24</v>
      </c>
      <c r="Q253" t="str">
        <f>TEXT(clean_data[[#This Row],[Date]],"mmm")</f>
        <v>Jun</v>
      </c>
      <c r="R253">
        <f>YEAR(clean_data[[#This Row],[Date]])</f>
        <v>2022</v>
      </c>
      <c r="S253" s="2">
        <f>clean_data[[#This Row],[Profit]]/clean_data[[#This Row],[Revenue]]</f>
        <v>0.6</v>
      </c>
      <c r="T253" t="str" cm="1">
        <f t="array" ref="T253">_xlfn.IFS(clean_data[[#This Row],[Revenue]]&lt;300000,"Small",
     clean_data[[#This Row],[Revenue]]&lt;700000,"Medium",
     TRUE,"Large")</f>
        <v>Small</v>
      </c>
      <c r="U253" t="str" cm="1">
        <f t="array" ref="U253">_xlfn.IFS(clean_data[[#This Row],[profit margin%]]&lt;0.5,"Low Profit",
     clean_data[[#This Row],[profit margin%]]&lt;0.6,"Medium Profit",
     TRUE,"High Profit")</f>
        <v>High Profit</v>
      </c>
      <c r="V253" t="str">
        <f>TEXT(clean_data[[#This Row],[Date]],"mmm-yyyy")</f>
        <v>Jun-2022</v>
      </c>
      <c r="W253" s="8">
        <f>EOMONTH(clean_data[[#This Row],[Date]],-1)+1</f>
        <v>44713</v>
      </c>
    </row>
    <row r="254" spans="1:23" x14ac:dyDescent="0.3">
      <c r="A254" t="s">
        <v>326</v>
      </c>
      <c r="B254" s="1">
        <v>45548</v>
      </c>
      <c r="C254" t="s">
        <v>58</v>
      </c>
      <c r="D254" t="s">
        <v>64</v>
      </c>
      <c r="E254" t="s">
        <v>78</v>
      </c>
      <c r="F254" t="s">
        <v>65</v>
      </c>
      <c r="G254" t="s">
        <v>66</v>
      </c>
      <c r="H254">
        <v>12</v>
      </c>
      <c r="I254">
        <v>5500</v>
      </c>
      <c r="J254">
        <v>15</v>
      </c>
      <c r="K254">
        <v>56100</v>
      </c>
      <c r="L254">
        <v>25245</v>
      </c>
      <c r="M254">
        <v>30855</v>
      </c>
      <c r="N254" t="s">
        <v>22</v>
      </c>
      <c r="O254" t="s">
        <v>44</v>
      </c>
      <c r="P254" t="s">
        <v>40</v>
      </c>
      <c r="Q254" t="str">
        <f>TEXT(clean_data[[#This Row],[Date]],"mmm")</f>
        <v>Sep</v>
      </c>
      <c r="R254">
        <f>YEAR(clean_data[[#This Row],[Date]])</f>
        <v>2024</v>
      </c>
      <c r="S254" s="2">
        <f>clean_data[[#This Row],[Profit]]/clean_data[[#This Row],[Revenue]]</f>
        <v>0.55000000000000004</v>
      </c>
      <c r="T254" t="str" cm="1">
        <f t="array" ref="T254">_xlfn.IFS(clean_data[[#This Row],[Revenue]]&lt;300000,"Small",
     clean_data[[#This Row],[Revenue]]&lt;700000,"Medium",
     TRUE,"Large")</f>
        <v>Small</v>
      </c>
      <c r="U254" t="str" cm="1">
        <f t="array" ref="U254">_xlfn.IFS(clean_data[[#This Row],[profit margin%]]&lt;0.5,"Low Profit",
     clean_data[[#This Row],[profit margin%]]&lt;0.6,"Medium Profit",
     TRUE,"High Profit")</f>
        <v>Medium Profit</v>
      </c>
      <c r="V254" t="str">
        <f>TEXT(clean_data[[#This Row],[Date]],"mmm-yyyy")</f>
        <v>Sep-2024</v>
      </c>
      <c r="W254" s="8">
        <f>EOMONTH(clean_data[[#This Row],[Date]],-1)+1</f>
        <v>45536</v>
      </c>
    </row>
    <row r="255" spans="1:23" x14ac:dyDescent="0.3">
      <c r="A255" t="s">
        <v>327</v>
      </c>
      <c r="B255" s="1">
        <v>45632</v>
      </c>
      <c r="C255" t="s">
        <v>58</v>
      </c>
      <c r="D255" t="s">
        <v>59</v>
      </c>
      <c r="E255" t="s">
        <v>78</v>
      </c>
      <c r="F255" t="s">
        <v>20</v>
      </c>
      <c r="G255" t="s">
        <v>61</v>
      </c>
      <c r="H255">
        <v>29</v>
      </c>
      <c r="I255">
        <v>800</v>
      </c>
      <c r="J255">
        <v>20</v>
      </c>
      <c r="K255">
        <v>18560</v>
      </c>
      <c r="L255">
        <v>7424</v>
      </c>
      <c r="M255">
        <v>11136</v>
      </c>
      <c r="N255" t="s">
        <v>49</v>
      </c>
      <c r="O255" t="s">
        <v>35</v>
      </c>
      <c r="P255" t="s">
        <v>24</v>
      </c>
      <c r="Q255" t="str">
        <f>TEXT(clean_data[[#This Row],[Date]],"mmm")</f>
        <v>Dec</v>
      </c>
      <c r="R255">
        <f>YEAR(clean_data[[#This Row],[Date]])</f>
        <v>2024</v>
      </c>
      <c r="S255" s="2">
        <f>clean_data[[#This Row],[Profit]]/clean_data[[#This Row],[Revenue]]</f>
        <v>0.6</v>
      </c>
      <c r="T255" t="str" cm="1">
        <f t="array" ref="T255">_xlfn.IFS(clean_data[[#This Row],[Revenue]]&lt;300000,"Small",
     clean_data[[#This Row],[Revenue]]&lt;700000,"Medium",
     TRUE,"Large")</f>
        <v>Small</v>
      </c>
      <c r="U255" t="str" cm="1">
        <f t="array" ref="U255">_xlfn.IFS(clean_data[[#This Row],[profit margin%]]&lt;0.5,"Low Profit",
     clean_data[[#This Row],[profit margin%]]&lt;0.6,"Medium Profit",
     TRUE,"High Profit")</f>
        <v>High Profit</v>
      </c>
      <c r="V255" t="str">
        <f>TEXT(clean_data[[#This Row],[Date]],"mmm-yyyy")</f>
        <v>Dec-2024</v>
      </c>
      <c r="W255" s="8">
        <f>EOMONTH(clean_data[[#This Row],[Date]],-1)+1</f>
        <v>45627</v>
      </c>
    </row>
    <row r="256" spans="1:23" x14ac:dyDescent="0.3">
      <c r="A256" t="s">
        <v>328</v>
      </c>
      <c r="B256" s="1">
        <v>45509</v>
      </c>
      <c r="C256" t="s">
        <v>46</v>
      </c>
      <c r="D256" t="s">
        <v>55</v>
      </c>
      <c r="E256" t="s">
        <v>111</v>
      </c>
      <c r="F256" t="s">
        <v>65</v>
      </c>
      <c r="G256" t="s">
        <v>66</v>
      </c>
      <c r="H256">
        <v>44</v>
      </c>
      <c r="I256">
        <v>5500</v>
      </c>
      <c r="J256">
        <v>15</v>
      </c>
      <c r="K256">
        <v>205700</v>
      </c>
      <c r="L256">
        <v>92565</v>
      </c>
      <c r="M256">
        <v>113135</v>
      </c>
      <c r="N256" t="s">
        <v>22</v>
      </c>
      <c r="O256" t="s">
        <v>23</v>
      </c>
      <c r="P256" t="s">
        <v>24</v>
      </c>
      <c r="Q256" t="str">
        <f>TEXT(clean_data[[#This Row],[Date]],"mmm")</f>
        <v>Aug</v>
      </c>
      <c r="R256">
        <f>YEAR(clean_data[[#This Row],[Date]])</f>
        <v>2024</v>
      </c>
      <c r="S256" s="2">
        <f>clean_data[[#This Row],[Profit]]/clean_data[[#This Row],[Revenue]]</f>
        <v>0.55000000000000004</v>
      </c>
      <c r="T256" t="str" cm="1">
        <f t="array" ref="T256">_xlfn.IFS(clean_data[[#This Row],[Revenue]]&lt;300000,"Small",
     clean_data[[#This Row],[Revenue]]&lt;700000,"Medium",
     TRUE,"Large")</f>
        <v>Small</v>
      </c>
      <c r="U256" t="str" cm="1">
        <f t="array" ref="U256">_xlfn.IFS(clean_data[[#This Row],[profit margin%]]&lt;0.5,"Low Profit",
     clean_data[[#This Row],[profit margin%]]&lt;0.6,"Medium Profit",
     TRUE,"High Profit")</f>
        <v>Medium Profit</v>
      </c>
      <c r="V256" t="str">
        <f>TEXT(clean_data[[#This Row],[Date]],"mmm-yyyy")</f>
        <v>Aug-2024</v>
      </c>
      <c r="W256" s="8">
        <f>EOMONTH(clean_data[[#This Row],[Date]],-1)+1</f>
        <v>45505</v>
      </c>
    </row>
    <row r="257" spans="1:23" x14ac:dyDescent="0.3">
      <c r="A257" t="s">
        <v>329</v>
      </c>
      <c r="B257" s="1">
        <v>45510</v>
      </c>
      <c r="C257" t="s">
        <v>26</v>
      </c>
      <c r="D257" t="s">
        <v>27</v>
      </c>
      <c r="E257" t="s">
        <v>19</v>
      </c>
      <c r="F257" t="s">
        <v>33</v>
      </c>
      <c r="G257" t="s">
        <v>39</v>
      </c>
      <c r="H257">
        <v>18</v>
      </c>
      <c r="I257">
        <v>5000</v>
      </c>
      <c r="J257">
        <v>5</v>
      </c>
      <c r="K257">
        <v>85500</v>
      </c>
      <c r="L257">
        <v>42750</v>
      </c>
      <c r="M257">
        <v>42750</v>
      </c>
      <c r="N257" t="s">
        <v>49</v>
      </c>
      <c r="O257" t="s">
        <v>44</v>
      </c>
      <c r="P257" t="s">
        <v>40</v>
      </c>
      <c r="Q257" t="str">
        <f>TEXT(clean_data[[#This Row],[Date]],"mmm")</f>
        <v>Aug</v>
      </c>
      <c r="R257">
        <f>YEAR(clean_data[[#This Row],[Date]])</f>
        <v>2024</v>
      </c>
      <c r="S257" s="2">
        <f>clean_data[[#This Row],[Profit]]/clean_data[[#This Row],[Revenue]]</f>
        <v>0.5</v>
      </c>
      <c r="T257" t="str" cm="1">
        <f t="array" ref="T257">_xlfn.IFS(clean_data[[#This Row],[Revenue]]&lt;300000,"Small",
     clean_data[[#This Row],[Revenue]]&lt;700000,"Medium",
     TRUE,"Large")</f>
        <v>Small</v>
      </c>
      <c r="U257" t="str" cm="1">
        <f t="array" ref="U257">_xlfn.IFS(clean_data[[#This Row],[profit margin%]]&lt;0.5,"Low Profit",
     clean_data[[#This Row],[profit margin%]]&lt;0.6,"Medium Profit",
     TRUE,"High Profit")</f>
        <v>Medium Profit</v>
      </c>
      <c r="V257" t="str">
        <f>TEXT(clean_data[[#This Row],[Date]],"mmm-yyyy")</f>
        <v>Aug-2024</v>
      </c>
      <c r="W257" s="8">
        <f>EOMONTH(clean_data[[#This Row],[Date]],-1)+1</f>
        <v>45505</v>
      </c>
    </row>
    <row r="258" spans="1:23" x14ac:dyDescent="0.3">
      <c r="A258" t="s">
        <v>330</v>
      </c>
      <c r="B258" s="1">
        <v>45462</v>
      </c>
      <c r="C258" t="s">
        <v>58</v>
      </c>
      <c r="D258" t="s">
        <v>64</v>
      </c>
      <c r="E258" t="s">
        <v>111</v>
      </c>
      <c r="F258" t="s">
        <v>28</v>
      </c>
      <c r="G258" t="s">
        <v>29</v>
      </c>
      <c r="H258">
        <v>8</v>
      </c>
      <c r="I258">
        <v>15000</v>
      </c>
      <c r="J258">
        <v>10</v>
      </c>
      <c r="K258">
        <v>108000</v>
      </c>
      <c r="L258">
        <v>59400</v>
      </c>
      <c r="M258">
        <v>48600</v>
      </c>
      <c r="N258" t="s">
        <v>49</v>
      </c>
      <c r="O258" t="s">
        <v>67</v>
      </c>
      <c r="P258" t="s">
        <v>40</v>
      </c>
      <c r="Q258" t="str">
        <f>TEXT(clean_data[[#This Row],[Date]],"mmm")</f>
        <v>Jun</v>
      </c>
      <c r="R258">
        <f>YEAR(clean_data[[#This Row],[Date]])</f>
        <v>2024</v>
      </c>
      <c r="S258" s="2">
        <f>clean_data[[#This Row],[Profit]]/clean_data[[#This Row],[Revenue]]</f>
        <v>0.45</v>
      </c>
      <c r="T258" t="str" cm="1">
        <f t="array" ref="T258">_xlfn.IFS(clean_data[[#This Row],[Revenue]]&lt;300000,"Small",
     clean_data[[#This Row],[Revenue]]&lt;700000,"Medium",
     TRUE,"Large")</f>
        <v>Small</v>
      </c>
      <c r="U258" t="str" cm="1">
        <f t="array" ref="U258">_xlfn.IFS(clean_data[[#This Row],[profit margin%]]&lt;0.5,"Low Profit",
     clean_data[[#This Row],[profit margin%]]&lt;0.6,"Medium Profit",
     TRUE,"High Profit")</f>
        <v>Low Profit</v>
      </c>
      <c r="V258" t="str">
        <f>TEXT(clean_data[[#This Row],[Date]],"mmm-yyyy")</f>
        <v>Jun-2024</v>
      </c>
      <c r="W258" s="8">
        <f>EOMONTH(clean_data[[#This Row],[Date]],-1)+1</f>
        <v>45444</v>
      </c>
    </row>
    <row r="259" spans="1:23" x14ac:dyDescent="0.3">
      <c r="A259" t="s">
        <v>331</v>
      </c>
      <c r="B259" s="1">
        <v>44645</v>
      </c>
      <c r="C259" t="s">
        <v>58</v>
      </c>
      <c r="D259" t="s">
        <v>64</v>
      </c>
      <c r="E259" t="s">
        <v>19</v>
      </c>
      <c r="F259" t="s">
        <v>65</v>
      </c>
      <c r="G259" t="s">
        <v>117</v>
      </c>
      <c r="H259">
        <v>48</v>
      </c>
      <c r="I259">
        <v>1200</v>
      </c>
      <c r="J259">
        <v>5</v>
      </c>
      <c r="K259">
        <v>54720</v>
      </c>
      <c r="L259">
        <v>24624</v>
      </c>
      <c r="M259">
        <v>30096</v>
      </c>
      <c r="N259" t="s">
        <v>30</v>
      </c>
      <c r="O259" t="s">
        <v>23</v>
      </c>
      <c r="P259" t="s">
        <v>24</v>
      </c>
      <c r="Q259" t="str">
        <f>TEXT(clean_data[[#This Row],[Date]],"mmm")</f>
        <v>Mar</v>
      </c>
      <c r="R259">
        <f>YEAR(clean_data[[#This Row],[Date]])</f>
        <v>2022</v>
      </c>
      <c r="S259" s="2">
        <f>clean_data[[#This Row],[Profit]]/clean_data[[#This Row],[Revenue]]</f>
        <v>0.55000000000000004</v>
      </c>
      <c r="T259" t="str" cm="1">
        <f t="array" ref="T259">_xlfn.IFS(clean_data[[#This Row],[Revenue]]&lt;300000,"Small",
     clean_data[[#This Row],[Revenue]]&lt;700000,"Medium",
     TRUE,"Large")</f>
        <v>Small</v>
      </c>
      <c r="U259" t="str" cm="1">
        <f t="array" ref="U259">_xlfn.IFS(clean_data[[#This Row],[profit margin%]]&lt;0.5,"Low Profit",
     clean_data[[#This Row],[profit margin%]]&lt;0.6,"Medium Profit",
     TRUE,"High Profit")</f>
        <v>Medium Profit</v>
      </c>
      <c r="V259" t="str">
        <f>TEXT(clean_data[[#This Row],[Date]],"mmm-yyyy")</f>
        <v>Mar-2022</v>
      </c>
      <c r="W259" s="8">
        <f>EOMONTH(clean_data[[#This Row],[Date]],-1)+1</f>
        <v>44621</v>
      </c>
    </row>
    <row r="260" spans="1:23" x14ac:dyDescent="0.3">
      <c r="A260" t="s">
        <v>332</v>
      </c>
      <c r="B260" s="1">
        <v>45058</v>
      </c>
      <c r="C260" t="s">
        <v>26</v>
      </c>
      <c r="D260" t="s">
        <v>69</v>
      </c>
      <c r="E260" t="s">
        <v>52</v>
      </c>
      <c r="F260" t="s">
        <v>20</v>
      </c>
      <c r="G260" t="s">
        <v>74</v>
      </c>
      <c r="H260">
        <v>48</v>
      </c>
      <c r="I260">
        <v>4200</v>
      </c>
      <c r="J260">
        <v>20</v>
      </c>
      <c r="K260">
        <v>161280</v>
      </c>
      <c r="L260">
        <v>64512</v>
      </c>
      <c r="M260">
        <v>96768</v>
      </c>
      <c r="N260" t="s">
        <v>22</v>
      </c>
      <c r="O260" t="s">
        <v>67</v>
      </c>
      <c r="P260" t="s">
        <v>24</v>
      </c>
      <c r="Q260" t="str">
        <f>TEXT(clean_data[[#This Row],[Date]],"mmm")</f>
        <v>May</v>
      </c>
      <c r="R260">
        <f>YEAR(clean_data[[#This Row],[Date]])</f>
        <v>2023</v>
      </c>
      <c r="S260" s="2">
        <f>clean_data[[#This Row],[Profit]]/clean_data[[#This Row],[Revenue]]</f>
        <v>0.6</v>
      </c>
      <c r="T260" t="str" cm="1">
        <f t="array" ref="T260">_xlfn.IFS(clean_data[[#This Row],[Revenue]]&lt;300000,"Small",
     clean_data[[#This Row],[Revenue]]&lt;700000,"Medium",
     TRUE,"Large")</f>
        <v>Small</v>
      </c>
      <c r="U260" t="str" cm="1">
        <f t="array" ref="U260">_xlfn.IFS(clean_data[[#This Row],[profit margin%]]&lt;0.5,"Low Profit",
     clean_data[[#This Row],[profit margin%]]&lt;0.6,"Medium Profit",
     TRUE,"High Profit")</f>
        <v>High Profit</v>
      </c>
      <c r="V260" t="str">
        <f>TEXT(clean_data[[#This Row],[Date]],"mmm-yyyy")</f>
        <v>May-2023</v>
      </c>
      <c r="W260" s="8">
        <f>EOMONTH(clean_data[[#This Row],[Date]],-1)+1</f>
        <v>45047</v>
      </c>
    </row>
    <row r="261" spans="1:23" x14ac:dyDescent="0.3">
      <c r="A261" t="s">
        <v>333</v>
      </c>
      <c r="B261" s="1">
        <v>45388</v>
      </c>
      <c r="C261" t="s">
        <v>46</v>
      </c>
      <c r="D261" t="s">
        <v>47</v>
      </c>
      <c r="E261" t="s">
        <v>19</v>
      </c>
      <c r="F261" t="s">
        <v>28</v>
      </c>
      <c r="G261" t="s">
        <v>29</v>
      </c>
      <c r="H261">
        <v>23</v>
      </c>
      <c r="I261">
        <v>15000</v>
      </c>
      <c r="J261">
        <v>20</v>
      </c>
      <c r="K261">
        <v>276000</v>
      </c>
      <c r="L261">
        <v>151800</v>
      </c>
      <c r="M261">
        <v>124200</v>
      </c>
      <c r="N261" t="s">
        <v>22</v>
      </c>
      <c r="O261" t="s">
        <v>67</v>
      </c>
      <c r="P261" t="s">
        <v>24</v>
      </c>
      <c r="Q261" t="str">
        <f>TEXT(clean_data[[#This Row],[Date]],"mmm")</f>
        <v>Apr</v>
      </c>
      <c r="R261">
        <f>YEAR(clean_data[[#This Row],[Date]])</f>
        <v>2024</v>
      </c>
      <c r="S261" s="2">
        <f>clean_data[[#This Row],[Profit]]/clean_data[[#This Row],[Revenue]]</f>
        <v>0.45</v>
      </c>
      <c r="T261" t="str" cm="1">
        <f t="array" ref="T261">_xlfn.IFS(clean_data[[#This Row],[Revenue]]&lt;300000,"Small",
     clean_data[[#This Row],[Revenue]]&lt;700000,"Medium",
     TRUE,"Large")</f>
        <v>Small</v>
      </c>
      <c r="U261" t="str" cm="1">
        <f t="array" ref="U261">_xlfn.IFS(clean_data[[#This Row],[profit margin%]]&lt;0.5,"Low Profit",
     clean_data[[#This Row],[profit margin%]]&lt;0.6,"Medium Profit",
     TRUE,"High Profit")</f>
        <v>Low Profit</v>
      </c>
      <c r="V261" t="str">
        <f>TEXT(clean_data[[#This Row],[Date]],"mmm-yyyy")</f>
        <v>Apr-2024</v>
      </c>
      <c r="W261" s="8">
        <f>EOMONTH(clean_data[[#This Row],[Date]],-1)+1</f>
        <v>45383</v>
      </c>
    </row>
    <row r="262" spans="1:23" x14ac:dyDescent="0.3">
      <c r="A262" t="s">
        <v>334</v>
      </c>
      <c r="B262" s="1">
        <v>44876</v>
      </c>
      <c r="C262" t="s">
        <v>17</v>
      </c>
      <c r="D262" t="s">
        <v>37</v>
      </c>
      <c r="E262" t="s">
        <v>38</v>
      </c>
      <c r="F262" t="s">
        <v>33</v>
      </c>
      <c r="G262" t="s">
        <v>43</v>
      </c>
      <c r="H262">
        <v>44</v>
      </c>
      <c r="I262">
        <v>4000</v>
      </c>
      <c r="J262">
        <v>0</v>
      </c>
      <c r="K262">
        <v>176000</v>
      </c>
      <c r="L262">
        <v>88000</v>
      </c>
      <c r="M262">
        <v>88000</v>
      </c>
      <c r="N262" t="s">
        <v>49</v>
      </c>
      <c r="O262" t="s">
        <v>35</v>
      </c>
      <c r="P262" t="s">
        <v>24</v>
      </c>
      <c r="Q262" t="str">
        <f>TEXT(clean_data[[#This Row],[Date]],"mmm")</f>
        <v>Nov</v>
      </c>
      <c r="R262">
        <f>YEAR(clean_data[[#This Row],[Date]])</f>
        <v>2022</v>
      </c>
      <c r="S262" s="2">
        <f>clean_data[[#This Row],[Profit]]/clean_data[[#This Row],[Revenue]]</f>
        <v>0.5</v>
      </c>
      <c r="T262" t="str" cm="1">
        <f t="array" ref="T262">_xlfn.IFS(clean_data[[#This Row],[Revenue]]&lt;300000,"Small",
     clean_data[[#This Row],[Revenue]]&lt;700000,"Medium",
     TRUE,"Large")</f>
        <v>Small</v>
      </c>
      <c r="U262" t="str" cm="1">
        <f t="array" ref="U262">_xlfn.IFS(clean_data[[#This Row],[profit margin%]]&lt;0.5,"Low Profit",
     clean_data[[#This Row],[profit margin%]]&lt;0.6,"Medium Profit",
     TRUE,"High Profit")</f>
        <v>Medium Profit</v>
      </c>
      <c r="V262" t="str">
        <f>TEXT(clean_data[[#This Row],[Date]],"mmm-yyyy")</f>
        <v>Nov-2022</v>
      </c>
      <c r="W262" s="8">
        <f>EOMONTH(clean_data[[#This Row],[Date]],-1)+1</f>
        <v>44866</v>
      </c>
    </row>
    <row r="263" spans="1:23" x14ac:dyDescent="0.3">
      <c r="A263" t="s">
        <v>335</v>
      </c>
      <c r="B263" s="1">
        <v>45105</v>
      </c>
      <c r="C263" t="s">
        <v>46</v>
      </c>
      <c r="D263" t="s">
        <v>47</v>
      </c>
      <c r="E263" t="s">
        <v>19</v>
      </c>
      <c r="F263" t="s">
        <v>20</v>
      </c>
      <c r="G263" t="s">
        <v>61</v>
      </c>
      <c r="H263">
        <v>16</v>
      </c>
      <c r="I263">
        <v>800</v>
      </c>
      <c r="J263">
        <v>15</v>
      </c>
      <c r="K263">
        <v>10880</v>
      </c>
      <c r="L263">
        <v>4352</v>
      </c>
      <c r="M263">
        <v>6528</v>
      </c>
      <c r="N263" t="s">
        <v>30</v>
      </c>
      <c r="O263" t="s">
        <v>67</v>
      </c>
      <c r="P263" t="s">
        <v>24</v>
      </c>
      <c r="Q263" t="str">
        <f>TEXT(clean_data[[#This Row],[Date]],"mmm")</f>
        <v>Jun</v>
      </c>
      <c r="R263">
        <f>YEAR(clean_data[[#This Row],[Date]])</f>
        <v>2023</v>
      </c>
      <c r="S263" s="2">
        <f>clean_data[[#This Row],[Profit]]/clean_data[[#This Row],[Revenue]]</f>
        <v>0.6</v>
      </c>
      <c r="T263" t="str" cm="1">
        <f t="array" ref="T263">_xlfn.IFS(clean_data[[#This Row],[Revenue]]&lt;300000,"Small",
     clean_data[[#This Row],[Revenue]]&lt;700000,"Medium",
     TRUE,"Large")</f>
        <v>Small</v>
      </c>
      <c r="U263" t="str" cm="1">
        <f t="array" ref="U263">_xlfn.IFS(clean_data[[#This Row],[profit margin%]]&lt;0.5,"Low Profit",
     clean_data[[#This Row],[profit margin%]]&lt;0.6,"Medium Profit",
     TRUE,"High Profit")</f>
        <v>High Profit</v>
      </c>
      <c r="V263" t="str">
        <f>TEXT(clean_data[[#This Row],[Date]],"mmm-yyyy")</f>
        <v>Jun-2023</v>
      </c>
      <c r="W263" s="8">
        <f>EOMONTH(clean_data[[#This Row],[Date]],-1)+1</f>
        <v>45078</v>
      </c>
    </row>
    <row r="264" spans="1:23" x14ac:dyDescent="0.3">
      <c r="A264" t="s">
        <v>336</v>
      </c>
      <c r="B264" s="1">
        <v>45098</v>
      </c>
      <c r="C264" t="s">
        <v>58</v>
      </c>
      <c r="D264" t="s">
        <v>59</v>
      </c>
      <c r="E264" t="s">
        <v>60</v>
      </c>
      <c r="F264" t="s">
        <v>28</v>
      </c>
      <c r="G264" t="s">
        <v>95</v>
      </c>
      <c r="H264">
        <v>26</v>
      </c>
      <c r="I264">
        <v>75000</v>
      </c>
      <c r="J264">
        <v>20</v>
      </c>
      <c r="K264">
        <v>1560000</v>
      </c>
      <c r="L264">
        <v>858000</v>
      </c>
      <c r="M264">
        <v>702000</v>
      </c>
      <c r="N264" t="s">
        <v>22</v>
      </c>
      <c r="O264" t="s">
        <v>50</v>
      </c>
      <c r="P264" t="s">
        <v>24</v>
      </c>
      <c r="Q264" t="str">
        <f>TEXT(clean_data[[#This Row],[Date]],"mmm")</f>
        <v>Jun</v>
      </c>
      <c r="R264">
        <f>YEAR(clean_data[[#This Row],[Date]])</f>
        <v>2023</v>
      </c>
      <c r="S264" s="2">
        <f>clean_data[[#This Row],[Profit]]/clean_data[[#This Row],[Revenue]]</f>
        <v>0.45</v>
      </c>
      <c r="T264" t="str" cm="1">
        <f t="array" ref="T264">_xlfn.IFS(clean_data[[#This Row],[Revenue]]&lt;300000,"Small",
     clean_data[[#This Row],[Revenue]]&lt;700000,"Medium",
     TRUE,"Large")</f>
        <v>Large</v>
      </c>
      <c r="U264" t="str" cm="1">
        <f t="array" ref="U264">_xlfn.IFS(clean_data[[#This Row],[profit margin%]]&lt;0.5,"Low Profit",
     clean_data[[#This Row],[profit margin%]]&lt;0.6,"Medium Profit",
     TRUE,"High Profit")</f>
        <v>Low Profit</v>
      </c>
      <c r="V264" t="str">
        <f>TEXT(clean_data[[#This Row],[Date]],"mmm-yyyy")</f>
        <v>Jun-2023</v>
      </c>
      <c r="W264" s="8">
        <f>EOMONTH(clean_data[[#This Row],[Date]],-1)+1</f>
        <v>45078</v>
      </c>
    </row>
    <row r="265" spans="1:23" x14ac:dyDescent="0.3">
      <c r="A265" t="s">
        <v>337</v>
      </c>
      <c r="B265" s="1">
        <v>45459</v>
      </c>
      <c r="C265" t="s">
        <v>17</v>
      </c>
      <c r="D265" t="s">
        <v>42</v>
      </c>
      <c r="E265" t="s">
        <v>56</v>
      </c>
      <c r="F265" t="s">
        <v>28</v>
      </c>
      <c r="G265" t="s">
        <v>85</v>
      </c>
      <c r="H265">
        <v>41</v>
      </c>
      <c r="I265">
        <v>8000</v>
      </c>
      <c r="J265">
        <v>10</v>
      </c>
      <c r="K265">
        <v>295200</v>
      </c>
      <c r="L265">
        <v>162360</v>
      </c>
      <c r="M265">
        <v>132840</v>
      </c>
      <c r="N265" t="s">
        <v>22</v>
      </c>
      <c r="O265" t="s">
        <v>23</v>
      </c>
      <c r="P265" t="s">
        <v>24</v>
      </c>
      <c r="Q265" t="str">
        <f>TEXT(clean_data[[#This Row],[Date]],"mmm")</f>
        <v>Jun</v>
      </c>
      <c r="R265">
        <f>YEAR(clean_data[[#This Row],[Date]])</f>
        <v>2024</v>
      </c>
      <c r="S265" s="2">
        <f>clean_data[[#This Row],[Profit]]/clean_data[[#This Row],[Revenue]]</f>
        <v>0.45</v>
      </c>
      <c r="T265" t="str" cm="1">
        <f t="array" ref="T265">_xlfn.IFS(clean_data[[#This Row],[Revenue]]&lt;300000,"Small",
     clean_data[[#This Row],[Revenue]]&lt;700000,"Medium",
     TRUE,"Large")</f>
        <v>Small</v>
      </c>
      <c r="U265" t="str" cm="1">
        <f t="array" ref="U265">_xlfn.IFS(clean_data[[#This Row],[profit margin%]]&lt;0.5,"Low Profit",
     clean_data[[#This Row],[profit margin%]]&lt;0.6,"Medium Profit",
     TRUE,"High Profit")</f>
        <v>Low Profit</v>
      </c>
      <c r="V265" t="str">
        <f>TEXT(clean_data[[#This Row],[Date]],"mmm-yyyy")</f>
        <v>Jun-2024</v>
      </c>
      <c r="W265" s="8">
        <f>EOMONTH(clean_data[[#This Row],[Date]],-1)+1</f>
        <v>45444</v>
      </c>
    </row>
    <row r="266" spans="1:23" x14ac:dyDescent="0.3">
      <c r="A266" t="s">
        <v>338</v>
      </c>
      <c r="B266" s="1">
        <v>44971</v>
      </c>
      <c r="C266" t="s">
        <v>46</v>
      </c>
      <c r="D266" t="s">
        <v>55</v>
      </c>
      <c r="E266" t="s">
        <v>73</v>
      </c>
      <c r="F266" t="s">
        <v>33</v>
      </c>
      <c r="G266" t="s">
        <v>34</v>
      </c>
      <c r="H266">
        <v>22</v>
      </c>
      <c r="I266">
        <v>25000</v>
      </c>
      <c r="J266">
        <v>20</v>
      </c>
      <c r="K266">
        <v>440000</v>
      </c>
      <c r="L266">
        <v>220000</v>
      </c>
      <c r="M266">
        <v>220000</v>
      </c>
      <c r="N266" t="s">
        <v>30</v>
      </c>
      <c r="O266" t="s">
        <v>67</v>
      </c>
      <c r="P266" t="s">
        <v>40</v>
      </c>
      <c r="Q266" t="str">
        <f>TEXT(clean_data[[#This Row],[Date]],"mmm")</f>
        <v>Feb</v>
      </c>
      <c r="R266">
        <f>YEAR(clean_data[[#This Row],[Date]])</f>
        <v>2023</v>
      </c>
      <c r="S266" s="2">
        <f>clean_data[[#This Row],[Profit]]/clean_data[[#This Row],[Revenue]]</f>
        <v>0.5</v>
      </c>
      <c r="T266" t="str" cm="1">
        <f t="array" ref="T266">_xlfn.IFS(clean_data[[#This Row],[Revenue]]&lt;300000,"Small",
     clean_data[[#This Row],[Revenue]]&lt;700000,"Medium",
     TRUE,"Large")</f>
        <v>Medium</v>
      </c>
      <c r="U266" t="str" cm="1">
        <f t="array" ref="U266">_xlfn.IFS(clean_data[[#This Row],[profit margin%]]&lt;0.5,"Low Profit",
     clean_data[[#This Row],[profit margin%]]&lt;0.6,"Medium Profit",
     TRUE,"High Profit")</f>
        <v>Medium Profit</v>
      </c>
      <c r="V266" t="str">
        <f>TEXT(clean_data[[#This Row],[Date]],"mmm-yyyy")</f>
        <v>Feb-2023</v>
      </c>
      <c r="W266" s="8">
        <f>EOMONTH(clean_data[[#This Row],[Date]],-1)+1</f>
        <v>44958</v>
      </c>
    </row>
    <row r="267" spans="1:23" x14ac:dyDescent="0.3">
      <c r="A267" t="s">
        <v>339</v>
      </c>
      <c r="B267" s="1">
        <v>45530</v>
      </c>
      <c r="C267" t="s">
        <v>17</v>
      </c>
      <c r="D267" t="s">
        <v>42</v>
      </c>
      <c r="E267" t="s">
        <v>56</v>
      </c>
      <c r="F267" t="s">
        <v>28</v>
      </c>
      <c r="G267" t="s">
        <v>95</v>
      </c>
      <c r="H267">
        <v>41</v>
      </c>
      <c r="I267">
        <v>75000</v>
      </c>
      <c r="J267">
        <v>15</v>
      </c>
      <c r="K267">
        <v>2613750</v>
      </c>
      <c r="L267">
        <v>1437562.5</v>
      </c>
      <c r="M267">
        <v>1176187.5</v>
      </c>
      <c r="N267" t="s">
        <v>30</v>
      </c>
      <c r="O267" t="s">
        <v>44</v>
      </c>
      <c r="P267" t="s">
        <v>24</v>
      </c>
      <c r="Q267" t="str">
        <f>TEXT(clean_data[[#This Row],[Date]],"mmm")</f>
        <v>Aug</v>
      </c>
      <c r="R267">
        <f>YEAR(clean_data[[#This Row],[Date]])</f>
        <v>2024</v>
      </c>
      <c r="S267" s="2">
        <f>clean_data[[#This Row],[Profit]]/clean_data[[#This Row],[Revenue]]</f>
        <v>0.45</v>
      </c>
      <c r="T267" t="str" cm="1">
        <f t="array" ref="T267">_xlfn.IFS(clean_data[[#This Row],[Revenue]]&lt;300000,"Small",
     clean_data[[#This Row],[Revenue]]&lt;700000,"Medium",
     TRUE,"Large")</f>
        <v>Large</v>
      </c>
      <c r="U267" t="str" cm="1">
        <f t="array" ref="U267">_xlfn.IFS(clean_data[[#This Row],[profit margin%]]&lt;0.5,"Low Profit",
     clean_data[[#This Row],[profit margin%]]&lt;0.6,"Medium Profit",
     TRUE,"High Profit")</f>
        <v>Low Profit</v>
      </c>
      <c r="V267" t="str">
        <f>TEXT(clean_data[[#This Row],[Date]],"mmm-yyyy")</f>
        <v>Aug-2024</v>
      </c>
      <c r="W267" s="8">
        <f>EOMONTH(clean_data[[#This Row],[Date]],-1)+1</f>
        <v>45505</v>
      </c>
    </row>
    <row r="268" spans="1:23" x14ac:dyDescent="0.3">
      <c r="A268" t="s">
        <v>340</v>
      </c>
      <c r="B268" s="1">
        <v>45427</v>
      </c>
      <c r="C268" t="s">
        <v>26</v>
      </c>
      <c r="D268" t="s">
        <v>69</v>
      </c>
      <c r="E268" t="s">
        <v>19</v>
      </c>
      <c r="F268" t="s">
        <v>20</v>
      </c>
      <c r="G268" t="s">
        <v>61</v>
      </c>
      <c r="H268">
        <v>11</v>
      </c>
      <c r="I268">
        <v>800</v>
      </c>
      <c r="J268">
        <v>10</v>
      </c>
      <c r="K268">
        <v>7920</v>
      </c>
      <c r="L268">
        <v>3168</v>
      </c>
      <c r="M268">
        <v>4752</v>
      </c>
      <c r="N268" t="s">
        <v>22</v>
      </c>
      <c r="O268" t="s">
        <v>50</v>
      </c>
      <c r="P268" t="s">
        <v>24</v>
      </c>
      <c r="Q268" t="str">
        <f>TEXT(clean_data[[#This Row],[Date]],"mmm")</f>
        <v>May</v>
      </c>
      <c r="R268">
        <f>YEAR(clean_data[[#This Row],[Date]])</f>
        <v>2024</v>
      </c>
      <c r="S268" s="2">
        <f>clean_data[[#This Row],[Profit]]/clean_data[[#This Row],[Revenue]]</f>
        <v>0.6</v>
      </c>
      <c r="T268" t="str" cm="1">
        <f t="array" ref="T268">_xlfn.IFS(clean_data[[#This Row],[Revenue]]&lt;300000,"Small",
     clean_data[[#This Row],[Revenue]]&lt;700000,"Medium",
     TRUE,"Large")</f>
        <v>Small</v>
      </c>
      <c r="U268" t="str" cm="1">
        <f t="array" ref="U268">_xlfn.IFS(clean_data[[#This Row],[profit margin%]]&lt;0.5,"Low Profit",
     clean_data[[#This Row],[profit margin%]]&lt;0.6,"Medium Profit",
     TRUE,"High Profit")</f>
        <v>High Profit</v>
      </c>
      <c r="V268" t="str">
        <f>TEXT(clean_data[[#This Row],[Date]],"mmm-yyyy")</f>
        <v>May-2024</v>
      </c>
      <c r="W268" s="8">
        <f>EOMONTH(clean_data[[#This Row],[Date]],-1)+1</f>
        <v>45413</v>
      </c>
    </row>
    <row r="269" spans="1:23" x14ac:dyDescent="0.3">
      <c r="A269" t="s">
        <v>341</v>
      </c>
      <c r="B269" s="1">
        <v>45049</v>
      </c>
      <c r="C269" t="s">
        <v>17</v>
      </c>
      <c r="D269" t="s">
        <v>42</v>
      </c>
      <c r="E269" t="s">
        <v>78</v>
      </c>
      <c r="F269" t="s">
        <v>28</v>
      </c>
      <c r="G269" t="s">
        <v>85</v>
      </c>
      <c r="H269">
        <v>41</v>
      </c>
      <c r="I269">
        <v>8000</v>
      </c>
      <c r="J269">
        <v>10</v>
      </c>
      <c r="K269">
        <v>295200</v>
      </c>
      <c r="L269">
        <v>162360</v>
      </c>
      <c r="M269">
        <v>132840</v>
      </c>
      <c r="N269" t="s">
        <v>49</v>
      </c>
      <c r="O269" t="s">
        <v>35</v>
      </c>
      <c r="P269" t="s">
        <v>24</v>
      </c>
      <c r="Q269" t="str">
        <f>TEXT(clean_data[[#This Row],[Date]],"mmm")</f>
        <v>May</v>
      </c>
      <c r="R269">
        <f>YEAR(clean_data[[#This Row],[Date]])</f>
        <v>2023</v>
      </c>
      <c r="S269" s="2">
        <f>clean_data[[#This Row],[Profit]]/clean_data[[#This Row],[Revenue]]</f>
        <v>0.45</v>
      </c>
      <c r="T269" t="str" cm="1">
        <f t="array" ref="T269">_xlfn.IFS(clean_data[[#This Row],[Revenue]]&lt;300000,"Small",
     clean_data[[#This Row],[Revenue]]&lt;700000,"Medium",
     TRUE,"Large")</f>
        <v>Small</v>
      </c>
      <c r="U269" t="str" cm="1">
        <f t="array" ref="U269">_xlfn.IFS(clean_data[[#This Row],[profit margin%]]&lt;0.5,"Low Profit",
     clean_data[[#This Row],[profit margin%]]&lt;0.6,"Medium Profit",
     TRUE,"High Profit")</f>
        <v>Low Profit</v>
      </c>
      <c r="V269" t="str">
        <f>TEXT(clean_data[[#This Row],[Date]],"mmm-yyyy")</f>
        <v>May-2023</v>
      </c>
      <c r="W269" s="8">
        <f>EOMONTH(clean_data[[#This Row],[Date]],-1)+1</f>
        <v>45047</v>
      </c>
    </row>
    <row r="270" spans="1:23" x14ac:dyDescent="0.3">
      <c r="A270" t="s">
        <v>342</v>
      </c>
      <c r="B270" s="1">
        <v>44743</v>
      </c>
      <c r="C270" t="s">
        <v>46</v>
      </c>
      <c r="D270" t="s">
        <v>55</v>
      </c>
      <c r="E270" t="s">
        <v>52</v>
      </c>
      <c r="F270" t="s">
        <v>20</v>
      </c>
      <c r="G270" t="s">
        <v>53</v>
      </c>
      <c r="H270">
        <v>15</v>
      </c>
      <c r="I270">
        <v>600</v>
      </c>
      <c r="J270">
        <v>20</v>
      </c>
      <c r="K270">
        <v>7200</v>
      </c>
      <c r="L270">
        <v>2880</v>
      </c>
      <c r="M270">
        <v>4320</v>
      </c>
      <c r="N270" t="s">
        <v>30</v>
      </c>
      <c r="O270" t="s">
        <v>35</v>
      </c>
      <c r="P270" t="s">
        <v>24</v>
      </c>
      <c r="Q270" t="str">
        <f>TEXT(clean_data[[#This Row],[Date]],"mmm")</f>
        <v>Jul</v>
      </c>
      <c r="R270">
        <f>YEAR(clean_data[[#This Row],[Date]])</f>
        <v>2022</v>
      </c>
      <c r="S270" s="2">
        <f>clean_data[[#This Row],[Profit]]/clean_data[[#This Row],[Revenue]]</f>
        <v>0.6</v>
      </c>
      <c r="T270" t="str" cm="1">
        <f t="array" ref="T270">_xlfn.IFS(clean_data[[#This Row],[Revenue]]&lt;300000,"Small",
     clean_data[[#This Row],[Revenue]]&lt;700000,"Medium",
     TRUE,"Large")</f>
        <v>Small</v>
      </c>
      <c r="U270" t="str" cm="1">
        <f t="array" ref="U270">_xlfn.IFS(clean_data[[#This Row],[profit margin%]]&lt;0.5,"Low Profit",
     clean_data[[#This Row],[profit margin%]]&lt;0.6,"Medium Profit",
     TRUE,"High Profit")</f>
        <v>High Profit</v>
      </c>
      <c r="V270" t="str">
        <f>TEXT(clean_data[[#This Row],[Date]],"mmm-yyyy")</f>
        <v>Jul-2022</v>
      </c>
      <c r="W270" s="8">
        <f>EOMONTH(clean_data[[#This Row],[Date]],-1)+1</f>
        <v>44743</v>
      </c>
    </row>
    <row r="271" spans="1:23" x14ac:dyDescent="0.3">
      <c r="A271" t="s">
        <v>343</v>
      </c>
      <c r="B271" s="1">
        <v>45226</v>
      </c>
      <c r="C271" t="s">
        <v>26</v>
      </c>
      <c r="D271" t="s">
        <v>69</v>
      </c>
      <c r="E271" t="s">
        <v>78</v>
      </c>
      <c r="F271" t="s">
        <v>65</v>
      </c>
      <c r="G271" t="s">
        <v>117</v>
      </c>
      <c r="H271">
        <v>15</v>
      </c>
      <c r="I271">
        <v>1200</v>
      </c>
      <c r="J271">
        <v>15</v>
      </c>
      <c r="K271">
        <v>15300</v>
      </c>
      <c r="L271">
        <v>6885</v>
      </c>
      <c r="M271">
        <v>8415</v>
      </c>
      <c r="N271" t="s">
        <v>22</v>
      </c>
      <c r="O271" t="s">
        <v>35</v>
      </c>
      <c r="P271" t="s">
        <v>24</v>
      </c>
      <c r="Q271" t="str">
        <f>TEXT(clean_data[[#This Row],[Date]],"mmm")</f>
        <v>Oct</v>
      </c>
      <c r="R271">
        <f>YEAR(clean_data[[#This Row],[Date]])</f>
        <v>2023</v>
      </c>
      <c r="S271" s="2">
        <f>clean_data[[#This Row],[Profit]]/clean_data[[#This Row],[Revenue]]</f>
        <v>0.55000000000000004</v>
      </c>
      <c r="T271" t="str" cm="1">
        <f t="array" ref="T271">_xlfn.IFS(clean_data[[#This Row],[Revenue]]&lt;300000,"Small",
     clean_data[[#This Row],[Revenue]]&lt;700000,"Medium",
     TRUE,"Large")</f>
        <v>Small</v>
      </c>
      <c r="U271" t="str" cm="1">
        <f t="array" ref="U271">_xlfn.IFS(clean_data[[#This Row],[profit margin%]]&lt;0.5,"Low Profit",
     clean_data[[#This Row],[profit margin%]]&lt;0.6,"Medium Profit",
     TRUE,"High Profit")</f>
        <v>Medium Profit</v>
      </c>
      <c r="V271" t="str">
        <f>TEXT(clean_data[[#This Row],[Date]],"mmm-yyyy")</f>
        <v>Oct-2023</v>
      </c>
      <c r="W271" s="8">
        <f>EOMONTH(clean_data[[#This Row],[Date]],-1)+1</f>
        <v>45200</v>
      </c>
    </row>
    <row r="272" spans="1:23" x14ac:dyDescent="0.3">
      <c r="A272" t="s">
        <v>344</v>
      </c>
      <c r="B272" s="1">
        <v>44753</v>
      </c>
      <c r="C272" t="s">
        <v>17</v>
      </c>
      <c r="D272" t="s">
        <v>37</v>
      </c>
      <c r="E272" t="s">
        <v>78</v>
      </c>
      <c r="F272" t="s">
        <v>65</v>
      </c>
      <c r="G272" t="s">
        <v>104</v>
      </c>
      <c r="H272">
        <v>42</v>
      </c>
      <c r="I272">
        <v>3000</v>
      </c>
      <c r="J272">
        <v>5</v>
      </c>
      <c r="K272">
        <v>119700</v>
      </c>
      <c r="L272">
        <v>53865</v>
      </c>
      <c r="M272">
        <v>65835</v>
      </c>
      <c r="N272" t="s">
        <v>22</v>
      </c>
      <c r="O272" t="s">
        <v>67</v>
      </c>
      <c r="P272" t="s">
        <v>24</v>
      </c>
      <c r="Q272" t="str">
        <f>TEXT(clean_data[[#This Row],[Date]],"mmm")</f>
        <v>Jul</v>
      </c>
      <c r="R272">
        <f>YEAR(clean_data[[#This Row],[Date]])</f>
        <v>2022</v>
      </c>
      <c r="S272" s="2">
        <f>clean_data[[#This Row],[Profit]]/clean_data[[#This Row],[Revenue]]</f>
        <v>0.55000000000000004</v>
      </c>
      <c r="T272" t="str" cm="1">
        <f t="array" ref="T272">_xlfn.IFS(clean_data[[#This Row],[Revenue]]&lt;300000,"Small",
     clean_data[[#This Row],[Revenue]]&lt;700000,"Medium",
     TRUE,"Large")</f>
        <v>Small</v>
      </c>
      <c r="U272" t="str" cm="1">
        <f t="array" ref="U272">_xlfn.IFS(clean_data[[#This Row],[profit margin%]]&lt;0.5,"Low Profit",
     clean_data[[#This Row],[profit margin%]]&lt;0.6,"Medium Profit",
     TRUE,"High Profit")</f>
        <v>Medium Profit</v>
      </c>
      <c r="V272" t="str">
        <f>TEXT(clean_data[[#This Row],[Date]],"mmm-yyyy")</f>
        <v>Jul-2022</v>
      </c>
      <c r="W272" s="8">
        <f>EOMONTH(clean_data[[#This Row],[Date]],-1)+1</f>
        <v>44743</v>
      </c>
    </row>
    <row r="273" spans="1:23" x14ac:dyDescent="0.3">
      <c r="A273" t="s">
        <v>345</v>
      </c>
      <c r="B273" s="1">
        <v>44581</v>
      </c>
      <c r="C273" t="s">
        <v>46</v>
      </c>
      <c r="D273" t="s">
        <v>55</v>
      </c>
      <c r="E273" t="s">
        <v>70</v>
      </c>
      <c r="F273" t="s">
        <v>20</v>
      </c>
      <c r="G273" t="s">
        <v>74</v>
      </c>
      <c r="H273">
        <v>27</v>
      </c>
      <c r="I273">
        <v>4200</v>
      </c>
      <c r="J273">
        <v>20</v>
      </c>
      <c r="K273">
        <v>90720</v>
      </c>
      <c r="L273">
        <v>36288</v>
      </c>
      <c r="M273">
        <v>54432</v>
      </c>
      <c r="N273" t="s">
        <v>30</v>
      </c>
      <c r="O273" t="s">
        <v>35</v>
      </c>
      <c r="P273" t="s">
        <v>24</v>
      </c>
      <c r="Q273" t="str">
        <f>TEXT(clean_data[[#This Row],[Date]],"mmm")</f>
        <v>Jan</v>
      </c>
      <c r="R273">
        <f>YEAR(clean_data[[#This Row],[Date]])</f>
        <v>2022</v>
      </c>
      <c r="S273" s="2">
        <f>clean_data[[#This Row],[Profit]]/clean_data[[#This Row],[Revenue]]</f>
        <v>0.6</v>
      </c>
      <c r="T273" t="str" cm="1">
        <f t="array" ref="T273">_xlfn.IFS(clean_data[[#This Row],[Revenue]]&lt;300000,"Small",
     clean_data[[#This Row],[Revenue]]&lt;700000,"Medium",
     TRUE,"Large")</f>
        <v>Small</v>
      </c>
      <c r="U273" t="str" cm="1">
        <f t="array" ref="U273">_xlfn.IFS(clean_data[[#This Row],[profit margin%]]&lt;0.5,"Low Profit",
     clean_data[[#This Row],[profit margin%]]&lt;0.6,"Medium Profit",
     TRUE,"High Profit")</f>
        <v>High Profit</v>
      </c>
      <c r="V273" t="str">
        <f>TEXT(clean_data[[#This Row],[Date]],"mmm-yyyy")</f>
        <v>Jan-2022</v>
      </c>
      <c r="W273" s="8">
        <f>EOMONTH(clean_data[[#This Row],[Date]],-1)+1</f>
        <v>44562</v>
      </c>
    </row>
    <row r="274" spans="1:23" x14ac:dyDescent="0.3">
      <c r="A274" t="s">
        <v>346</v>
      </c>
      <c r="B274" s="1">
        <v>44747</v>
      </c>
      <c r="C274" t="s">
        <v>26</v>
      </c>
      <c r="D274" t="s">
        <v>69</v>
      </c>
      <c r="E274" t="s">
        <v>70</v>
      </c>
      <c r="F274" t="s">
        <v>65</v>
      </c>
      <c r="G274" t="s">
        <v>124</v>
      </c>
      <c r="H274">
        <v>9</v>
      </c>
      <c r="I274">
        <v>18000</v>
      </c>
      <c r="J274">
        <v>5</v>
      </c>
      <c r="K274">
        <v>153900</v>
      </c>
      <c r="L274">
        <v>69255</v>
      </c>
      <c r="M274">
        <v>84645</v>
      </c>
      <c r="N274" t="s">
        <v>22</v>
      </c>
      <c r="O274" t="s">
        <v>35</v>
      </c>
      <c r="P274" t="s">
        <v>24</v>
      </c>
      <c r="Q274" t="str">
        <f>TEXT(clean_data[[#This Row],[Date]],"mmm")</f>
        <v>Jul</v>
      </c>
      <c r="R274">
        <f>YEAR(clean_data[[#This Row],[Date]])</f>
        <v>2022</v>
      </c>
      <c r="S274" s="2">
        <f>clean_data[[#This Row],[Profit]]/clean_data[[#This Row],[Revenue]]</f>
        <v>0.55000000000000004</v>
      </c>
      <c r="T274" t="str" cm="1">
        <f t="array" ref="T274">_xlfn.IFS(clean_data[[#This Row],[Revenue]]&lt;300000,"Small",
     clean_data[[#This Row],[Revenue]]&lt;700000,"Medium",
     TRUE,"Large")</f>
        <v>Small</v>
      </c>
      <c r="U274" t="str" cm="1">
        <f t="array" ref="U274">_xlfn.IFS(clean_data[[#This Row],[profit margin%]]&lt;0.5,"Low Profit",
     clean_data[[#This Row],[profit margin%]]&lt;0.6,"Medium Profit",
     TRUE,"High Profit")</f>
        <v>Medium Profit</v>
      </c>
      <c r="V274" t="str">
        <f>TEXT(clean_data[[#This Row],[Date]],"mmm-yyyy")</f>
        <v>Jul-2022</v>
      </c>
      <c r="W274" s="8">
        <f>EOMONTH(clean_data[[#This Row],[Date]],-1)+1</f>
        <v>44743</v>
      </c>
    </row>
    <row r="275" spans="1:23" x14ac:dyDescent="0.3">
      <c r="A275" t="s">
        <v>347</v>
      </c>
      <c r="B275" s="1">
        <v>45034</v>
      </c>
      <c r="C275" t="s">
        <v>17</v>
      </c>
      <c r="D275" t="s">
        <v>42</v>
      </c>
      <c r="E275" t="s">
        <v>56</v>
      </c>
      <c r="F275" t="s">
        <v>33</v>
      </c>
      <c r="G275" t="s">
        <v>76</v>
      </c>
      <c r="H275">
        <v>34</v>
      </c>
      <c r="I275">
        <v>8500</v>
      </c>
      <c r="J275">
        <v>20</v>
      </c>
      <c r="K275">
        <v>231200</v>
      </c>
      <c r="L275">
        <v>115600</v>
      </c>
      <c r="M275">
        <v>115600</v>
      </c>
      <c r="N275" t="s">
        <v>30</v>
      </c>
      <c r="O275" t="s">
        <v>23</v>
      </c>
      <c r="P275" t="s">
        <v>40</v>
      </c>
      <c r="Q275" t="str">
        <f>TEXT(clean_data[[#This Row],[Date]],"mmm")</f>
        <v>Apr</v>
      </c>
      <c r="R275">
        <f>YEAR(clean_data[[#This Row],[Date]])</f>
        <v>2023</v>
      </c>
      <c r="S275" s="2">
        <f>clean_data[[#This Row],[Profit]]/clean_data[[#This Row],[Revenue]]</f>
        <v>0.5</v>
      </c>
      <c r="T275" t="str" cm="1">
        <f t="array" ref="T275">_xlfn.IFS(clean_data[[#This Row],[Revenue]]&lt;300000,"Small",
     clean_data[[#This Row],[Revenue]]&lt;700000,"Medium",
     TRUE,"Large")</f>
        <v>Small</v>
      </c>
      <c r="U275" t="str" cm="1">
        <f t="array" ref="U275">_xlfn.IFS(clean_data[[#This Row],[profit margin%]]&lt;0.5,"Low Profit",
     clean_data[[#This Row],[profit margin%]]&lt;0.6,"Medium Profit",
     TRUE,"High Profit")</f>
        <v>Medium Profit</v>
      </c>
      <c r="V275" t="str">
        <f>TEXT(clean_data[[#This Row],[Date]],"mmm-yyyy")</f>
        <v>Apr-2023</v>
      </c>
      <c r="W275" s="8">
        <f>EOMONTH(clean_data[[#This Row],[Date]],-1)+1</f>
        <v>45017</v>
      </c>
    </row>
    <row r="276" spans="1:23" x14ac:dyDescent="0.3">
      <c r="A276" t="s">
        <v>348</v>
      </c>
      <c r="B276" s="1">
        <v>45128</v>
      </c>
      <c r="C276" t="s">
        <v>26</v>
      </c>
      <c r="D276" t="s">
        <v>27</v>
      </c>
      <c r="E276" t="s">
        <v>60</v>
      </c>
      <c r="F276" t="s">
        <v>65</v>
      </c>
      <c r="G276" t="s">
        <v>117</v>
      </c>
      <c r="H276">
        <v>16</v>
      </c>
      <c r="I276">
        <v>1200</v>
      </c>
      <c r="J276">
        <v>15</v>
      </c>
      <c r="K276">
        <v>16320</v>
      </c>
      <c r="L276">
        <v>7344</v>
      </c>
      <c r="M276">
        <v>8976</v>
      </c>
      <c r="N276" t="s">
        <v>30</v>
      </c>
      <c r="O276" t="s">
        <v>67</v>
      </c>
      <c r="P276" t="s">
        <v>40</v>
      </c>
      <c r="Q276" t="str">
        <f>TEXT(clean_data[[#This Row],[Date]],"mmm")</f>
        <v>Jul</v>
      </c>
      <c r="R276">
        <f>YEAR(clean_data[[#This Row],[Date]])</f>
        <v>2023</v>
      </c>
      <c r="S276" s="2">
        <f>clean_data[[#This Row],[Profit]]/clean_data[[#This Row],[Revenue]]</f>
        <v>0.55000000000000004</v>
      </c>
      <c r="T276" t="str" cm="1">
        <f t="array" ref="T276">_xlfn.IFS(clean_data[[#This Row],[Revenue]]&lt;300000,"Small",
     clean_data[[#This Row],[Revenue]]&lt;700000,"Medium",
     TRUE,"Large")</f>
        <v>Small</v>
      </c>
      <c r="U276" t="str" cm="1">
        <f t="array" ref="U276">_xlfn.IFS(clean_data[[#This Row],[profit margin%]]&lt;0.5,"Low Profit",
     clean_data[[#This Row],[profit margin%]]&lt;0.6,"Medium Profit",
     TRUE,"High Profit")</f>
        <v>Medium Profit</v>
      </c>
      <c r="V276" t="str">
        <f>TEXT(clean_data[[#This Row],[Date]],"mmm-yyyy")</f>
        <v>Jul-2023</v>
      </c>
      <c r="W276" s="8">
        <f>EOMONTH(clean_data[[#This Row],[Date]],-1)+1</f>
        <v>45108</v>
      </c>
    </row>
    <row r="277" spans="1:23" x14ac:dyDescent="0.3">
      <c r="A277" t="s">
        <v>349</v>
      </c>
      <c r="B277" s="1">
        <v>44573</v>
      </c>
      <c r="C277" t="s">
        <v>17</v>
      </c>
      <c r="D277" t="s">
        <v>18</v>
      </c>
      <c r="E277" t="s">
        <v>32</v>
      </c>
      <c r="F277" t="s">
        <v>65</v>
      </c>
      <c r="G277" t="s">
        <v>124</v>
      </c>
      <c r="H277">
        <v>35</v>
      </c>
      <c r="I277">
        <v>18000</v>
      </c>
      <c r="J277">
        <v>5</v>
      </c>
      <c r="K277">
        <v>598500</v>
      </c>
      <c r="L277">
        <v>269325</v>
      </c>
      <c r="M277">
        <v>329175</v>
      </c>
      <c r="N277" t="s">
        <v>30</v>
      </c>
      <c r="O277" t="s">
        <v>35</v>
      </c>
      <c r="P277" t="s">
        <v>24</v>
      </c>
      <c r="Q277" t="str">
        <f>TEXT(clean_data[[#This Row],[Date]],"mmm")</f>
        <v>Jan</v>
      </c>
      <c r="R277">
        <f>YEAR(clean_data[[#This Row],[Date]])</f>
        <v>2022</v>
      </c>
      <c r="S277" s="2">
        <f>clean_data[[#This Row],[Profit]]/clean_data[[#This Row],[Revenue]]</f>
        <v>0.55000000000000004</v>
      </c>
      <c r="T277" t="str" cm="1">
        <f t="array" ref="T277">_xlfn.IFS(clean_data[[#This Row],[Revenue]]&lt;300000,"Small",
     clean_data[[#This Row],[Revenue]]&lt;700000,"Medium",
     TRUE,"Large")</f>
        <v>Medium</v>
      </c>
      <c r="U277" t="str" cm="1">
        <f t="array" ref="U277">_xlfn.IFS(clean_data[[#This Row],[profit margin%]]&lt;0.5,"Low Profit",
     clean_data[[#This Row],[profit margin%]]&lt;0.6,"Medium Profit",
     TRUE,"High Profit")</f>
        <v>Medium Profit</v>
      </c>
      <c r="V277" t="str">
        <f>TEXT(clean_data[[#This Row],[Date]],"mmm-yyyy")</f>
        <v>Jan-2022</v>
      </c>
      <c r="W277" s="8">
        <f>EOMONTH(clean_data[[#This Row],[Date]],-1)+1</f>
        <v>44562</v>
      </c>
    </row>
    <row r="278" spans="1:23" x14ac:dyDescent="0.3">
      <c r="A278" t="s">
        <v>350</v>
      </c>
      <c r="B278" s="1">
        <v>44682</v>
      </c>
      <c r="C278" t="s">
        <v>17</v>
      </c>
      <c r="D278" t="s">
        <v>18</v>
      </c>
      <c r="E278" t="s">
        <v>56</v>
      </c>
      <c r="F278" t="s">
        <v>28</v>
      </c>
      <c r="G278" t="s">
        <v>85</v>
      </c>
      <c r="H278">
        <v>33</v>
      </c>
      <c r="I278">
        <v>8000</v>
      </c>
      <c r="J278">
        <v>10</v>
      </c>
      <c r="K278">
        <v>237600</v>
      </c>
      <c r="L278">
        <v>130680</v>
      </c>
      <c r="M278">
        <v>106920</v>
      </c>
      <c r="N278" t="s">
        <v>49</v>
      </c>
      <c r="O278" t="s">
        <v>23</v>
      </c>
      <c r="P278" t="s">
        <v>40</v>
      </c>
      <c r="Q278" t="str">
        <f>TEXT(clean_data[[#This Row],[Date]],"mmm")</f>
        <v>May</v>
      </c>
      <c r="R278">
        <f>YEAR(clean_data[[#This Row],[Date]])</f>
        <v>2022</v>
      </c>
      <c r="S278" s="2">
        <f>clean_data[[#This Row],[Profit]]/clean_data[[#This Row],[Revenue]]</f>
        <v>0.45</v>
      </c>
      <c r="T278" t="str" cm="1">
        <f t="array" ref="T278">_xlfn.IFS(clean_data[[#This Row],[Revenue]]&lt;300000,"Small",
     clean_data[[#This Row],[Revenue]]&lt;700000,"Medium",
     TRUE,"Large")</f>
        <v>Small</v>
      </c>
      <c r="U278" t="str" cm="1">
        <f t="array" ref="U278">_xlfn.IFS(clean_data[[#This Row],[profit margin%]]&lt;0.5,"Low Profit",
     clean_data[[#This Row],[profit margin%]]&lt;0.6,"Medium Profit",
     TRUE,"High Profit")</f>
        <v>Low Profit</v>
      </c>
      <c r="V278" t="str">
        <f>TEXT(clean_data[[#This Row],[Date]],"mmm-yyyy")</f>
        <v>May-2022</v>
      </c>
      <c r="W278" s="8">
        <f>EOMONTH(clean_data[[#This Row],[Date]],-1)+1</f>
        <v>44682</v>
      </c>
    </row>
    <row r="279" spans="1:23" x14ac:dyDescent="0.3">
      <c r="A279" t="s">
        <v>351</v>
      </c>
      <c r="B279" s="1">
        <v>45325</v>
      </c>
      <c r="C279" t="s">
        <v>46</v>
      </c>
      <c r="D279" t="s">
        <v>55</v>
      </c>
      <c r="E279" t="s">
        <v>52</v>
      </c>
      <c r="F279" t="s">
        <v>33</v>
      </c>
      <c r="G279" t="s">
        <v>39</v>
      </c>
      <c r="H279">
        <v>33</v>
      </c>
      <c r="I279">
        <v>5000</v>
      </c>
      <c r="J279">
        <v>5</v>
      </c>
      <c r="K279">
        <v>156750</v>
      </c>
      <c r="L279">
        <v>78375</v>
      </c>
      <c r="M279">
        <v>78375</v>
      </c>
      <c r="N279" t="s">
        <v>22</v>
      </c>
      <c r="O279" t="s">
        <v>50</v>
      </c>
      <c r="P279" t="s">
        <v>24</v>
      </c>
      <c r="Q279" t="str">
        <f>TEXT(clean_data[[#This Row],[Date]],"mmm")</f>
        <v>Feb</v>
      </c>
      <c r="R279">
        <f>YEAR(clean_data[[#This Row],[Date]])</f>
        <v>2024</v>
      </c>
      <c r="S279" s="2">
        <f>clean_data[[#This Row],[Profit]]/clean_data[[#This Row],[Revenue]]</f>
        <v>0.5</v>
      </c>
      <c r="T279" t="str" cm="1">
        <f t="array" ref="T279">_xlfn.IFS(clean_data[[#This Row],[Revenue]]&lt;300000,"Small",
     clean_data[[#This Row],[Revenue]]&lt;700000,"Medium",
     TRUE,"Large")</f>
        <v>Small</v>
      </c>
      <c r="U279" t="str" cm="1">
        <f t="array" ref="U279">_xlfn.IFS(clean_data[[#This Row],[profit margin%]]&lt;0.5,"Low Profit",
     clean_data[[#This Row],[profit margin%]]&lt;0.6,"Medium Profit",
     TRUE,"High Profit")</f>
        <v>Medium Profit</v>
      </c>
      <c r="V279" t="str">
        <f>TEXT(clean_data[[#This Row],[Date]],"mmm-yyyy")</f>
        <v>Feb-2024</v>
      </c>
      <c r="W279" s="8">
        <f>EOMONTH(clean_data[[#This Row],[Date]],-1)+1</f>
        <v>45323</v>
      </c>
    </row>
    <row r="280" spans="1:23" x14ac:dyDescent="0.3">
      <c r="A280" t="s">
        <v>352</v>
      </c>
      <c r="B280" s="1">
        <v>45341</v>
      </c>
      <c r="C280" t="s">
        <v>26</v>
      </c>
      <c r="D280" t="s">
        <v>69</v>
      </c>
      <c r="E280" t="s">
        <v>32</v>
      </c>
      <c r="F280" t="s">
        <v>20</v>
      </c>
      <c r="G280" t="s">
        <v>21</v>
      </c>
      <c r="H280">
        <v>16</v>
      </c>
      <c r="I280">
        <v>3500</v>
      </c>
      <c r="J280">
        <v>0</v>
      </c>
      <c r="K280">
        <v>56000</v>
      </c>
      <c r="L280">
        <v>22400</v>
      </c>
      <c r="M280">
        <v>33600</v>
      </c>
      <c r="N280" t="s">
        <v>30</v>
      </c>
      <c r="O280" t="s">
        <v>23</v>
      </c>
      <c r="P280" t="s">
        <v>24</v>
      </c>
      <c r="Q280" t="str">
        <f>TEXT(clean_data[[#This Row],[Date]],"mmm")</f>
        <v>Feb</v>
      </c>
      <c r="R280">
        <f>YEAR(clean_data[[#This Row],[Date]])</f>
        <v>2024</v>
      </c>
      <c r="S280" s="2">
        <f>clean_data[[#This Row],[Profit]]/clean_data[[#This Row],[Revenue]]</f>
        <v>0.6</v>
      </c>
      <c r="T280" t="str" cm="1">
        <f t="array" ref="T280">_xlfn.IFS(clean_data[[#This Row],[Revenue]]&lt;300000,"Small",
     clean_data[[#This Row],[Revenue]]&lt;700000,"Medium",
     TRUE,"Large")</f>
        <v>Small</v>
      </c>
      <c r="U280" t="str" cm="1">
        <f t="array" ref="U280">_xlfn.IFS(clean_data[[#This Row],[profit margin%]]&lt;0.5,"Low Profit",
     clean_data[[#This Row],[profit margin%]]&lt;0.6,"Medium Profit",
     TRUE,"High Profit")</f>
        <v>High Profit</v>
      </c>
      <c r="V280" t="str">
        <f>TEXT(clean_data[[#This Row],[Date]],"mmm-yyyy")</f>
        <v>Feb-2024</v>
      </c>
      <c r="W280" s="8">
        <f>EOMONTH(clean_data[[#This Row],[Date]],-1)+1</f>
        <v>45323</v>
      </c>
    </row>
    <row r="281" spans="1:23" x14ac:dyDescent="0.3">
      <c r="A281" t="s">
        <v>353</v>
      </c>
      <c r="B281" s="1">
        <v>44661</v>
      </c>
      <c r="C281" t="s">
        <v>46</v>
      </c>
      <c r="D281" t="s">
        <v>47</v>
      </c>
      <c r="E281" t="s">
        <v>56</v>
      </c>
      <c r="F281" t="s">
        <v>20</v>
      </c>
      <c r="G281" t="s">
        <v>21</v>
      </c>
      <c r="H281">
        <v>11</v>
      </c>
      <c r="I281">
        <v>3500</v>
      </c>
      <c r="J281">
        <v>15</v>
      </c>
      <c r="K281">
        <v>32725</v>
      </c>
      <c r="L281">
        <v>13090</v>
      </c>
      <c r="M281">
        <v>19635</v>
      </c>
      <c r="N281" t="s">
        <v>22</v>
      </c>
      <c r="O281" t="s">
        <v>67</v>
      </c>
      <c r="P281" t="s">
        <v>24</v>
      </c>
      <c r="Q281" t="str">
        <f>TEXT(clean_data[[#This Row],[Date]],"mmm")</f>
        <v>Apr</v>
      </c>
      <c r="R281">
        <f>YEAR(clean_data[[#This Row],[Date]])</f>
        <v>2022</v>
      </c>
      <c r="S281" s="2">
        <f>clean_data[[#This Row],[Profit]]/clean_data[[#This Row],[Revenue]]</f>
        <v>0.6</v>
      </c>
      <c r="T281" t="str" cm="1">
        <f t="array" ref="T281">_xlfn.IFS(clean_data[[#This Row],[Revenue]]&lt;300000,"Small",
     clean_data[[#This Row],[Revenue]]&lt;700000,"Medium",
     TRUE,"Large")</f>
        <v>Small</v>
      </c>
      <c r="U281" t="str" cm="1">
        <f t="array" ref="U281">_xlfn.IFS(clean_data[[#This Row],[profit margin%]]&lt;0.5,"Low Profit",
     clean_data[[#This Row],[profit margin%]]&lt;0.6,"Medium Profit",
     TRUE,"High Profit")</f>
        <v>High Profit</v>
      </c>
      <c r="V281" t="str">
        <f>TEXT(clean_data[[#This Row],[Date]],"mmm-yyyy")</f>
        <v>Apr-2022</v>
      </c>
      <c r="W281" s="8">
        <f>EOMONTH(clean_data[[#This Row],[Date]],-1)+1</f>
        <v>44652</v>
      </c>
    </row>
    <row r="282" spans="1:23" x14ac:dyDescent="0.3">
      <c r="A282" t="s">
        <v>354</v>
      </c>
      <c r="B282" s="1">
        <v>45052</v>
      </c>
      <c r="C282" t="s">
        <v>17</v>
      </c>
      <c r="D282" t="s">
        <v>18</v>
      </c>
      <c r="E282" t="s">
        <v>73</v>
      </c>
      <c r="F282" t="s">
        <v>28</v>
      </c>
      <c r="G282" t="s">
        <v>95</v>
      </c>
      <c r="H282">
        <v>22</v>
      </c>
      <c r="I282">
        <v>75000</v>
      </c>
      <c r="J282">
        <v>15</v>
      </c>
      <c r="K282">
        <v>1402500</v>
      </c>
      <c r="L282">
        <v>771375</v>
      </c>
      <c r="M282">
        <v>631125</v>
      </c>
      <c r="N282" t="s">
        <v>22</v>
      </c>
      <c r="O282" t="s">
        <v>35</v>
      </c>
      <c r="P282" t="s">
        <v>24</v>
      </c>
      <c r="Q282" t="str">
        <f>TEXT(clean_data[[#This Row],[Date]],"mmm")</f>
        <v>May</v>
      </c>
      <c r="R282">
        <f>YEAR(clean_data[[#This Row],[Date]])</f>
        <v>2023</v>
      </c>
      <c r="S282" s="2">
        <f>clean_data[[#This Row],[Profit]]/clean_data[[#This Row],[Revenue]]</f>
        <v>0.45</v>
      </c>
      <c r="T282" t="str" cm="1">
        <f t="array" ref="T282">_xlfn.IFS(clean_data[[#This Row],[Revenue]]&lt;300000,"Small",
     clean_data[[#This Row],[Revenue]]&lt;700000,"Medium",
     TRUE,"Large")</f>
        <v>Large</v>
      </c>
      <c r="U282" t="str" cm="1">
        <f t="array" ref="U282">_xlfn.IFS(clean_data[[#This Row],[profit margin%]]&lt;0.5,"Low Profit",
     clean_data[[#This Row],[profit margin%]]&lt;0.6,"Medium Profit",
     TRUE,"High Profit")</f>
        <v>Low Profit</v>
      </c>
      <c r="V282" t="str">
        <f>TEXT(clean_data[[#This Row],[Date]],"mmm-yyyy")</f>
        <v>May-2023</v>
      </c>
      <c r="W282" s="8">
        <f>EOMONTH(clean_data[[#This Row],[Date]],-1)+1</f>
        <v>45047</v>
      </c>
    </row>
    <row r="283" spans="1:23" x14ac:dyDescent="0.3">
      <c r="A283" t="s">
        <v>355</v>
      </c>
      <c r="B283" s="1">
        <v>45069</v>
      </c>
      <c r="C283" t="s">
        <v>26</v>
      </c>
      <c r="D283" t="s">
        <v>69</v>
      </c>
      <c r="E283" t="s">
        <v>60</v>
      </c>
      <c r="F283" t="s">
        <v>33</v>
      </c>
      <c r="G283" t="s">
        <v>39</v>
      </c>
      <c r="H283">
        <v>32</v>
      </c>
      <c r="I283">
        <v>5000</v>
      </c>
      <c r="J283">
        <v>20</v>
      </c>
      <c r="K283">
        <v>128000</v>
      </c>
      <c r="L283">
        <v>64000</v>
      </c>
      <c r="M283">
        <v>64000</v>
      </c>
      <c r="N283" t="s">
        <v>49</v>
      </c>
      <c r="O283" t="s">
        <v>44</v>
      </c>
      <c r="P283" t="s">
        <v>24</v>
      </c>
      <c r="Q283" t="str">
        <f>TEXT(clean_data[[#This Row],[Date]],"mmm")</f>
        <v>May</v>
      </c>
      <c r="R283">
        <f>YEAR(clean_data[[#This Row],[Date]])</f>
        <v>2023</v>
      </c>
      <c r="S283" s="2">
        <f>clean_data[[#This Row],[Profit]]/clean_data[[#This Row],[Revenue]]</f>
        <v>0.5</v>
      </c>
      <c r="T283" t="str" cm="1">
        <f t="array" ref="T283">_xlfn.IFS(clean_data[[#This Row],[Revenue]]&lt;300000,"Small",
     clean_data[[#This Row],[Revenue]]&lt;700000,"Medium",
     TRUE,"Large")</f>
        <v>Small</v>
      </c>
      <c r="U283" t="str" cm="1">
        <f t="array" ref="U283">_xlfn.IFS(clean_data[[#This Row],[profit margin%]]&lt;0.5,"Low Profit",
     clean_data[[#This Row],[profit margin%]]&lt;0.6,"Medium Profit",
     TRUE,"High Profit")</f>
        <v>Medium Profit</v>
      </c>
      <c r="V283" t="str">
        <f>TEXT(clean_data[[#This Row],[Date]],"mmm-yyyy")</f>
        <v>May-2023</v>
      </c>
      <c r="W283" s="8">
        <f>EOMONTH(clean_data[[#This Row],[Date]],-1)+1</f>
        <v>45047</v>
      </c>
    </row>
    <row r="284" spans="1:23" x14ac:dyDescent="0.3">
      <c r="A284" t="s">
        <v>356</v>
      </c>
      <c r="B284" s="1">
        <v>45071</v>
      </c>
      <c r="C284" t="s">
        <v>26</v>
      </c>
      <c r="D284" t="s">
        <v>27</v>
      </c>
      <c r="E284" t="s">
        <v>19</v>
      </c>
      <c r="F284" t="s">
        <v>28</v>
      </c>
      <c r="G284" t="s">
        <v>95</v>
      </c>
      <c r="H284">
        <v>1</v>
      </c>
      <c r="I284">
        <v>75000</v>
      </c>
      <c r="J284">
        <v>5</v>
      </c>
      <c r="K284">
        <v>71250</v>
      </c>
      <c r="L284">
        <v>39187.5</v>
      </c>
      <c r="M284">
        <v>32062.5</v>
      </c>
      <c r="N284" t="s">
        <v>49</v>
      </c>
      <c r="O284" t="s">
        <v>50</v>
      </c>
      <c r="P284" t="s">
        <v>24</v>
      </c>
      <c r="Q284" t="str">
        <f>TEXT(clean_data[[#This Row],[Date]],"mmm")</f>
        <v>May</v>
      </c>
      <c r="R284">
        <f>YEAR(clean_data[[#This Row],[Date]])</f>
        <v>2023</v>
      </c>
      <c r="S284" s="2">
        <f>clean_data[[#This Row],[Profit]]/clean_data[[#This Row],[Revenue]]</f>
        <v>0.45</v>
      </c>
      <c r="T284" t="str" cm="1">
        <f t="array" ref="T284">_xlfn.IFS(clean_data[[#This Row],[Revenue]]&lt;300000,"Small",
     clean_data[[#This Row],[Revenue]]&lt;700000,"Medium",
     TRUE,"Large")</f>
        <v>Small</v>
      </c>
      <c r="U284" t="str" cm="1">
        <f t="array" ref="U284">_xlfn.IFS(clean_data[[#This Row],[profit margin%]]&lt;0.5,"Low Profit",
     clean_data[[#This Row],[profit margin%]]&lt;0.6,"Medium Profit",
     TRUE,"High Profit")</f>
        <v>Low Profit</v>
      </c>
      <c r="V284" t="str">
        <f>TEXT(clean_data[[#This Row],[Date]],"mmm-yyyy")</f>
        <v>May-2023</v>
      </c>
      <c r="W284" s="8">
        <f>EOMONTH(clean_data[[#This Row],[Date]],-1)+1</f>
        <v>45047</v>
      </c>
    </row>
    <row r="285" spans="1:23" x14ac:dyDescent="0.3">
      <c r="A285" t="s">
        <v>357</v>
      </c>
      <c r="B285" s="1">
        <v>45296</v>
      </c>
      <c r="C285" t="s">
        <v>46</v>
      </c>
      <c r="D285" t="s">
        <v>47</v>
      </c>
      <c r="E285" t="s">
        <v>111</v>
      </c>
      <c r="F285" t="s">
        <v>65</v>
      </c>
      <c r="G285" t="s">
        <v>104</v>
      </c>
      <c r="H285">
        <v>21</v>
      </c>
      <c r="I285">
        <v>3000</v>
      </c>
      <c r="J285">
        <v>5</v>
      </c>
      <c r="K285">
        <v>59850</v>
      </c>
      <c r="L285">
        <v>26932.5</v>
      </c>
      <c r="M285">
        <v>32917.5</v>
      </c>
      <c r="N285" t="s">
        <v>22</v>
      </c>
      <c r="O285" t="s">
        <v>50</v>
      </c>
      <c r="P285" t="s">
        <v>24</v>
      </c>
      <c r="Q285" t="str">
        <f>TEXT(clean_data[[#This Row],[Date]],"mmm")</f>
        <v>Jan</v>
      </c>
      <c r="R285">
        <f>YEAR(clean_data[[#This Row],[Date]])</f>
        <v>2024</v>
      </c>
      <c r="S285" s="2">
        <f>clean_data[[#This Row],[Profit]]/clean_data[[#This Row],[Revenue]]</f>
        <v>0.55000000000000004</v>
      </c>
      <c r="T285" t="str" cm="1">
        <f t="array" ref="T285">_xlfn.IFS(clean_data[[#This Row],[Revenue]]&lt;300000,"Small",
     clean_data[[#This Row],[Revenue]]&lt;700000,"Medium",
     TRUE,"Large")</f>
        <v>Small</v>
      </c>
      <c r="U285" t="str" cm="1">
        <f t="array" ref="U285">_xlfn.IFS(clean_data[[#This Row],[profit margin%]]&lt;0.5,"Low Profit",
     clean_data[[#This Row],[profit margin%]]&lt;0.6,"Medium Profit",
     TRUE,"High Profit")</f>
        <v>Medium Profit</v>
      </c>
      <c r="V285" t="str">
        <f>TEXT(clean_data[[#This Row],[Date]],"mmm-yyyy")</f>
        <v>Jan-2024</v>
      </c>
      <c r="W285" s="8">
        <f>EOMONTH(clean_data[[#This Row],[Date]],-1)+1</f>
        <v>45292</v>
      </c>
    </row>
    <row r="286" spans="1:23" x14ac:dyDescent="0.3">
      <c r="A286" t="s">
        <v>358</v>
      </c>
      <c r="B286" s="1">
        <v>45104</v>
      </c>
      <c r="C286" t="s">
        <v>26</v>
      </c>
      <c r="D286" t="s">
        <v>69</v>
      </c>
      <c r="E286" t="s">
        <v>52</v>
      </c>
      <c r="F286" t="s">
        <v>28</v>
      </c>
      <c r="G286" t="s">
        <v>87</v>
      </c>
      <c r="H286">
        <v>15</v>
      </c>
      <c r="I286">
        <v>45000</v>
      </c>
      <c r="J286">
        <v>20</v>
      </c>
      <c r="K286">
        <v>540000</v>
      </c>
      <c r="L286">
        <v>297000</v>
      </c>
      <c r="M286">
        <v>243000</v>
      </c>
      <c r="N286" t="s">
        <v>49</v>
      </c>
      <c r="O286" t="s">
        <v>35</v>
      </c>
      <c r="P286" t="s">
        <v>24</v>
      </c>
      <c r="Q286" t="str">
        <f>TEXT(clean_data[[#This Row],[Date]],"mmm")</f>
        <v>Jun</v>
      </c>
      <c r="R286">
        <f>YEAR(clean_data[[#This Row],[Date]])</f>
        <v>2023</v>
      </c>
      <c r="S286" s="2">
        <f>clean_data[[#This Row],[Profit]]/clean_data[[#This Row],[Revenue]]</f>
        <v>0.45</v>
      </c>
      <c r="T286" t="str" cm="1">
        <f t="array" ref="T286">_xlfn.IFS(clean_data[[#This Row],[Revenue]]&lt;300000,"Small",
     clean_data[[#This Row],[Revenue]]&lt;700000,"Medium",
     TRUE,"Large")</f>
        <v>Medium</v>
      </c>
      <c r="U286" t="str" cm="1">
        <f t="array" ref="U286">_xlfn.IFS(clean_data[[#This Row],[profit margin%]]&lt;0.5,"Low Profit",
     clean_data[[#This Row],[profit margin%]]&lt;0.6,"Medium Profit",
     TRUE,"High Profit")</f>
        <v>Low Profit</v>
      </c>
      <c r="V286" t="str">
        <f>TEXT(clean_data[[#This Row],[Date]],"mmm-yyyy")</f>
        <v>Jun-2023</v>
      </c>
      <c r="W286" s="8">
        <f>EOMONTH(clean_data[[#This Row],[Date]],-1)+1</f>
        <v>45078</v>
      </c>
    </row>
    <row r="287" spans="1:23" x14ac:dyDescent="0.3">
      <c r="A287" t="s">
        <v>359</v>
      </c>
      <c r="B287" s="1">
        <v>45471</v>
      </c>
      <c r="C287" t="s">
        <v>17</v>
      </c>
      <c r="D287" t="s">
        <v>37</v>
      </c>
      <c r="E287" t="s">
        <v>70</v>
      </c>
      <c r="F287" t="s">
        <v>28</v>
      </c>
      <c r="G287" t="s">
        <v>29</v>
      </c>
      <c r="H287">
        <v>30</v>
      </c>
      <c r="I287">
        <v>15000</v>
      </c>
      <c r="J287">
        <v>0</v>
      </c>
      <c r="K287">
        <v>450000</v>
      </c>
      <c r="L287">
        <v>247500</v>
      </c>
      <c r="M287">
        <v>202500</v>
      </c>
      <c r="N287" t="s">
        <v>30</v>
      </c>
      <c r="O287" t="s">
        <v>50</v>
      </c>
      <c r="P287" t="s">
        <v>24</v>
      </c>
      <c r="Q287" t="str">
        <f>TEXT(clean_data[[#This Row],[Date]],"mmm")</f>
        <v>Jun</v>
      </c>
      <c r="R287">
        <f>YEAR(clean_data[[#This Row],[Date]])</f>
        <v>2024</v>
      </c>
      <c r="S287" s="2">
        <f>clean_data[[#This Row],[Profit]]/clean_data[[#This Row],[Revenue]]</f>
        <v>0.45</v>
      </c>
      <c r="T287" t="str" cm="1">
        <f t="array" ref="T287">_xlfn.IFS(clean_data[[#This Row],[Revenue]]&lt;300000,"Small",
     clean_data[[#This Row],[Revenue]]&lt;700000,"Medium",
     TRUE,"Large")</f>
        <v>Medium</v>
      </c>
      <c r="U287" t="str" cm="1">
        <f t="array" ref="U287">_xlfn.IFS(clean_data[[#This Row],[profit margin%]]&lt;0.5,"Low Profit",
     clean_data[[#This Row],[profit margin%]]&lt;0.6,"Medium Profit",
     TRUE,"High Profit")</f>
        <v>Low Profit</v>
      </c>
      <c r="V287" t="str">
        <f>TEXT(clean_data[[#This Row],[Date]],"mmm-yyyy")</f>
        <v>Jun-2024</v>
      </c>
      <c r="W287" s="8">
        <f>EOMONTH(clean_data[[#This Row],[Date]],-1)+1</f>
        <v>45444</v>
      </c>
    </row>
    <row r="288" spans="1:23" x14ac:dyDescent="0.3">
      <c r="A288" t="s">
        <v>360</v>
      </c>
      <c r="B288" s="1">
        <v>45162</v>
      </c>
      <c r="C288" t="s">
        <v>46</v>
      </c>
      <c r="D288" t="s">
        <v>55</v>
      </c>
      <c r="E288" t="s">
        <v>70</v>
      </c>
      <c r="F288" t="s">
        <v>65</v>
      </c>
      <c r="G288" t="s">
        <v>104</v>
      </c>
      <c r="H288">
        <v>47</v>
      </c>
      <c r="I288">
        <v>3000</v>
      </c>
      <c r="J288">
        <v>20</v>
      </c>
      <c r="K288">
        <v>112800</v>
      </c>
      <c r="L288">
        <v>50760</v>
      </c>
      <c r="M288">
        <v>62040</v>
      </c>
      <c r="N288" t="s">
        <v>30</v>
      </c>
      <c r="O288" t="s">
        <v>35</v>
      </c>
      <c r="P288" t="s">
        <v>24</v>
      </c>
      <c r="Q288" t="str">
        <f>TEXT(clean_data[[#This Row],[Date]],"mmm")</f>
        <v>Aug</v>
      </c>
      <c r="R288">
        <f>YEAR(clean_data[[#This Row],[Date]])</f>
        <v>2023</v>
      </c>
      <c r="S288" s="2">
        <f>clean_data[[#This Row],[Profit]]/clean_data[[#This Row],[Revenue]]</f>
        <v>0.55000000000000004</v>
      </c>
      <c r="T288" t="str" cm="1">
        <f t="array" ref="T288">_xlfn.IFS(clean_data[[#This Row],[Revenue]]&lt;300000,"Small",
     clean_data[[#This Row],[Revenue]]&lt;700000,"Medium",
     TRUE,"Large")</f>
        <v>Small</v>
      </c>
      <c r="U288" t="str" cm="1">
        <f t="array" ref="U288">_xlfn.IFS(clean_data[[#This Row],[profit margin%]]&lt;0.5,"Low Profit",
     clean_data[[#This Row],[profit margin%]]&lt;0.6,"Medium Profit",
     TRUE,"High Profit")</f>
        <v>Medium Profit</v>
      </c>
      <c r="V288" t="str">
        <f>TEXT(clean_data[[#This Row],[Date]],"mmm-yyyy")</f>
        <v>Aug-2023</v>
      </c>
      <c r="W288" s="8">
        <f>EOMONTH(clean_data[[#This Row],[Date]],-1)+1</f>
        <v>45139</v>
      </c>
    </row>
    <row r="289" spans="1:23" x14ac:dyDescent="0.3">
      <c r="A289" t="s">
        <v>361</v>
      </c>
      <c r="B289" s="1">
        <v>45352</v>
      </c>
      <c r="C289" t="s">
        <v>46</v>
      </c>
      <c r="D289" t="s">
        <v>55</v>
      </c>
      <c r="E289" t="s">
        <v>56</v>
      </c>
      <c r="F289" t="s">
        <v>33</v>
      </c>
      <c r="G289" t="s">
        <v>39</v>
      </c>
      <c r="H289">
        <v>49</v>
      </c>
      <c r="I289">
        <v>5000</v>
      </c>
      <c r="J289">
        <v>15</v>
      </c>
      <c r="K289">
        <v>208250</v>
      </c>
      <c r="L289">
        <v>104125</v>
      </c>
      <c r="M289">
        <v>104125</v>
      </c>
      <c r="N289" t="s">
        <v>30</v>
      </c>
      <c r="O289" t="s">
        <v>44</v>
      </c>
      <c r="P289" t="s">
        <v>24</v>
      </c>
      <c r="Q289" t="str">
        <f>TEXT(clean_data[[#This Row],[Date]],"mmm")</f>
        <v>Mar</v>
      </c>
      <c r="R289">
        <f>YEAR(clean_data[[#This Row],[Date]])</f>
        <v>2024</v>
      </c>
      <c r="S289" s="2">
        <f>clean_data[[#This Row],[Profit]]/clean_data[[#This Row],[Revenue]]</f>
        <v>0.5</v>
      </c>
      <c r="T289" t="str" cm="1">
        <f t="array" ref="T289">_xlfn.IFS(clean_data[[#This Row],[Revenue]]&lt;300000,"Small",
     clean_data[[#This Row],[Revenue]]&lt;700000,"Medium",
     TRUE,"Large")</f>
        <v>Small</v>
      </c>
      <c r="U289" t="str" cm="1">
        <f t="array" ref="U289">_xlfn.IFS(clean_data[[#This Row],[profit margin%]]&lt;0.5,"Low Profit",
     clean_data[[#This Row],[profit margin%]]&lt;0.6,"Medium Profit",
     TRUE,"High Profit")</f>
        <v>Medium Profit</v>
      </c>
      <c r="V289" t="str">
        <f>TEXT(clean_data[[#This Row],[Date]],"mmm-yyyy")</f>
        <v>Mar-2024</v>
      </c>
      <c r="W289" s="8">
        <f>EOMONTH(clean_data[[#This Row],[Date]],-1)+1</f>
        <v>45352</v>
      </c>
    </row>
    <row r="290" spans="1:23" x14ac:dyDescent="0.3">
      <c r="A290" t="s">
        <v>362</v>
      </c>
      <c r="B290" s="1">
        <v>45573</v>
      </c>
      <c r="C290" t="s">
        <v>58</v>
      </c>
      <c r="D290" t="s">
        <v>59</v>
      </c>
      <c r="E290" t="s">
        <v>56</v>
      </c>
      <c r="F290" t="s">
        <v>20</v>
      </c>
      <c r="G290" t="s">
        <v>61</v>
      </c>
      <c r="H290">
        <v>6</v>
      </c>
      <c r="I290">
        <v>800</v>
      </c>
      <c r="J290">
        <v>0</v>
      </c>
      <c r="K290">
        <v>4800</v>
      </c>
      <c r="L290">
        <v>1920</v>
      </c>
      <c r="M290">
        <v>2880</v>
      </c>
      <c r="N290" t="s">
        <v>22</v>
      </c>
      <c r="O290" t="s">
        <v>23</v>
      </c>
      <c r="P290" t="s">
        <v>24</v>
      </c>
      <c r="Q290" t="str">
        <f>TEXT(clean_data[[#This Row],[Date]],"mmm")</f>
        <v>Oct</v>
      </c>
      <c r="R290">
        <f>YEAR(clean_data[[#This Row],[Date]])</f>
        <v>2024</v>
      </c>
      <c r="S290" s="2">
        <f>clean_data[[#This Row],[Profit]]/clean_data[[#This Row],[Revenue]]</f>
        <v>0.6</v>
      </c>
      <c r="T290" t="str" cm="1">
        <f t="array" ref="T290">_xlfn.IFS(clean_data[[#This Row],[Revenue]]&lt;300000,"Small",
     clean_data[[#This Row],[Revenue]]&lt;700000,"Medium",
     TRUE,"Large")</f>
        <v>Small</v>
      </c>
      <c r="U290" t="str" cm="1">
        <f t="array" ref="U290">_xlfn.IFS(clean_data[[#This Row],[profit margin%]]&lt;0.5,"Low Profit",
     clean_data[[#This Row],[profit margin%]]&lt;0.6,"Medium Profit",
     TRUE,"High Profit")</f>
        <v>High Profit</v>
      </c>
      <c r="V290" t="str">
        <f>TEXT(clean_data[[#This Row],[Date]],"mmm-yyyy")</f>
        <v>Oct-2024</v>
      </c>
      <c r="W290" s="8">
        <f>EOMONTH(clean_data[[#This Row],[Date]],-1)+1</f>
        <v>45566</v>
      </c>
    </row>
    <row r="291" spans="1:23" x14ac:dyDescent="0.3">
      <c r="A291" t="s">
        <v>363</v>
      </c>
      <c r="B291" s="1">
        <v>45275</v>
      </c>
      <c r="C291" t="s">
        <v>26</v>
      </c>
      <c r="D291" t="s">
        <v>27</v>
      </c>
      <c r="E291" t="s">
        <v>111</v>
      </c>
      <c r="F291" t="s">
        <v>20</v>
      </c>
      <c r="G291" t="s">
        <v>115</v>
      </c>
      <c r="H291">
        <v>5</v>
      </c>
      <c r="I291">
        <v>2500</v>
      </c>
      <c r="J291">
        <v>20</v>
      </c>
      <c r="K291">
        <v>10000</v>
      </c>
      <c r="L291">
        <v>4000</v>
      </c>
      <c r="M291">
        <v>6000</v>
      </c>
      <c r="N291" t="s">
        <v>30</v>
      </c>
      <c r="O291" t="s">
        <v>23</v>
      </c>
      <c r="P291" t="s">
        <v>40</v>
      </c>
      <c r="Q291" t="str">
        <f>TEXT(clean_data[[#This Row],[Date]],"mmm")</f>
        <v>Dec</v>
      </c>
      <c r="R291">
        <f>YEAR(clean_data[[#This Row],[Date]])</f>
        <v>2023</v>
      </c>
      <c r="S291" s="2">
        <f>clean_data[[#This Row],[Profit]]/clean_data[[#This Row],[Revenue]]</f>
        <v>0.6</v>
      </c>
      <c r="T291" t="str" cm="1">
        <f t="array" ref="T291">_xlfn.IFS(clean_data[[#This Row],[Revenue]]&lt;300000,"Small",
     clean_data[[#This Row],[Revenue]]&lt;700000,"Medium",
     TRUE,"Large")</f>
        <v>Small</v>
      </c>
      <c r="U291" t="str" cm="1">
        <f t="array" ref="U291">_xlfn.IFS(clean_data[[#This Row],[profit margin%]]&lt;0.5,"Low Profit",
     clean_data[[#This Row],[profit margin%]]&lt;0.6,"Medium Profit",
     TRUE,"High Profit")</f>
        <v>High Profit</v>
      </c>
      <c r="V291" t="str">
        <f>TEXT(clean_data[[#This Row],[Date]],"mmm-yyyy")</f>
        <v>Dec-2023</v>
      </c>
      <c r="W291" s="8">
        <f>EOMONTH(clean_data[[#This Row],[Date]],-1)+1</f>
        <v>45261</v>
      </c>
    </row>
    <row r="292" spans="1:23" x14ac:dyDescent="0.3">
      <c r="A292" t="s">
        <v>364</v>
      </c>
      <c r="B292" s="1">
        <v>44812</v>
      </c>
      <c r="C292" t="s">
        <v>17</v>
      </c>
      <c r="D292" t="s">
        <v>37</v>
      </c>
      <c r="E292" t="s">
        <v>70</v>
      </c>
      <c r="F292" t="s">
        <v>65</v>
      </c>
      <c r="G292" t="s">
        <v>124</v>
      </c>
      <c r="H292">
        <v>21</v>
      </c>
      <c r="I292">
        <v>18000</v>
      </c>
      <c r="J292">
        <v>15</v>
      </c>
      <c r="K292">
        <v>321300</v>
      </c>
      <c r="L292">
        <v>144585</v>
      </c>
      <c r="M292">
        <v>176715</v>
      </c>
      <c r="N292" t="s">
        <v>30</v>
      </c>
      <c r="O292" t="s">
        <v>35</v>
      </c>
      <c r="P292" t="s">
        <v>24</v>
      </c>
      <c r="Q292" t="str">
        <f>TEXT(clean_data[[#This Row],[Date]],"mmm")</f>
        <v>Sep</v>
      </c>
      <c r="R292">
        <f>YEAR(clean_data[[#This Row],[Date]])</f>
        <v>2022</v>
      </c>
      <c r="S292" s="2">
        <f>clean_data[[#This Row],[Profit]]/clean_data[[#This Row],[Revenue]]</f>
        <v>0.55000000000000004</v>
      </c>
      <c r="T292" t="str" cm="1">
        <f t="array" ref="T292">_xlfn.IFS(clean_data[[#This Row],[Revenue]]&lt;300000,"Small",
     clean_data[[#This Row],[Revenue]]&lt;700000,"Medium",
     TRUE,"Large")</f>
        <v>Medium</v>
      </c>
      <c r="U292" t="str" cm="1">
        <f t="array" ref="U292">_xlfn.IFS(clean_data[[#This Row],[profit margin%]]&lt;0.5,"Low Profit",
     clean_data[[#This Row],[profit margin%]]&lt;0.6,"Medium Profit",
     TRUE,"High Profit")</f>
        <v>Medium Profit</v>
      </c>
      <c r="V292" t="str">
        <f>TEXT(clean_data[[#This Row],[Date]],"mmm-yyyy")</f>
        <v>Sep-2022</v>
      </c>
      <c r="W292" s="8">
        <f>EOMONTH(clean_data[[#This Row],[Date]],-1)+1</f>
        <v>44805</v>
      </c>
    </row>
    <row r="293" spans="1:23" x14ac:dyDescent="0.3">
      <c r="A293" t="s">
        <v>365</v>
      </c>
      <c r="B293" s="1">
        <v>44931</v>
      </c>
      <c r="C293" t="s">
        <v>26</v>
      </c>
      <c r="D293" t="s">
        <v>27</v>
      </c>
      <c r="E293" t="s">
        <v>52</v>
      </c>
      <c r="F293" t="s">
        <v>20</v>
      </c>
      <c r="G293" t="s">
        <v>115</v>
      </c>
      <c r="H293">
        <v>30</v>
      </c>
      <c r="I293">
        <v>2500</v>
      </c>
      <c r="J293">
        <v>10</v>
      </c>
      <c r="K293">
        <v>67500</v>
      </c>
      <c r="L293">
        <v>27000</v>
      </c>
      <c r="M293">
        <v>40500</v>
      </c>
      <c r="N293" t="s">
        <v>30</v>
      </c>
      <c r="O293" t="s">
        <v>67</v>
      </c>
      <c r="P293" t="s">
        <v>24</v>
      </c>
      <c r="Q293" t="str">
        <f>TEXT(clean_data[[#This Row],[Date]],"mmm")</f>
        <v>Jan</v>
      </c>
      <c r="R293">
        <f>YEAR(clean_data[[#This Row],[Date]])</f>
        <v>2023</v>
      </c>
      <c r="S293" s="2">
        <f>clean_data[[#This Row],[Profit]]/clean_data[[#This Row],[Revenue]]</f>
        <v>0.6</v>
      </c>
      <c r="T293" t="str" cm="1">
        <f t="array" ref="T293">_xlfn.IFS(clean_data[[#This Row],[Revenue]]&lt;300000,"Small",
     clean_data[[#This Row],[Revenue]]&lt;700000,"Medium",
     TRUE,"Large")</f>
        <v>Small</v>
      </c>
      <c r="U293" t="str" cm="1">
        <f t="array" ref="U293">_xlfn.IFS(clean_data[[#This Row],[profit margin%]]&lt;0.5,"Low Profit",
     clean_data[[#This Row],[profit margin%]]&lt;0.6,"Medium Profit",
     TRUE,"High Profit")</f>
        <v>High Profit</v>
      </c>
      <c r="V293" t="str">
        <f>TEXT(clean_data[[#This Row],[Date]],"mmm-yyyy")</f>
        <v>Jan-2023</v>
      </c>
      <c r="W293" s="8">
        <f>EOMONTH(clean_data[[#This Row],[Date]],-1)+1</f>
        <v>44927</v>
      </c>
    </row>
    <row r="294" spans="1:23" x14ac:dyDescent="0.3">
      <c r="A294" t="s">
        <v>366</v>
      </c>
      <c r="B294" s="1">
        <v>45255</v>
      </c>
      <c r="C294" t="s">
        <v>46</v>
      </c>
      <c r="D294" t="s">
        <v>55</v>
      </c>
      <c r="E294" t="s">
        <v>73</v>
      </c>
      <c r="F294" t="s">
        <v>65</v>
      </c>
      <c r="G294" t="s">
        <v>124</v>
      </c>
      <c r="H294">
        <v>8</v>
      </c>
      <c r="I294">
        <v>18000</v>
      </c>
      <c r="J294">
        <v>0</v>
      </c>
      <c r="K294">
        <v>144000</v>
      </c>
      <c r="L294">
        <v>64800</v>
      </c>
      <c r="M294">
        <v>79200</v>
      </c>
      <c r="N294" t="s">
        <v>22</v>
      </c>
      <c r="O294" t="s">
        <v>50</v>
      </c>
      <c r="P294" t="s">
        <v>24</v>
      </c>
      <c r="Q294" t="str">
        <f>TEXT(clean_data[[#This Row],[Date]],"mmm")</f>
        <v>Nov</v>
      </c>
      <c r="R294">
        <f>YEAR(clean_data[[#This Row],[Date]])</f>
        <v>2023</v>
      </c>
      <c r="S294" s="2">
        <f>clean_data[[#This Row],[Profit]]/clean_data[[#This Row],[Revenue]]</f>
        <v>0.55000000000000004</v>
      </c>
      <c r="T294" t="str" cm="1">
        <f t="array" ref="T294">_xlfn.IFS(clean_data[[#This Row],[Revenue]]&lt;300000,"Small",
     clean_data[[#This Row],[Revenue]]&lt;700000,"Medium",
     TRUE,"Large")</f>
        <v>Small</v>
      </c>
      <c r="U294" t="str" cm="1">
        <f t="array" ref="U294">_xlfn.IFS(clean_data[[#This Row],[profit margin%]]&lt;0.5,"Low Profit",
     clean_data[[#This Row],[profit margin%]]&lt;0.6,"Medium Profit",
     TRUE,"High Profit")</f>
        <v>Medium Profit</v>
      </c>
      <c r="V294" t="str">
        <f>TEXT(clean_data[[#This Row],[Date]],"mmm-yyyy")</f>
        <v>Nov-2023</v>
      </c>
      <c r="W294" s="8">
        <f>EOMONTH(clean_data[[#This Row],[Date]],-1)+1</f>
        <v>45231</v>
      </c>
    </row>
    <row r="295" spans="1:23" x14ac:dyDescent="0.3">
      <c r="A295" t="s">
        <v>367</v>
      </c>
      <c r="B295" s="1">
        <v>44627</v>
      </c>
      <c r="C295" t="s">
        <v>17</v>
      </c>
      <c r="D295" t="s">
        <v>18</v>
      </c>
      <c r="E295" t="s">
        <v>52</v>
      </c>
      <c r="F295" t="s">
        <v>20</v>
      </c>
      <c r="G295" t="s">
        <v>61</v>
      </c>
      <c r="H295">
        <v>26</v>
      </c>
      <c r="I295">
        <v>800</v>
      </c>
      <c r="J295">
        <v>20</v>
      </c>
      <c r="K295">
        <v>16640</v>
      </c>
      <c r="L295">
        <v>6656</v>
      </c>
      <c r="M295">
        <v>9984</v>
      </c>
      <c r="N295" t="s">
        <v>22</v>
      </c>
      <c r="O295" t="s">
        <v>50</v>
      </c>
      <c r="P295" t="s">
        <v>24</v>
      </c>
      <c r="Q295" t="str">
        <f>TEXT(clean_data[[#This Row],[Date]],"mmm")</f>
        <v>Mar</v>
      </c>
      <c r="R295">
        <f>YEAR(clean_data[[#This Row],[Date]])</f>
        <v>2022</v>
      </c>
      <c r="S295" s="2">
        <f>clean_data[[#This Row],[Profit]]/clean_data[[#This Row],[Revenue]]</f>
        <v>0.6</v>
      </c>
      <c r="T295" t="str" cm="1">
        <f t="array" ref="T295">_xlfn.IFS(clean_data[[#This Row],[Revenue]]&lt;300000,"Small",
     clean_data[[#This Row],[Revenue]]&lt;700000,"Medium",
     TRUE,"Large")</f>
        <v>Small</v>
      </c>
      <c r="U295" t="str" cm="1">
        <f t="array" ref="U295">_xlfn.IFS(clean_data[[#This Row],[profit margin%]]&lt;0.5,"Low Profit",
     clean_data[[#This Row],[profit margin%]]&lt;0.6,"Medium Profit",
     TRUE,"High Profit")</f>
        <v>High Profit</v>
      </c>
      <c r="V295" t="str">
        <f>TEXT(clean_data[[#This Row],[Date]],"mmm-yyyy")</f>
        <v>Mar-2022</v>
      </c>
      <c r="W295" s="8">
        <f>EOMONTH(clean_data[[#This Row],[Date]],-1)+1</f>
        <v>44621</v>
      </c>
    </row>
    <row r="296" spans="1:23" x14ac:dyDescent="0.3">
      <c r="A296" t="s">
        <v>368</v>
      </c>
      <c r="B296" s="1">
        <v>45073</v>
      </c>
      <c r="C296" t="s">
        <v>46</v>
      </c>
      <c r="D296" t="s">
        <v>47</v>
      </c>
      <c r="E296" t="s">
        <v>32</v>
      </c>
      <c r="F296" t="s">
        <v>65</v>
      </c>
      <c r="G296" t="s">
        <v>79</v>
      </c>
      <c r="H296">
        <v>48</v>
      </c>
      <c r="I296">
        <v>900</v>
      </c>
      <c r="J296">
        <v>20</v>
      </c>
      <c r="K296">
        <v>34560</v>
      </c>
      <c r="L296">
        <v>15552</v>
      </c>
      <c r="M296">
        <v>19008</v>
      </c>
      <c r="N296" t="s">
        <v>30</v>
      </c>
      <c r="O296" t="s">
        <v>23</v>
      </c>
      <c r="P296" t="s">
        <v>24</v>
      </c>
      <c r="Q296" t="str">
        <f>TEXT(clean_data[[#This Row],[Date]],"mmm")</f>
        <v>May</v>
      </c>
      <c r="R296">
        <f>YEAR(clean_data[[#This Row],[Date]])</f>
        <v>2023</v>
      </c>
      <c r="S296" s="2">
        <f>clean_data[[#This Row],[Profit]]/clean_data[[#This Row],[Revenue]]</f>
        <v>0.55000000000000004</v>
      </c>
      <c r="T296" t="str" cm="1">
        <f t="array" ref="T296">_xlfn.IFS(clean_data[[#This Row],[Revenue]]&lt;300000,"Small",
     clean_data[[#This Row],[Revenue]]&lt;700000,"Medium",
     TRUE,"Large")</f>
        <v>Small</v>
      </c>
      <c r="U296" t="str" cm="1">
        <f t="array" ref="U296">_xlfn.IFS(clean_data[[#This Row],[profit margin%]]&lt;0.5,"Low Profit",
     clean_data[[#This Row],[profit margin%]]&lt;0.6,"Medium Profit",
     TRUE,"High Profit")</f>
        <v>Medium Profit</v>
      </c>
      <c r="V296" t="str">
        <f>TEXT(clean_data[[#This Row],[Date]],"mmm-yyyy")</f>
        <v>May-2023</v>
      </c>
      <c r="W296" s="8">
        <f>EOMONTH(clean_data[[#This Row],[Date]],-1)+1</f>
        <v>45047</v>
      </c>
    </row>
    <row r="297" spans="1:23" x14ac:dyDescent="0.3">
      <c r="A297" t="s">
        <v>369</v>
      </c>
      <c r="B297" s="1">
        <v>44768</v>
      </c>
      <c r="C297" t="s">
        <v>46</v>
      </c>
      <c r="D297" t="s">
        <v>47</v>
      </c>
      <c r="E297" t="s">
        <v>56</v>
      </c>
      <c r="F297" t="s">
        <v>28</v>
      </c>
      <c r="G297" t="s">
        <v>87</v>
      </c>
      <c r="H297">
        <v>9</v>
      </c>
      <c r="I297">
        <v>45000</v>
      </c>
      <c r="J297">
        <v>5</v>
      </c>
      <c r="K297">
        <v>384750</v>
      </c>
      <c r="L297">
        <v>211612.5</v>
      </c>
      <c r="M297">
        <v>173137.5</v>
      </c>
      <c r="N297" t="s">
        <v>49</v>
      </c>
      <c r="O297" t="s">
        <v>35</v>
      </c>
      <c r="P297" t="s">
        <v>24</v>
      </c>
      <c r="Q297" t="str">
        <f>TEXT(clean_data[[#This Row],[Date]],"mmm")</f>
        <v>Jul</v>
      </c>
      <c r="R297">
        <f>YEAR(clean_data[[#This Row],[Date]])</f>
        <v>2022</v>
      </c>
      <c r="S297" s="2">
        <f>clean_data[[#This Row],[Profit]]/clean_data[[#This Row],[Revenue]]</f>
        <v>0.45</v>
      </c>
      <c r="T297" t="str" cm="1">
        <f t="array" ref="T297">_xlfn.IFS(clean_data[[#This Row],[Revenue]]&lt;300000,"Small",
     clean_data[[#This Row],[Revenue]]&lt;700000,"Medium",
     TRUE,"Large")</f>
        <v>Medium</v>
      </c>
      <c r="U297" t="str" cm="1">
        <f t="array" ref="U297">_xlfn.IFS(clean_data[[#This Row],[profit margin%]]&lt;0.5,"Low Profit",
     clean_data[[#This Row],[profit margin%]]&lt;0.6,"Medium Profit",
     TRUE,"High Profit")</f>
        <v>Low Profit</v>
      </c>
      <c r="V297" t="str">
        <f>TEXT(clean_data[[#This Row],[Date]],"mmm-yyyy")</f>
        <v>Jul-2022</v>
      </c>
      <c r="W297" s="8">
        <f>EOMONTH(clean_data[[#This Row],[Date]],-1)+1</f>
        <v>44743</v>
      </c>
    </row>
    <row r="298" spans="1:23" x14ac:dyDescent="0.3">
      <c r="A298" t="s">
        <v>370</v>
      </c>
      <c r="B298" s="1">
        <v>45073</v>
      </c>
      <c r="C298" t="s">
        <v>26</v>
      </c>
      <c r="D298" t="s">
        <v>27</v>
      </c>
      <c r="E298" t="s">
        <v>52</v>
      </c>
      <c r="F298" t="s">
        <v>20</v>
      </c>
      <c r="G298" t="s">
        <v>115</v>
      </c>
      <c r="H298">
        <v>9</v>
      </c>
      <c r="I298">
        <v>2500</v>
      </c>
      <c r="J298">
        <v>0</v>
      </c>
      <c r="K298">
        <v>22500</v>
      </c>
      <c r="L298">
        <v>9000</v>
      </c>
      <c r="M298">
        <v>13500</v>
      </c>
      <c r="N298" t="s">
        <v>30</v>
      </c>
      <c r="O298" t="s">
        <v>35</v>
      </c>
      <c r="P298" t="s">
        <v>24</v>
      </c>
      <c r="Q298" t="str">
        <f>TEXT(clean_data[[#This Row],[Date]],"mmm")</f>
        <v>May</v>
      </c>
      <c r="R298">
        <f>YEAR(clean_data[[#This Row],[Date]])</f>
        <v>2023</v>
      </c>
      <c r="S298" s="2">
        <f>clean_data[[#This Row],[Profit]]/clean_data[[#This Row],[Revenue]]</f>
        <v>0.6</v>
      </c>
      <c r="T298" t="str" cm="1">
        <f t="array" ref="T298">_xlfn.IFS(clean_data[[#This Row],[Revenue]]&lt;300000,"Small",
     clean_data[[#This Row],[Revenue]]&lt;700000,"Medium",
     TRUE,"Large")</f>
        <v>Small</v>
      </c>
      <c r="U298" t="str" cm="1">
        <f t="array" ref="U298">_xlfn.IFS(clean_data[[#This Row],[profit margin%]]&lt;0.5,"Low Profit",
     clean_data[[#This Row],[profit margin%]]&lt;0.6,"Medium Profit",
     TRUE,"High Profit")</f>
        <v>High Profit</v>
      </c>
      <c r="V298" t="str">
        <f>TEXT(clean_data[[#This Row],[Date]],"mmm-yyyy")</f>
        <v>May-2023</v>
      </c>
      <c r="W298" s="8">
        <f>EOMONTH(clean_data[[#This Row],[Date]],-1)+1</f>
        <v>45047</v>
      </c>
    </row>
    <row r="299" spans="1:23" x14ac:dyDescent="0.3">
      <c r="A299" t="s">
        <v>371</v>
      </c>
      <c r="B299" s="1">
        <v>45445</v>
      </c>
      <c r="C299" t="s">
        <v>46</v>
      </c>
      <c r="D299" t="s">
        <v>55</v>
      </c>
      <c r="E299" t="s">
        <v>32</v>
      </c>
      <c r="F299" t="s">
        <v>65</v>
      </c>
      <c r="G299" t="s">
        <v>117</v>
      </c>
      <c r="H299">
        <v>25</v>
      </c>
      <c r="I299">
        <v>1200</v>
      </c>
      <c r="J299">
        <v>15</v>
      </c>
      <c r="K299">
        <v>25500</v>
      </c>
      <c r="L299">
        <v>11475</v>
      </c>
      <c r="M299">
        <v>14025</v>
      </c>
      <c r="N299" t="s">
        <v>49</v>
      </c>
      <c r="O299" t="s">
        <v>44</v>
      </c>
      <c r="P299" t="s">
        <v>24</v>
      </c>
      <c r="Q299" t="str">
        <f>TEXT(clean_data[[#This Row],[Date]],"mmm")</f>
        <v>Jun</v>
      </c>
      <c r="R299">
        <f>YEAR(clean_data[[#This Row],[Date]])</f>
        <v>2024</v>
      </c>
      <c r="S299" s="2">
        <f>clean_data[[#This Row],[Profit]]/clean_data[[#This Row],[Revenue]]</f>
        <v>0.55000000000000004</v>
      </c>
      <c r="T299" t="str" cm="1">
        <f t="array" ref="T299">_xlfn.IFS(clean_data[[#This Row],[Revenue]]&lt;300000,"Small",
     clean_data[[#This Row],[Revenue]]&lt;700000,"Medium",
     TRUE,"Large")</f>
        <v>Small</v>
      </c>
      <c r="U299" t="str" cm="1">
        <f t="array" ref="U299">_xlfn.IFS(clean_data[[#This Row],[profit margin%]]&lt;0.5,"Low Profit",
     clean_data[[#This Row],[profit margin%]]&lt;0.6,"Medium Profit",
     TRUE,"High Profit")</f>
        <v>Medium Profit</v>
      </c>
      <c r="V299" t="str">
        <f>TEXT(clean_data[[#This Row],[Date]],"mmm-yyyy")</f>
        <v>Jun-2024</v>
      </c>
      <c r="W299" s="8">
        <f>EOMONTH(clean_data[[#This Row],[Date]],-1)+1</f>
        <v>45444</v>
      </c>
    </row>
    <row r="300" spans="1:23" x14ac:dyDescent="0.3">
      <c r="A300" t="s">
        <v>372</v>
      </c>
      <c r="B300" s="1">
        <v>44904</v>
      </c>
      <c r="C300" t="s">
        <v>17</v>
      </c>
      <c r="D300" t="s">
        <v>37</v>
      </c>
      <c r="E300" t="s">
        <v>78</v>
      </c>
      <c r="F300" t="s">
        <v>28</v>
      </c>
      <c r="G300" t="s">
        <v>29</v>
      </c>
      <c r="H300">
        <v>40</v>
      </c>
      <c r="I300">
        <v>15000</v>
      </c>
      <c r="J300">
        <v>20</v>
      </c>
      <c r="K300">
        <v>480000</v>
      </c>
      <c r="L300">
        <v>264000</v>
      </c>
      <c r="M300">
        <v>216000</v>
      </c>
      <c r="N300" t="s">
        <v>22</v>
      </c>
      <c r="O300" t="s">
        <v>50</v>
      </c>
      <c r="P300" t="s">
        <v>24</v>
      </c>
      <c r="Q300" t="str">
        <f>TEXT(clean_data[[#This Row],[Date]],"mmm")</f>
        <v>Dec</v>
      </c>
      <c r="R300">
        <f>YEAR(clean_data[[#This Row],[Date]])</f>
        <v>2022</v>
      </c>
      <c r="S300" s="2">
        <f>clean_data[[#This Row],[Profit]]/clean_data[[#This Row],[Revenue]]</f>
        <v>0.45</v>
      </c>
      <c r="T300" t="str" cm="1">
        <f t="array" ref="T300">_xlfn.IFS(clean_data[[#This Row],[Revenue]]&lt;300000,"Small",
     clean_data[[#This Row],[Revenue]]&lt;700000,"Medium",
     TRUE,"Large")</f>
        <v>Medium</v>
      </c>
      <c r="U300" t="str" cm="1">
        <f t="array" ref="U300">_xlfn.IFS(clean_data[[#This Row],[profit margin%]]&lt;0.5,"Low Profit",
     clean_data[[#This Row],[profit margin%]]&lt;0.6,"Medium Profit",
     TRUE,"High Profit")</f>
        <v>Low Profit</v>
      </c>
      <c r="V300" t="str">
        <f>TEXT(clean_data[[#This Row],[Date]],"mmm-yyyy")</f>
        <v>Dec-2022</v>
      </c>
      <c r="W300" s="8">
        <f>EOMONTH(clean_data[[#This Row],[Date]],-1)+1</f>
        <v>44896</v>
      </c>
    </row>
    <row r="301" spans="1:23" x14ac:dyDescent="0.3">
      <c r="A301" t="s">
        <v>373</v>
      </c>
      <c r="B301" s="1">
        <v>45518</v>
      </c>
      <c r="C301" t="s">
        <v>58</v>
      </c>
      <c r="D301" t="s">
        <v>84</v>
      </c>
      <c r="E301" t="s">
        <v>52</v>
      </c>
      <c r="F301" t="s">
        <v>33</v>
      </c>
      <c r="G301" t="s">
        <v>48</v>
      </c>
      <c r="H301">
        <v>9</v>
      </c>
      <c r="I301">
        <v>1500</v>
      </c>
      <c r="J301">
        <v>15</v>
      </c>
      <c r="K301">
        <v>11475</v>
      </c>
      <c r="L301">
        <v>5737.5</v>
      </c>
      <c r="M301">
        <v>5737.5</v>
      </c>
      <c r="N301" t="s">
        <v>22</v>
      </c>
      <c r="O301" t="s">
        <v>67</v>
      </c>
      <c r="P301" t="s">
        <v>24</v>
      </c>
      <c r="Q301" t="str">
        <f>TEXT(clean_data[[#This Row],[Date]],"mmm")</f>
        <v>Aug</v>
      </c>
      <c r="R301">
        <f>YEAR(clean_data[[#This Row],[Date]])</f>
        <v>2024</v>
      </c>
      <c r="S301" s="2">
        <f>clean_data[[#This Row],[Profit]]/clean_data[[#This Row],[Revenue]]</f>
        <v>0.5</v>
      </c>
      <c r="T301" t="str" cm="1">
        <f t="array" ref="T301">_xlfn.IFS(clean_data[[#This Row],[Revenue]]&lt;300000,"Small",
     clean_data[[#This Row],[Revenue]]&lt;700000,"Medium",
     TRUE,"Large")</f>
        <v>Small</v>
      </c>
      <c r="U301" t="str" cm="1">
        <f t="array" ref="U301">_xlfn.IFS(clean_data[[#This Row],[profit margin%]]&lt;0.5,"Low Profit",
     clean_data[[#This Row],[profit margin%]]&lt;0.6,"Medium Profit",
     TRUE,"High Profit")</f>
        <v>Medium Profit</v>
      </c>
      <c r="V301" t="str">
        <f>TEXT(clean_data[[#This Row],[Date]],"mmm-yyyy")</f>
        <v>Aug-2024</v>
      </c>
      <c r="W301" s="8">
        <f>EOMONTH(clean_data[[#This Row],[Date]],-1)+1</f>
        <v>45505</v>
      </c>
    </row>
    <row r="302" spans="1:23" x14ac:dyDescent="0.3">
      <c r="A302" t="s">
        <v>374</v>
      </c>
      <c r="B302" s="1">
        <v>45037</v>
      </c>
      <c r="C302" t="s">
        <v>26</v>
      </c>
      <c r="D302" t="s">
        <v>69</v>
      </c>
      <c r="E302" t="s">
        <v>70</v>
      </c>
      <c r="F302" t="s">
        <v>65</v>
      </c>
      <c r="G302" t="s">
        <v>79</v>
      </c>
      <c r="H302">
        <v>32</v>
      </c>
      <c r="I302">
        <v>900</v>
      </c>
      <c r="J302">
        <v>10</v>
      </c>
      <c r="K302">
        <v>25920</v>
      </c>
      <c r="L302">
        <v>11664</v>
      </c>
      <c r="M302">
        <v>14256</v>
      </c>
      <c r="N302" t="s">
        <v>22</v>
      </c>
      <c r="O302" t="s">
        <v>50</v>
      </c>
      <c r="P302" t="s">
        <v>40</v>
      </c>
      <c r="Q302" t="str">
        <f>TEXT(clean_data[[#This Row],[Date]],"mmm")</f>
        <v>Apr</v>
      </c>
      <c r="R302">
        <f>YEAR(clean_data[[#This Row],[Date]])</f>
        <v>2023</v>
      </c>
      <c r="S302" s="2">
        <f>clean_data[[#This Row],[Profit]]/clean_data[[#This Row],[Revenue]]</f>
        <v>0.55000000000000004</v>
      </c>
      <c r="T302" t="str" cm="1">
        <f t="array" ref="T302">_xlfn.IFS(clean_data[[#This Row],[Revenue]]&lt;300000,"Small",
     clean_data[[#This Row],[Revenue]]&lt;700000,"Medium",
     TRUE,"Large")</f>
        <v>Small</v>
      </c>
      <c r="U302" t="str" cm="1">
        <f t="array" ref="U302">_xlfn.IFS(clean_data[[#This Row],[profit margin%]]&lt;0.5,"Low Profit",
     clean_data[[#This Row],[profit margin%]]&lt;0.6,"Medium Profit",
     TRUE,"High Profit")</f>
        <v>Medium Profit</v>
      </c>
      <c r="V302" t="str">
        <f>TEXT(clean_data[[#This Row],[Date]],"mmm-yyyy")</f>
        <v>Apr-2023</v>
      </c>
      <c r="W302" s="8">
        <f>EOMONTH(clean_data[[#This Row],[Date]],-1)+1</f>
        <v>45017</v>
      </c>
    </row>
    <row r="303" spans="1:23" x14ac:dyDescent="0.3">
      <c r="A303" t="s">
        <v>375</v>
      </c>
      <c r="B303" s="1">
        <v>45300</v>
      </c>
      <c r="C303" t="s">
        <v>46</v>
      </c>
      <c r="D303" t="s">
        <v>47</v>
      </c>
      <c r="E303" t="s">
        <v>70</v>
      </c>
      <c r="F303" t="s">
        <v>20</v>
      </c>
      <c r="G303" t="s">
        <v>21</v>
      </c>
      <c r="H303">
        <v>50</v>
      </c>
      <c r="I303">
        <v>3500</v>
      </c>
      <c r="J303">
        <v>10</v>
      </c>
      <c r="K303">
        <v>157500</v>
      </c>
      <c r="L303">
        <v>63000</v>
      </c>
      <c r="M303">
        <v>94500</v>
      </c>
      <c r="N303" t="s">
        <v>49</v>
      </c>
      <c r="O303" t="s">
        <v>67</v>
      </c>
      <c r="P303" t="s">
        <v>24</v>
      </c>
      <c r="Q303" t="str">
        <f>TEXT(clean_data[[#This Row],[Date]],"mmm")</f>
        <v>Jan</v>
      </c>
      <c r="R303">
        <f>YEAR(clean_data[[#This Row],[Date]])</f>
        <v>2024</v>
      </c>
      <c r="S303" s="2">
        <f>clean_data[[#This Row],[Profit]]/clean_data[[#This Row],[Revenue]]</f>
        <v>0.6</v>
      </c>
      <c r="T303" t="str" cm="1">
        <f t="array" ref="T303">_xlfn.IFS(clean_data[[#This Row],[Revenue]]&lt;300000,"Small",
     clean_data[[#This Row],[Revenue]]&lt;700000,"Medium",
     TRUE,"Large")</f>
        <v>Small</v>
      </c>
      <c r="U303" t="str" cm="1">
        <f t="array" ref="U303">_xlfn.IFS(clean_data[[#This Row],[profit margin%]]&lt;0.5,"Low Profit",
     clean_data[[#This Row],[profit margin%]]&lt;0.6,"Medium Profit",
     TRUE,"High Profit")</f>
        <v>High Profit</v>
      </c>
      <c r="V303" t="str">
        <f>TEXT(clean_data[[#This Row],[Date]],"mmm-yyyy")</f>
        <v>Jan-2024</v>
      </c>
      <c r="W303" s="8">
        <f>EOMONTH(clean_data[[#This Row],[Date]],-1)+1</f>
        <v>45292</v>
      </c>
    </row>
    <row r="304" spans="1:23" x14ac:dyDescent="0.3">
      <c r="A304" t="s">
        <v>376</v>
      </c>
      <c r="B304" s="1">
        <v>45255</v>
      </c>
      <c r="C304" t="s">
        <v>46</v>
      </c>
      <c r="D304" t="s">
        <v>47</v>
      </c>
      <c r="E304" t="s">
        <v>52</v>
      </c>
      <c r="F304" t="s">
        <v>20</v>
      </c>
      <c r="G304" t="s">
        <v>74</v>
      </c>
      <c r="H304">
        <v>18</v>
      </c>
      <c r="I304">
        <v>4200</v>
      </c>
      <c r="J304">
        <v>20</v>
      </c>
      <c r="K304">
        <v>60480</v>
      </c>
      <c r="L304">
        <v>24192</v>
      </c>
      <c r="M304">
        <v>36288</v>
      </c>
      <c r="N304" t="s">
        <v>30</v>
      </c>
      <c r="O304" t="s">
        <v>67</v>
      </c>
      <c r="P304" t="s">
        <v>24</v>
      </c>
      <c r="Q304" t="str">
        <f>TEXT(clean_data[[#This Row],[Date]],"mmm")</f>
        <v>Nov</v>
      </c>
      <c r="R304">
        <f>YEAR(clean_data[[#This Row],[Date]])</f>
        <v>2023</v>
      </c>
      <c r="S304" s="2">
        <f>clean_data[[#This Row],[Profit]]/clean_data[[#This Row],[Revenue]]</f>
        <v>0.6</v>
      </c>
      <c r="T304" t="str" cm="1">
        <f t="array" ref="T304">_xlfn.IFS(clean_data[[#This Row],[Revenue]]&lt;300000,"Small",
     clean_data[[#This Row],[Revenue]]&lt;700000,"Medium",
     TRUE,"Large")</f>
        <v>Small</v>
      </c>
      <c r="U304" t="str" cm="1">
        <f t="array" ref="U304">_xlfn.IFS(clean_data[[#This Row],[profit margin%]]&lt;0.5,"Low Profit",
     clean_data[[#This Row],[profit margin%]]&lt;0.6,"Medium Profit",
     TRUE,"High Profit")</f>
        <v>High Profit</v>
      </c>
      <c r="V304" t="str">
        <f>TEXT(clean_data[[#This Row],[Date]],"mmm-yyyy")</f>
        <v>Nov-2023</v>
      </c>
      <c r="W304" s="8">
        <f>EOMONTH(clean_data[[#This Row],[Date]],-1)+1</f>
        <v>45231</v>
      </c>
    </row>
    <row r="305" spans="1:23" x14ac:dyDescent="0.3">
      <c r="A305" t="s">
        <v>377</v>
      </c>
      <c r="B305" s="1">
        <v>45303</v>
      </c>
      <c r="C305" t="s">
        <v>46</v>
      </c>
      <c r="D305" t="s">
        <v>47</v>
      </c>
      <c r="E305" t="s">
        <v>19</v>
      </c>
      <c r="F305" t="s">
        <v>33</v>
      </c>
      <c r="G305" t="s">
        <v>34</v>
      </c>
      <c r="H305">
        <v>38</v>
      </c>
      <c r="I305">
        <v>25000</v>
      </c>
      <c r="J305">
        <v>0</v>
      </c>
      <c r="K305">
        <v>950000</v>
      </c>
      <c r="L305">
        <v>475000</v>
      </c>
      <c r="M305">
        <v>475000</v>
      </c>
      <c r="N305" t="s">
        <v>22</v>
      </c>
      <c r="O305" t="s">
        <v>67</v>
      </c>
      <c r="P305" t="s">
        <v>24</v>
      </c>
      <c r="Q305" t="str">
        <f>TEXT(clean_data[[#This Row],[Date]],"mmm")</f>
        <v>Jan</v>
      </c>
      <c r="R305">
        <f>YEAR(clean_data[[#This Row],[Date]])</f>
        <v>2024</v>
      </c>
      <c r="S305" s="2">
        <f>clean_data[[#This Row],[Profit]]/clean_data[[#This Row],[Revenue]]</f>
        <v>0.5</v>
      </c>
      <c r="T305" t="str" cm="1">
        <f t="array" ref="T305">_xlfn.IFS(clean_data[[#This Row],[Revenue]]&lt;300000,"Small",
     clean_data[[#This Row],[Revenue]]&lt;700000,"Medium",
     TRUE,"Large")</f>
        <v>Large</v>
      </c>
      <c r="U305" t="str" cm="1">
        <f t="array" ref="U305">_xlfn.IFS(clean_data[[#This Row],[profit margin%]]&lt;0.5,"Low Profit",
     clean_data[[#This Row],[profit margin%]]&lt;0.6,"Medium Profit",
     TRUE,"High Profit")</f>
        <v>Medium Profit</v>
      </c>
      <c r="V305" t="str">
        <f>TEXT(clean_data[[#This Row],[Date]],"mmm-yyyy")</f>
        <v>Jan-2024</v>
      </c>
      <c r="W305" s="8">
        <f>EOMONTH(clean_data[[#This Row],[Date]],-1)+1</f>
        <v>45292</v>
      </c>
    </row>
    <row r="306" spans="1:23" x14ac:dyDescent="0.3">
      <c r="A306" t="s">
        <v>378</v>
      </c>
      <c r="B306" s="1">
        <v>44853</v>
      </c>
      <c r="C306" t="s">
        <v>46</v>
      </c>
      <c r="D306" t="s">
        <v>55</v>
      </c>
      <c r="E306" t="s">
        <v>111</v>
      </c>
      <c r="F306" t="s">
        <v>33</v>
      </c>
      <c r="G306" t="s">
        <v>76</v>
      </c>
      <c r="H306">
        <v>32</v>
      </c>
      <c r="I306">
        <v>8500</v>
      </c>
      <c r="J306">
        <v>0</v>
      </c>
      <c r="K306">
        <v>272000</v>
      </c>
      <c r="L306">
        <v>136000</v>
      </c>
      <c r="M306">
        <v>136000</v>
      </c>
      <c r="N306" t="s">
        <v>30</v>
      </c>
      <c r="O306" t="s">
        <v>44</v>
      </c>
      <c r="P306" t="s">
        <v>24</v>
      </c>
      <c r="Q306" t="str">
        <f>TEXT(clean_data[[#This Row],[Date]],"mmm")</f>
        <v>Oct</v>
      </c>
      <c r="R306">
        <f>YEAR(clean_data[[#This Row],[Date]])</f>
        <v>2022</v>
      </c>
      <c r="S306" s="2">
        <f>clean_data[[#This Row],[Profit]]/clean_data[[#This Row],[Revenue]]</f>
        <v>0.5</v>
      </c>
      <c r="T306" t="str" cm="1">
        <f t="array" ref="T306">_xlfn.IFS(clean_data[[#This Row],[Revenue]]&lt;300000,"Small",
     clean_data[[#This Row],[Revenue]]&lt;700000,"Medium",
     TRUE,"Large")</f>
        <v>Small</v>
      </c>
      <c r="U306" t="str" cm="1">
        <f t="array" ref="U306">_xlfn.IFS(clean_data[[#This Row],[profit margin%]]&lt;0.5,"Low Profit",
     clean_data[[#This Row],[profit margin%]]&lt;0.6,"Medium Profit",
     TRUE,"High Profit")</f>
        <v>Medium Profit</v>
      </c>
      <c r="V306" t="str">
        <f>TEXT(clean_data[[#This Row],[Date]],"mmm-yyyy")</f>
        <v>Oct-2022</v>
      </c>
      <c r="W306" s="8">
        <f>EOMONTH(clean_data[[#This Row],[Date]],-1)+1</f>
        <v>44835</v>
      </c>
    </row>
    <row r="307" spans="1:23" x14ac:dyDescent="0.3">
      <c r="A307" t="s">
        <v>379</v>
      </c>
      <c r="B307" s="1">
        <v>44986</v>
      </c>
      <c r="C307" t="s">
        <v>58</v>
      </c>
      <c r="D307" t="s">
        <v>84</v>
      </c>
      <c r="E307" t="s">
        <v>70</v>
      </c>
      <c r="F307" t="s">
        <v>20</v>
      </c>
      <c r="G307" t="s">
        <v>74</v>
      </c>
      <c r="H307">
        <v>22</v>
      </c>
      <c r="I307">
        <v>4200</v>
      </c>
      <c r="J307">
        <v>5</v>
      </c>
      <c r="K307">
        <v>87780</v>
      </c>
      <c r="L307">
        <v>35112</v>
      </c>
      <c r="M307">
        <v>52668</v>
      </c>
      <c r="N307" t="s">
        <v>30</v>
      </c>
      <c r="O307" t="s">
        <v>35</v>
      </c>
      <c r="P307" t="s">
        <v>24</v>
      </c>
      <c r="Q307" t="str">
        <f>TEXT(clean_data[[#This Row],[Date]],"mmm")</f>
        <v>Mar</v>
      </c>
      <c r="R307">
        <f>YEAR(clean_data[[#This Row],[Date]])</f>
        <v>2023</v>
      </c>
      <c r="S307" s="2">
        <f>clean_data[[#This Row],[Profit]]/clean_data[[#This Row],[Revenue]]</f>
        <v>0.6</v>
      </c>
      <c r="T307" t="str" cm="1">
        <f t="array" ref="T307">_xlfn.IFS(clean_data[[#This Row],[Revenue]]&lt;300000,"Small",
     clean_data[[#This Row],[Revenue]]&lt;700000,"Medium",
     TRUE,"Large")</f>
        <v>Small</v>
      </c>
      <c r="U307" t="str" cm="1">
        <f t="array" ref="U307">_xlfn.IFS(clean_data[[#This Row],[profit margin%]]&lt;0.5,"Low Profit",
     clean_data[[#This Row],[profit margin%]]&lt;0.6,"Medium Profit",
     TRUE,"High Profit")</f>
        <v>High Profit</v>
      </c>
      <c r="V307" t="str">
        <f>TEXT(clean_data[[#This Row],[Date]],"mmm-yyyy")</f>
        <v>Mar-2023</v>
      </c>
      <c r="W307" s="8">
        <f>EOMONTH(clean_data[[#This Row],[Date]],-1)+1</f>
        <v>44986</v>
      </c>
    </row>
    <row r="308" spans="1:23" x14ac:dyDescent="0.3">
      <c r="A308" t="s">
        <v>380</v>
      </c>
      <c r="B308" s="1">
        <v>44853</v>
      </c>
      <c r="C308" t="s">
        <v>46</v>
      </c>
      <c r="D308" t="s">
        <v>47</v>
      </c>
      <c r="E308" t="s">
        <v>111</v>
      </c>
      <c r="F308" t="s">
        <v>33</v>
      </c>
      <c r="G308" t="s">
        <v>39</v>
      </c>
      <c r="H308">
        <v>24</v>
      </c>
      <c r="I308">
        <v>5000</v>
      </c>
      <c r="J308">
        <v>15</v>
      </c>
      <c r="K308">
        <v>102000</v>
      </c>
      <c r="L308">
        <v>51000</v>
      </c>
      <c r="M308">
        <v>51000</v>
      </c>
      <c r="N308" t="s">
        <v>30</v>
      </c>
      <c r="O308" t="s">
        <v>50</v>
      </c>
      <c r="P308" t="s">
        <v>40</v>
      </c>
      <c r="Q308" t="str">
        <f>TEXT(clean_data[[#This Row],[Date]],"mmm")</f>
        <v>Oct</v>
      </c>
      <c r="R308">
        <f>YEAR(clean_data[[#This Row],[Date]])</f>
        <v>2022</v>
      </c>
      <c r="S308" s="2">
        <f>clean_data[[#This Row],[Profit]]/clean_data[[#This Row],[Revenue]]</f>
        <v>0.5</v>
      </c>
      <c r="T308" t="str" cm="1">
        <f t="array" ref="T308">_xlfn.IFS(clean_data[[#This Row],[Revenue]]&lt;300000,"Small",
     clean_data[[#This Row],[Revenue]]&lt;700000,"Medium",
     TRUE,"Large")</f>
        <v>Small</v>
      </c>
      <c r="U308" t="str" cm="1">
        <f t="array" ref="U308">_xlfn.IFS(clean_data[[#This Row],[profit margin%]]&lt;0.5,"Low Profit",
     clean_data[[#This Row],[profit margin%]]&lt;0.6,"Medium Profit",
     TRUE,"High Profit")</f>
        <v>Medium Profit</v>
      </c>
      <c r="V308" t="str">
        <f>TEXT(clean_data[[#This Row],[Date]],"mmm-yyyy")</f>
        <v>Oct-2022</v>
      </c>
      <c r="W308" s="8">
        <f>EOMONTH(clean_data[[#This Row],[Date]],-1)+1</f>
        <v>44835</v>
      </c>
    </row>
    <row r="309" spans="1:23" x14ac:dyDescent="0.3">
      <c r="A309" t="s">
        <v>381</v>
      </c>
      <c r="B309" s="1">
        <v>45149</v>
      </c>
      <c r="C309" t="s">
        <v>46</v>
      </c>
      <c r="D309" t="s">
        <v>47</v>
      </c>
      <c r="E309" t="s">
        <v>32</v>
      </c>
      <c r="F309" t="s">
        <v>65</v>
      </c>
      <c r="G309" t="s">
        <v>124</v>
      </c>
      <c r="H309">
        <v>12</v>
      </c>
      <c r="I309">
        <v>18000</v>
      </c>
      <c r="J309">
        <v>20</v>
      </c>
      <c r="K309">
        <v>172800</v>
      </c>
      <c r="L309">
        <v>77760</v>
      </c>
      <c r="M309">
        <v>95040</v>
      </c>
      <c r="N309" t="s">
        <v>49</v>
      </c>
      <c r="O309" t="s">
        <v>44</v>
      </c>
      <c r="P309" t="s">
        <v>40</v>
      </c>
      <c r="Q309" t="str">
        <f>TEXT(clean_data[[#This Row],[Date]],"mmm")</f>
        <v>Aug</v>
      </c>
      <c r="R309">
        <f>YEAR(clean_data[[#This Row],[Date]])</f>
        <v>2023</v>
      </c>
      <c r="S309" s="2">
        <f>clean_data[[#This Row],[Profit]]/clean_data[[#This Row],[Revenue]]</f>
        <v>0.55000000000000004</v>
      </c>
      <c r="T309" t="str" cm="1">
        <f t="array" ref="T309">_xlfn.IFS(clean_data[[#This Row],[Revenue]]&lt;300000,"Small",
     clean_data[[#This Row],[Revenue]]&lt;700000,"Medium",
     TRUE,"Large")</f>
        <v>Small</v>
      </c>
      <c r="U309" t="str" cm="1">
        <f t="array" ref="U309">_xlfn.IFS(clean_data[[#This Row],[profit margin%]]&lt;0.5,"Low Profit",
     clean_data[[#This Row],[profit margin%]]&lt;0.6,"Medium Profit",
     TRUE,"High Profit")</f>
        <v>Medium Profit</v>
      </c>
      <c r="V309" t="str">
        <f>TEXT(clean_data[[#This Row],[Date]],"mmm-yyyy")</f>
        <v>Aug-2023</v>
      </c>
      <c r="W309" s="8">
        <f>EOMONTH(clean_data[[#This Row],[Date]],-1)+1</f>
        <v>45139</v>
      </c>
    </row>
    <row r="310" spans="1:23" x14ac:dyDescent="0.3">
      <c r="A310" t="s">
        <v>382</v>
      </c>
      <c r="B310" s="1">
        <v>44908</v>
      </c>
      <c r="C310" t="s">
        <v>17</v>
      </c>
      <c r="D310" t="s">
        <v>42</v>
      </c>
      <c r="E310" t="s">
        <v>73</v>
      </c>
      <c r="F310" t="s">
        <v>20</v>
      </c>
      <c r="G310" t="s">
        <v>74</v>
      </c>
      <c r="H310">
        <v>47</v>
      </c>
      <c r="I310">
        <v>4200</v>
      </c>
      <c r="J310">
        <v>0</v>
      </c>
      <c r="K310">
        <v>197400</v>
      </c>
      <c r="L310">
        <v>78960</v>
      </c>
      <c r="M310">
        <v>118440</v>
      </c>
      <c r="N310" t="s">
        <v>49</v>
      </c>
      <c r="O310" t="s">
        <v>67</v>
      </c>
      <c r="P310" t="s">
        <v>40</v>
      </c>
      <c r="Q310" t="str">
        <f>TEXT(clean_data[[#This Row],[Date]],"mmm")</f>
        <v>Dec</v>
      </c>
      <c r="R310">
        <f>YEAR(clean_data[[#This Row],[Date]])</f>
        <v>2022</v>
      </c>
      <c r="S310" s="2">
        <f>clean_data[[#This Row],[Profit]]/clean_data[[#This Row],[Revenue]]</f>
        <v>0.6</v>
      </c>
      <c r="T310" t="str" cm="1">
        <f t="array" ref="T310">_xlfn.IFS(clean_data[[#This Row],[Revenue]]&lt;300000,"Small",
     clean_data[[#This Row],[Revenue]]&lt;700000,"Medium",
     TRUE,"Large")</f>
        <v>Small</v>
      </c>
      <c r="U310" t="str" cm="1">
        <f t="array" ref="U310">_xlfn.IFS(clean_data[[#This Row],[profit margin%]]&lt;0.5,"Low Profit",
     clean_data[[#This Row],[profit margin%]]&lt;0.6,"Medium Profit",
     TRUE,"High Profit")</f>
        <v>High Profit</v>
      </c>
      <c r="V310" t="str">
        <f>TEXT(clean_data[[#This Row],[Date]],"mmm-yyyy")</f>
        <v>Dec-2022</v>
      </c>
      <c r="W310" s="8">
        <f>EOMONTH(clean_data[[#This Row],[Date]],-1)+1</f>
        <v>44896</v>
      </c>
    </row>
    <row r="311" spans="1:23" x14ac:dyDescent="0.3">
      <c r="A311" t="s">
        <v>383</v>
      </c>
      <c r="B311" s="1">
        <v>44626</v>
      </c>
      <c r="C311" t="s">
        <v>17</v>
      </c>
      <c r="D311" t="s">
        <v>42</v>
      </c>
      <c r="E311" t="s">
        <v>19</v>
      </c>
      <c r="F311" t="s">
        <v>28</v>
      </c>
      <c r="G311" t="s">
        <v>85</v>
      </c>
      <c r="H311">
        <v>10</v>
      </c>
      <c r="I311">
        <v>8000</v>
      </c>
      <c r="J311">
        <v>10</v>
      </c>
      <c r="K311">
        <v>72000</v>
      </c>
      <c r="L311">
        <v>39600</v>
      </c>
      <c r="M311">
        <v>32400</v>
      </c>
      <c r="N311" t="s">
        <v>30</v>
      </c>
      <c r="O311" t="s">
        <v>50</v>
      </c>
      <c r="P311" t="s">
        <v>24</v>
      </c>
      <c r="Q311" t="str">
        <f>TEXT(clean_data[[#This Row],[Date]],"mmm")</f>
        <v>Mar</v>
      </c>
      <c r="R311">
        <f>YEAR(clean_data[[#This Row],[Date]])</f>
        <v>2022</v>
      </c>
      <c r="S311" s="2">
        <f>clean_data[[#This Row],[Profit]]/clean_data[[#This Row],[Revenue]]</f>
        <v>0.45</v>
      </c>
      <c r="T311" t="str" cm="1">
        <f t="array" ref="T311">_xlfn.IFS(clean_data[[#This Row],[Revenue]]&lt;300000,"Small",
     clean_data[[#This Row],[Revenue]]&lt;700000,"Medium",
     TRUE,"Large")</f>
        <v>Small</v>
      </c>
      <c r="U311" t="str" cm="1">
        <f t="array" ref="U311">_xlfn.IFS(clean_data[[#This Row],[profit margin%]]&lt;0.5,"Low Profit",
     clean_data[[#This Row],[profit margin%]]&lt;0.6,"Medium Profit",
     TRUE,"High Profit")</f>
        <v>Low Profit</v>
      </c>
      <c r="V311" t="str">
        <f>TEXT(clean_data[[#This Row],[Date]],"mmm-yyyy")</f>
        <v>Mar-2022</v>
      </c>
      <c r="W311" s="8">
        <f>EOMONTH(clean_data[[#This Row],[Date]],-1)+1</f>
        <v>44621</v>
      </c>
    </row>
    <row r="312" spans="1:23" x14ac:dyDescent="0.3">
      <c r="A312" t="s">
        <v>384</v>
      </c>
      <c r="B312" s="1">
        <v>45175</v>
      </c>
      <c r="C312" t="s">
        <v>26</v>
      </c>
      <c r="D312" t="s">
        <v>69</v>
      </c>
      <c r="E312" t="s">
        <v>60</v>
      </c>
      <c r="F312" t="s">
        <v>28</v>
      </c>
      <c r="G312" t="s">
        <v>71</v>
      </c>
      <c r="H312">
        <v>14</v>
      </c>
      <c r="I312">
        <v>35000</v>
      </c>
      <c r="J312">
        <v>5</v>
      </c>
      <c r="K312">
        <v>465500</v>
      </c>
      <c r="L312">
        <v>256025</v>
      </c>
      <c r="M312">
        <v>209475</v>
      </c>
      <c r="N312" t="s">
        <v>49</v>
      </c>
      <c r="O312" t="s">
        <v>50</v>
      </c>
      <c r="P312" t="s">
        <v>24</v>
      </c>
      <c r="Q312" t="str">
        <f>TEXT(clean_data[[#This Row],[Date]],"mmm")</f>
        <v>Sep</v>
      </c>
      <c r="R312">
        <f>YEAR(clean_data[[#This Row],[Date]])</f>
        <v>2023</v>
      </c>
      <c r="S312" s="2">
        <f>clean_data[[#This Row],[Profit]]/clean_data[[#This Row],[Revenue]]</f>
        <v>0.45</v>
      </c>
      <c r="T312" t="str" cm="1">
        <f t="array" ref="T312">_xlfn.IFS(clean_data[[#This Row],[Revenue]]&lt;300000,"Small",
     clean_data[[#This Row],[Revenue]]&lt;700000,"Medium",
     TRUE,"Large")</f>
        <v>Medium</v>
      </c>
      <c r="U312" t="str" cm="1">
        <f t="array" ref="U312">_xlfn.IFS(clean_data[[#This Row],[profit margin%]]&lt;0.5,"Low Profit",
     clean_data[[#This Row],[profit margin%]]&lt;0.6,"Medium Profit",
     TRUE,"High Profit")</f>
        <v>Low Profit</v>
      </c>
      <c r="V312" t="str">
        <f>TEXT(clean_data[[#This Row],[Date]],"mmm-yyyy")</f>
        <v>Sep-2023</v>
      </c>
      <c r="W312" s="8">
        <f>EOMONTH(clean_data[[#This Row],[Date]],-1)+1</f>
        <v>45170</v>
      </c>
    </row>
    <row r="313" spans="1:23" x14ac:dyDescent="0.3">
      <c r="A313" t="s">
        <v>385</v>
      </c>
      <c r="B313" s="1">
        <v>44766</v>
      </c>
      <c r="C313" t="s">
        <v>26</v>
      </c>
      <c r="D313" t="s">
        <v>27</v>
      </c>
      <c r="E313" t="s">
        <v>32</v>
      </c>
      <c r="F313" t="s">
        <v>65</v>
      </c>
      <c r="G313" t="s">
        <v>66</v>
      </c>
      <c r="H313">
        <v>11</v>
      </c>
      <c r="I313">
        <v>5500</v>
      </c>
      <c r="J313">
        <v>15</v>
      </c>
      <c r="K313">
        <v>51425</v>
      </c>
      <c r="L313">
        <v>23141.25</v>
      </c>
      <c r="M313">
        <v>28283.75</v>
      </c>
      <c r="N313" t="s">
        <v>49</v>
      </c>
      <c r="O313" t="s">
        <v>50</v>
      </c>
      <c r="P313" t="s">
        <v>24</v>
      </c>
      <c r="Q313" t="str">
        <f>TEXT(clean_data[[#This Row],[Date]],"mmm")</f>
        <v>Jul</v>
      </c>
      <c r="R313">
        <f>YEAR(clean_data[[#This Row],[Date]])</f>
        <v>2022</v>
      </c>
      <c r="S313" s="2">
        <f>clean_data[[#This Row],[Profit]]/clean_data[[#This Row],[Revenue]]</f>
        <v>0.55000000000000004</v>
      </c>
      <c r="T313" t="str" cm="1">
        <f t="array" ref="T313">_xlfn.IFS(clean_data[[#This Row],[Revenue]]&lt;300000,"Small",
     clean_data[[#This Row],[Revenue]]&lt;700000,"Medium",
     TRUE,"Large")</f>
        <v>Small</v>
      </c>
      <c r="U313" t="str" cm="1">
        <f t="array" ref="U313">_xlfn.IFS(clean_data[[#This Row],[profit margin%]]&lt;0.5,"Low Profit",
     clean_data[[#This Row],[profit margin%]]&lt;0.6,"Medium Profit",
     TRUE,"High Profit")</f>
        <v>Medium Profit</v>
      </c>
      <c r="V313" t="str">
        <f>TEXT(clean_data[[#This Row],[Date]],"mmm-yyyy")</f>
        <v>Jul-2022</v>
      </c>
      <c r="W313" s="8">
        <f>EOMONTH(clean_data[[#This Row],[Date]],-1)+1</f>
        <v>44743</v>
      </c>
    </row>
    <row r="314" spans="1:23" x14ac:dyDescent="0.3">
      <c r="A314" t="s">
        <v>386</v>
      </c>
      <c r="B314" s="1">
        <v>45609</v>
      </c>
      <c r="C314" t="s">
        <v>26</v>
      </c>
      <c r="D314" t="s">
        <v>69</v>
      </c>
      <c r="E314" t="s">
        <v>38</v>
      </c>
      <c r="F314" t="s">
        <v>20</v>
      </c>
      <c r="G314" t="s">
        <v>74</v>
      </c>
      <c r="H314">
        <v>29</v>
      </c>
      <c r="I314">
        <v>4200</v>
      </c>
      <c r="J314">
        <v>0</v>
      </c>
      <c r="K314">
        <v>121800</v>
      </c>
      <c r="L314">
        <v>48720</v>
      </c>
      <c r="M314">
        <v>73080</v>
      </c>
      <c r="N314" t="s">
        <v>49</v>
      </c>
      <c r="O314" t="s">
        <v>35</v>
      </c>
      <c r="P314" t="s">
        <v>24</v>
      </c>
      <c r="Q314" t="str">
        <f>TEXT(clean_data[[#This Row],[Date]],"mmm")</f>
        <v>Nov</v>
      </c>
      <c r="R314">
        <f>YEAR(clean_data[[#This Row],[Date]])</f>
        <v>2024</v>
      </c>
      <c r="S314" s="2">
        <f>clean_data[[#This Row],[Profit]]/clean_data[[#This Row],[Revenue]]</f>
        <v>0.6</v>
      </c>
      <c r="T314" t="str" cm="1">
        <f t="array" ref="T314">_xlfn.IFS(clean_data[[#This Row],[Revenue]]&lt;300000,"Small",
     clean_data[[#This Row],[Revenue]]&lt;700000,"Medium",
     TRUE,"Large")</f>
        <v>Small</v>
      </c>
      <c r="U314" t="str" cm="1">
        <f t="array" ref="U314">_xlfn.IFS(clean_data[[#This Row],[profit margin%]]&lt;0.5,"Low Profit",
     clean_data[[#This Row],[profit margin%]]&lt;0.6,"Medium Profit",
     TRUE,"High Profit")</f>
        <v>High Profit</v>
      </c>
      <c r="V314" t="str">
        <f>TEXT(clean_data[[#This Row],[Date]],"mmm-yyyy")</f>
        <v>Nov-2024</v>
      </c>
      <c r="W314" s="8">
        <f>EOMONTH(clean_data[[#This Row],[Date]],-1)+1</f>
        <v>45597</v>
      </c>
    </row>
    <row r="315" spans="1:23" x14ac:dyDescent="0.3">
      <c r="A315" t="s">
        <v>387</v>
      </c>
      <c r="B315" s="1">
        <v>45178</v>
      </c>
      <c r="C315" t="s">
        <v>26</v>
      </c>
      <c r="D315" t="s">
        <v>27</v>
      </c>
      <c r="E315" t="s">
        <v>70</v>
      </c>
      <c r="F315" t="s">
        <v>20</v>
      </c>
      <c r="G315" t="s">
        <v>115</v>
      </c>
      <c r="H315">
        <v>11</v>
      </c>
      <c r="I315">
        <v>2500</v>
      </c>
      <c r="J315">
        <v>0</v>
      </c>
      <c r="K315">
        <v>27500</v>
      </c>
      <c r="L315">
        <v>11000</v>
      </c>
      <c r="M315">
        <v>16500</v>
      </c>
      <c r="N315" t="s">
        <v>30</v>
      </c>
      <c r="O315" t="s">
        <v>50</v>
      </c>
      <c r="P315" t="s">
        <v>40</v>
      </c>
      <c r="Q315" t="str">
        <f>TEXT(clean_data[[#This Row],[Date]],"mmm")</f>
        <v>Sep</v>
      </c>
      <c r="R315">
        <f>YEAR(clean_data[[#This Row],[Date]])</f>
        <v>2023</v>
      </c>
      <c r="S315" s="2">
        <f>clean_data[[#This Row],[Profit]]/clean_data[[#This Row],[Revenue]]</f>
        <v>0.6</v>
      </c>
      <c r="T315" t="str" cm="1">
        <f t="array" ref="T315">_xlfn.IFS(clean_data[[#This Row],[Revenue]]&lt;300000,"Small",
     clean_data[[#This Row],[Revenue]]&lt;700000,"Medium",
     TRUE,"Large")</f>
        <v>Small</v>
      </c>
      <c r="U315" t="str" cm="1">
        <f t="array" ref="U315">_xlfn.IFS(clean_data[[#This Row],[profit margin%]]&lt;0.5,"Low Profit",
     clean_data[[#This Row],[profit margin%]]&lt;0.6,"Medium Profit",
     TRUE,"High Profit")</f>
        <v>High Profit</v>
      </c>
      <c r="V315" t="str">
        <f>TEXT(clean_data[[#This Row],[Date]],"mmm-yyyy")</f>
        <v>Sep-2023</v>
      </c>
      <c r="W315" s="8">
        <f>EOMONTH(clean_data[[#This Row],[Date]],-1)+1</f>
        <v>45170</v>
      </c>
    </row>
    <row r="316" spans="1:23" x14ac:dyDescent="0.3">
      <c r="A316" t="s">
        <v>388</v>
      </c>
      <c r="B316" s="1">
        <v>45496</v>
      </c>
      <c r="C316" t="s">
        <v>26</v>
      </c>
      <c r="D316" t="s">
        <v>69</v>
      </c>
      <c r="E316" t="s">
        <v>78</v>
      </c>
      <c r="F316" t="s">
        <v>65</v>
      </c>
      <c r="G316" t="s">
        <v>104</v>
      </c>
      <c r="H316">
        <v>4</v>
      </c>
      <c r="I316">
        <v>3000</v>
      </c>
      <c r="J316">
        <v>0</v>
      </c>
      <c r="K316">
        <v>12000</v>
      </c>
      <c r="L316">
        <v>5400</v>
      </c>
      <c r="M316">
        <v>6600</v>
      </c>
      <c r="N316" t="s">
        <v>30</v>
      </c>
      <c r="O316" t="s">
        <v>44</v>
      </c>
      <c r="P316" t="s">
        <v>24</v>
      </c>
      <c r="Q316" t="str">
        <f>TEXT(clean_data[[#This Row],[Date]],"mmm")</f>
        <v>Jul</v>
      </c>
      <c r="R316">
        <f>YEAR(clean_data[[#This Row],[Date]])</f>
        <v>2024</v>
      </c>
      <c r="S316" s="2">
        <f>clean_data[[#This Row],[Profit]]/clean_data[[#This Row],[Revenue]]</f>
        <v>0.55000000000000004</v>
      </c>
      <c r="T316" t="str" cm="1">
        <f t="array" ref="T316">_xlfn.IFS(clean_data[[#This Row],[Revenue]]&lt;300000,"Small",
     clean_data[[#This Row],[Revenue]]&lt;700000,"Medium",
     TRUE,"Large")</f>
        <v>Small</v>
      </c>
      <c r="U316" t="str" cm="1">
        <f t="array" ref="U316">_xlfn.IFS(clean_data[[#This Row],[profit margin%]]&lt;0.5,"Low Profit",
     clean_data[[#This Row],[profit margin%]]&lt;0.6,"Medium Profit",
     TRUE,"High Profit")</f>
        <v>Medium Profit</v>
      </c>
      <c r="V316" t="str">
        <f>TEXT(clean_data[[#This Row],[Date]],"mmm-yyyy")</f>
        <v>Jul-2024</v>
      </c>
      <c r="W316" s="8">
        <f>EOMONTH(clean_data[[#This Row],[Date]],-1)+1</f>
        <v>45474</v>
      </c>
    </row>
    <row r="317" spans="1:23" x14ac:dyDescent="0.3">
      <c r="A317" t="s">
        <v>389</v>
      </c>
      <c r="B317" s="1">
        <v>45374</v>
      </c>
      <c r="C317" t="s">
        <v>17</v>
      </c>
      <c r="D317" t="s">
        <v>42</v>
      </c>
      <c r="E317" t="s">
        <v>73</v>
      </c>
      <c r="F317" t="s">
        <v>33</v>
      </c>
      <c r="G317" t="s">
        <v>76</v>
      </c>
      <c r="H317">
        <v>7</v>
      </c>
      <c r="I317">
        <v>8500</v>
      </c>
      <c r="J317">
        <v>0</v>
      </c>
      <c r="K317">
        <v>59500</v>
      </c>
      <c r="L317">
        <v>29750</v>
      </c>
      <c r="M317">
        <v>29750</v>
      </c>
      <c r="N317" t="s">
        <v>22</v>
      </c>
      <c r="O317" t="s">
        <v>67</v>
      </c>
      <c r="P317" t="s">
        <v>24</v>
      </c>
      <c r="Q317" t="str">
        <f>TEXT(clean_data[[#This Row],[Date]],"mmm")</f>
        <v>Mar</v>
      </c>
      <c r="R317">
        <f>YEAR(clean_data[[#This Row],[Date]])</f>
        <v>2024</v>
      </c>
      <c r="S317" s="2">
        <f>clean_data[[#This Row],[Profit]]/clean_data[[#This Row],[Revenue]]</f>
        <v>0.5</v>
      </c>
      <c r="T317" t="str" cm="1">
        <f t="array" ref="T317">_xlfn.IFS(clean_data[[#This Row],[Revenue]]&lt;300000,"Small",
     clean_data[[#This Row],[Revenue]]&lt;700000,"Medium",
     TRUE,"Large")</f>
        <v>Small</v>
      </c>
      <c r="U317" t="str" cm="1">
        <f t="array" ref="U317">_xlfn.IFS(clean_data[[#This Row],[profit margin%]]&lt;0.5,"Low Profit",
     clean_data[[#This Row],[profit margin%]]&lt;0.6,"Medium Profit",
     TRUE,"High Profit")</f>
        <v>Medium Profit</v>
      </c>
      <c r="V317" t="str">
        <f>TEXT(clean_data[[#This Row],[Date]],"mmm-yyyy")</f>
        <v>Mar-2024</v>
      </c>
      <c r="W317" s="8">
        <f>EOMONTH(clean_data[[#This Row],[Date]],-1)+1</f>
        <v>45352</v>
      </c>
    </row>
    <row r="318" spans="1:23" x14ac:dyDescent="0.3">
      <c r="A318" t="s">
        <v>390</v>
      </c>
      <c r="B318" s="1">
        <v>45509</v>
      </c>
      <c r="C318" t="s">
        <v>26</v>
      </c>
      <c r="D318" t="s">
        <v>69</v>
      </c>
      <c r="E318" t="s">
        <v>56</v>
      </c>
      <c r="F318" t="s">
        <v>65</v>
      </c>
      <c r="G318" t="s">
        <v>117</v>
      </c>
      <c r="H318">
        <v>19</v>
      </c>
      <c r="I318">
        <v>1200</v>
      </c>
      <c r="J318">
        <v>20</v>
      </c>
      <c r="K318">
        <v>18240</v>
      </c>
      <c r="L318">
        <v>8208</v>
      </c>
      <c r="M318">
        <v>10032</v>
      </c>
      <c r="N318" t="s">
        <v>30</v>
      </c>
      <c r="O318" t="s">
        <v>35</v>
      </c>
      <c r="P318" t="s">
        <v>24</v>
      </c>
      <c r="Q318" t="str">
        <f>TEXT(clean_data[[#This Row],[Date]],"mmm")</f>
        <v>Aug</v>
      </c>
      <c r="R318">
        <f>YEAR(clean_data[[#This Row],[Date]])</f>
        <v>2024</v>
      </c>
      <c r="S318" s="2">
        <f>clean_data[[#This Row],[Profit]]/clean_data[[#This Row],[Revenue]]</f>
        <v>0.55000000000000004</v>
      </c>
      <c r="T318" t="str" cm="1">
        <f t="array" ref="T318">_xlfn.IFS(clean_data[[#This Row],[Revenue]]&lt;300000,"Small",
     clean_data[[#This Row],[Revenue]]&lt;700000,"Medium",
     TRUE,"Large")</f>
        <v>Small</v>
      </c>
      <c r="U318" t="str" cm="1">
        <f t="array" ref="U318">_xlfn.IFS(clean_data[[#This Row],[profit margin%]]&lt;0.5,"Low Profit",
     clean_data[[#This Row],[profit margin%]]&lt;0.6,"Medium Profit",
     TRUE,"High Profit")</f>
        <v>Medium Profit</v>
      </c>
      <c r="V318" t="str">
        <f>TEXT(clean_data[[#This Row],[Date]],"mmm-yyyy")</f>
        <v>Aug-2024</v>
      </c>
      <c r="W318" s="8">
        <f>EOMONTH(clean_data[[#This Row],[Date]],-1)+1</f>
        <v>45505</v>
      </c>
    </row>
    <row r="319" spans="1:23" x14ac:dyDescent="0.3">
      <c r="A319" t="s">
        <v>391</v>
      </c>
      <c r="B319" s="1">
        <v>44599</v>
      </c>
      <c r="C319" t="s">
        <v>46</v>
      </c>
      <c r="D319" t="s">
        <v>55</v>
      </c>
      <c r="E319" t="s">
        <v>52</v>
      </c>
      <c r="F319" t="s">
        <v>65</v>
      </c>
      <c r="G319" t="s">
        <v>117</v>
      </c>
      <c r="H319">
        <v>20</v>
      </c>
      <c r="I319">
        <v>1200</v>
      </c>
      <c r="J319">
        <v>15</v>
      </c>
      <c r="K319">
        <v>20400</v>
      </c>
      <c r="L319">
        <v>9180</v>
      </c>
      <c r="M319">
        <v>11220</v>
      </c>
      <c r="N319" t="s">
        <v>49</v>
      </c>
      <c r="O319" t="s">
        <v>50</v>
      </c>
      <c r="P319" t="s">
        <v>24</v>
      </c>
      <c r="Q319" t="str">
        <f>TEXT(clean_data[[#This Row],[Date]],"mmm")</f>
        <v>Feb</v>
      </c>
      <c r="R319">
        <f>YEAR(clean_data[[#This Row],[Date]])</f>
        <v>2022</v>
      </c>
      <c r="S319" s="2">
        <f>clean_data[[#This Row],[Profit]]/clean_data[[#This Row],[Revenue]]</f>
        <v>0.55000000000000004</v>
      </c>
      <c r="T319" t="str" cm="1">
        <f t="array" ref="T319">_xlfn.IFS(clean_data[[#This Row],[Revenue]]&lt;300000,"Small",
     clean_data[[#This Row],[Revenue]]&lt;700000,"Medium",
     TRUE,"Large")</f>
        <v>Small</v>
      </c>
      <c r="U319" t="str" cm="1">
        <f t="array" ref="U319">_xlfn.IFS(clean_data[[#This Row],[profit margin%]]&lt;0.5,"Low Profit",
     clean_data[[#This Row],[profit margin%]]&lt;0.6,"Medium Profit",
     TRUE,"High Profit")</f>
        <v>Medium Profit</v>
      </c>
      <c r="V319" t="str">
        <f>TEXT(clean_data[[#This Row],[Date]],"mmm-yyyy")</f>
        <v>Feb-2022</v>
      </c>
      <c r="W319" s="8">
        <f>EOMONTH(clean_data[[#This Row],[Date]],-1)+1</f>
        <v>44593</v>
      </c>
    </row>
    <row r="320" spans="1:23" x14ac:dyDescent="0.3">
      <c r="A320" t="s">
        <v>392</v>
      </c>
      <c r="B320" s="1">
        <v>44733</v>
      </c>
      <c r="C320" t="s">
        <v>58</v>
      </c>
      <c r="D320" t="s">
        <v>84</v>
      </c>
      <c r="E320" t="s">
        <v>70</v>
      </c>
      <c r="F320" t="s">
        <v>65</v>
      </c>
      <c r="G320" t="s">
        <v>124</v>
      </c>
      <c r="H320">
        <v>12</v>
      </c>
      <c r="I320">
        <v>18000</v>
      </c>
      <c r="J320">
        <v>15</v>
      </c>
      <c r="K320">
        <v>183600</v>
      </c>
      <c r="L320">
        <v>82620</v>
      </c>
      <c r="M320">
        <v>100980</v>
      </c>
      <c r="N320" t="s">
        <v>49</v>
      </c>
      <c r="O320" t="s">
        <v>23</v>
      </c>
      <c r="P320" t="s">
        <v>24</v>
      </c>
      <c r="Q320" t="str">
        <f>TEXT(clean_data[[#This Row],[Date]],"mmm")</f>
        <v>Jun</v>
      </c>
      <c r="R320">
        <f>YEAR(clean_data[[#This Row],[Date]])</f>
        <v>2022</v>
      </c>
      <c r="S320" s="2">
        <f>clean_data[[#This Row],[Profit]]/clean_data[[#This Row],[Revenue]]</f>
        <v>0.55000000000000004</v>
      </c>
      <c r="T320" t="str" cm="1">
        <f t="array" ref="T320">_xlfn.IFS(clean_data[[#This Row],[Revenue]]&lt;300000,"Small",
     clean_data[[#This Row],[Revenue]]&lt;700000,"Medium",
     TRUE,"Large")</f>
        <v>Small</v>
      </c>
      <c r="U320" t="str" cm="1">
        <f t="array" ref="U320">_xlfn.IFS(clean_data[[#This Row],[profit margin%]]&lt;0.5,"Low Profit",
     clean_data[[#This Row],[profit margin%]]&lt;0.6,"Medium Profit",
     TRUE,"High Profit")</f>
        <v>Medium Profit</v>
      </c>
      <c r="V320" t="str">
        <f>TEXT(clean_data[[#This Row],[Date]],"mmm-yyyy")</f>
        <v>Jun-2022</v>
      </c>
      <c r="W320" s="8">
        <f>EOMONTH(clean_data[[#This Row],[Date]],-1)+1</f>
        <v>44713</v>
      </c>
    </row>
    <row r="321" spans="1:23" x14ac:dyDescent="0.3">
      <c r="A321" t="s">
        <v>393</v>
      </c>
      <c r="B321" s="1">
        <v>45452</v>
      </c>
      <c r="C321" t="s">
        <v>46</v>
      </c>
      <c r="D321" t="s">
        <v>55</v>
      </c>
      <c r="E321" t="s">
        <v>38</v>
      </c>
      <c r="F321" t="s">
        <v>28</v>
      </c>
      <c r="G321" t="s">
        <v>87</v>
      </c>
      <c r="H321">
        <v>49</v>
      </c>
      <c r="I321">
        <v>45000</v>
      </c>
      <c r="J321">
        <v>0</v>
      </c>
      <c r="K321">
        <v>2205000</v>
      </c>
      <c r="L321">
        <v>1212750</v>
      </c>
      <c r="M321">
        <v>992250</v>
      </c>
      <c r="N321" t="s">
        <v>22</v>
      </c>
      <c r="O321" t="s">
        <v>50</v>
      </c>
      <c r="P321" t="s">
        <v>24</v>
      </c>
      <c r="Q321" t="str">
        <f>TEXT(clean_data[[#This Row],[Date]],"mmm")</f>
        <v>Jun</v>
      </c>
      <c r="R321">
        <f>YEAR(clean_data[[#This Row],[Date]])</f>
        <v>2024</v>
      </c>
      <c r="S321" s="2">
        <f>clean_data[[#This Row],[Profit]]/clean_data[[#This Row],[Revenue]]</f>
        <v>0.45</v>
      </c>
      <c r="T321" t="str" cm="1">
        <f t="array" ref="T321">_xlfn.IFS(clean_data[[#This Row],[Revenue]]&lt;300000,"Small",
     clean_data[[#This Row],[Revenue]]&lt;700000,"Medium",
     TRUE,"Large")</f>
        <v>Large</v>
      </c>
      <c r="U321" t="str" cm="1">
        <f t="array" ref="U321">_xlfn.IFS(clean_data[[#This Row],[profit margin%]]&lt;0.5,"Low Profit",
     clean_data[[#This Row],[profit margin%]]&lt;0.6,"Medium Profit",
     TRUE,"High Profit")</f>
        <v>Low Profit</v>
      </c>
      <c r="V321" t="str">
        <f>TEXT(clean_data[[#This Row],[Date]],"mmm-yyyy")</f>
        <v>Jun-2024</v>
      </c>
      <c r="W321" s="8">
        <f>EOMONTH(clean_data[[#This Row],[Date]],-1)+1</f>
        <v>45444</v>
      </c>
    </row>
    <row r="322" spans="1:23" x14ac:dyDescent="0.3">
      <c r="A322" t="s">
        <v>394</v>
      </c>
      <c r="B322" s="1">
        <v>45610</v>
      </c>
      <c r="C322" t="s">
        <v>46</v>
      </c>
      <c r="D322" t="s">
        <v>47</v>
      </c>
      <c r="E322" t="s">
        <v>32</v>
      </c>
      <c r="F322" t="s">
        <v>65</v>
      </c>
      <c r="G322" t="s">
        <v>79</v>
      </c>
      <c r="H322">
        <v>44</v>
      </c>
      <c r="I322">
        <v>900</v>
      </c>
      <c r="J322">
        <v>15</v>
      </c>
      <c r="K322">
        <v>33660</v>
      </c>
      <c r="L322">
        <v>15147</v>
      </c>
      <c r="M322">
        <v>18513</v>
      </c>
      <c r="N322" t="s">
        <v>30</v>
      </c>
      <c r="O322" t="s">
        <v>23</v>
      </c>
      <c r="P322" t="s">
        <v>40</v>
      </c>
      <c r="Q322" t="str">
        <f>TEXT(clean_data[[#This Row],[Date]],"mmm")</f>
        <v>Nov</v>
      </c>
      <c r="R322">
        <f>YEAR(clean_data[[#This Row],[Date]])</f>
        <v>2024</v>
      </c>
      <c r="S322" s="2">
        <f>clean_data[[#This Row],[Profit]]/clean_data[[#This Row],[Revenue]]</f>
        <v>0.55000000000000004</v>
      </c>
      <c r="T322" t="str" cm="1">
        <f t="array" ref="T322">_xlfn.IFS(clean_data[[#This Row],[Revenue]]&lt;300000,"Small",
     clean_data[[#This Row],[Revenue]]&lt;700000,"Medium",
     TRUE,"Large")</f>
        <v>Small</v>
      </c>
      <c r="U322" t="str" cm="1">
        <f t="array" ref="U322">_xlfn.IFS(clean_data[[#This Row],[profit margin%]]&lt;0.5,"Low Profit",
     clean_data[[#This Row],[profit margin%]]&lt;0.6,"Medium Profit",
     TRUE,"High Profit")</f>
        <v>Medium Profit</v>
      </c>
      <c r="V322" t="str">
        <f>TEXT(clean_data[[#This Row],[Date]],"mmm-yyyy")</f>
        <v>Nov-2024</v>
      </c>
      <c r="W322" s="8">
        <f>EOMONTH(clean_data[[#This Row],[Date]],-1)+1</f>
        <v>45597</v>
      </c>
    </row>
    <row r="323" spans="1:23" x14ac:dyDescent="0.3">
      <c r="A323" t="s">
        <v>395</v>
      </c>
      <c r="B323" s="1">
        <v>45141</v>
      </c>
      <c r="C323" t="s">
        <v>58</v>
      </c>
      <c r="D323" t="s">
        <v>64</v>
      </c>
      <c r="E323" t="s">
        <v>56</v>
      </c>
      <c r="F323" t="s">
        <v>20</v>
      </c>
      <c r="G323" t="s">
        <v>21</v>
      </c>
      <c r="H323">
        <v>49</v>
      </c>
      <c r="I323">
        <v>3500</v>
      </c>
      <c r="J323">
        <v>15</v>
      </c>
      <c r="K323">
        <v>145775</v>
      </c>
      <c r="L323">
        <v>58310</v>
      </c>
      <c r="M323">
        <v>87465</v>
      </c>
      <c r="N323" t="s">
        <v>30</v>
      </c>
      <c r="O323" t="s">
        <v>44</v>
      </c>
      <c r="P323" t="s">
        <v>24</v>
      </c>
      <c r="Q323" t="str">
        <f>TEXT(clean_data[[#This Row],[Date]],"mmm")</f>
        <v>Aug</v>
      </c>
      <c r="R323">
        <f>YEAR(clean_data[[#This Row],[Date]])</f>
        <v>2023</v>
      </c>
      <c r="S323" s="2">
        <f>clean_data[[#This Row],[Profit]]/clean_data[[#This Row],[Revenue]]</f>
        <v>0.6</v>
      </c>
      <c r="T323" t="str" cm="1">
        <f t="array" ref="T323">_xlfn.IFS(clean_data[[#This Row],[Revenue]]&lt;300000,"Small",
     clean_data[[#This Row],[Revenue]]&lt;700000,"Medium",
     TRUE,"Large")</f>
        <v>Small</v>
      </c>
      <c r="U323" t="str" cm="1">
        <f t="array" ref="U323">_xlfn.IFS(clean_data[[#This Row],[profit margin%]]&lt;0.5,"Low Profit",
     clean_data[[#This Row],[profit margin%]]&lt;0.6,"Medium Profit",
     TRUE,"High Profit")</f>
        <v>High Profit</v>
      </c>
      <c r="V323" t="str">
        <f>TEXT(clean_data[[#This Row],[Date]],"mmm-yyyy")</f>
        <v>Aug-2023</v>
      </c>
      <c r="W323" s="8">
        <f>EOMONTH(clean_data[[#This Row],[Date]],-1)+1</f>
        <v>45139</v>
      </c>
    </row>
    <row r="324" spans="1:23" x14ac:dyDescent="0.3">
      <c r="A324" t="s">
        <v>396</v>
      </c>
      <c r="B324" s="1">
        <v>44931</v>
      </c>
      <c r="C324" t="s">
        <v>26</v>
      </c>
      <c r="D324" t="s">
        <v>69</v>
      </c>
      <c r="E324" t="s">
        <v>52</v>
      </c>
      <c r="F324" t="s">
        <v>65</v>
      </c>
      <c r="G324" t="s">
        <v>104</v>
      </c>
      <c r="H324">
        <v>41</v>
      </c>
      <c r="I324">
        <v>3000</v>
      </c>
      <c r="J324">
        <v>5</v>
      </c>
      <c r="K324">
        <v>116850</v>
      </c>
      <c r="L324">
        <v>52582.5</v>
      </c>
      <c r="M324">
        <v>64267.5</v>
      </c>
      <c r="N324" t="s">
        <v>49</v>
      </c>
      <c r="O324" t="s">
        <v>50</v>
      </c>
      <c r="P324" t="s">
        <v>40</v>
      </c>
      <c r="Q324" t="str">
        <f>TEXT(clean_data[[#This Row],[Date]],"mmm")</f>
        <v>Jan</v>
      </c>
      <c r="R324">
        <f>YEAR(clean_data[[#This Row],[Date]])</f>
        <v>2023</v>
      </c>
      <c r="S324" s="2">
        <f>clean_data[[#This Row],[Profit]]/clean_data[[#This Row],[Revenue]]</f>
        <v>0.55000000000000004</v>
      </c>
      <c r="T324" t="str" cm="1">
        <f t="array" ref="T324">_xlfn.IFS(clean_data[[#This Row],[Revenue]]&lt;300000,"Small",
     clean_data[[#This Row],[Revenue]]&lt;700000,"Medium",
     TRUE,"Large")</f>
        <v>Small</v>
      </c>
      <c r="U324" t="str" cm="1">
        <f t="array" ref="U324">_xlfn.IFS(clean_data[[#This Row],[profit margin%]]&lt;0.5,"Low Profit",
     clean_data[[#This Row],[profit margin%]]&lt;0.6,"Medium Profit",
     TRUE,"High Profit")</f>
        <v>Medium Profit</v>
      </c>
      <c r="V324" t="str">
        <f>TEXT(clean_data[[#This Row],[Date]],"mmm-yyyy")</f>
        <v>Jan-2023</v>
      </c>
      <c r="W324" s="8">
        <f>EOMONTH(clean_data[[#This Row],[Date]],-1)+1</f>
        <v>44927</v>
      </c>
    </row>
    <row r="325" spans="1:23" x14ac:dyDescent="0.3">
      <c r="A325" t="s">
        <v>397</v>
      </c>
      <c r="B325" s="1">
        <v>44684</v>
      </c>
      <c r="C325" t="s">
        <v>58</v>
      </c>
      <c r="D325" t="s">
        <v>64</v>
      </c>
      <c r="E325" t="s">
        <v>32</v>
      </c>
      <c r="F325" t="s">
        <v>33</v>
      </c>
      <c r="G325" t="s">
        <v>34</v>
      </c>
      <c r="H325">
        <v>34</v>
      </c>
      <c r="I325">
        <v>25000</v>
      </c>
      <c r="J325">
        <v>15</v>
      </c>
      <c r="K325">
        <v>722500</v>
      </c>
      <c r="L325">
        <v>361250</v>
      </c>
      <c r="M325">
        <v>361250</v>
      </c>
      <c r="N325" t="s">
        <v>22</v>
      </c>
      <c r="O325" t="s">
        <v>67</v>
      </c>
      <c r="P325" t="s">
        <v>24</v>
      </c>
      <c r="Q325" t="str">
        <f>TEXT(clean_data[[#This Row],[Date]],"mmm")</f>
        <v>May</v>
      </c>
      <c r="R325">
        <f>YEAR(clean_data[[#This Row],[Date]])</f>
        <v>2022</v>
      </c>
      <c r="S325" s="2">
        <f>clean_data[[#This Row],[Profit]]/clean_data[[#This Row],[Revenue]]</f>
        <v>0.5</v>
      </c>
      <c r="T325" t="str" cm="1">
        <f t="array" ref="T325">_xlfn.IFS(clean_data[[#This Row],[Revenue]]&lt;300000,"Small",
     clean_data[[#This Row],[Revenue]]&lt;700000,"Medium",
     TRUE,"Large")</f>
        <v>Large</v>
      </c>
      <c r="U325" t="str" cm="1">
        <f t="array" ref="U325">_xlfn.IFS(clean_data[[#This Row],[profit margin%]]&lt;0.5,"Low Profit",
     clean_data[[#This Row],[profit margin%]]&lt;0.6,"Medium Profit",
     TRUE,"High Profit")</f>
        <v>Medium Profit</v>
      </c>
      <c r="V325" t="str">
        <f>TEXT(clean_data[[#This Row],[Date]],"mmm-yyyy")</f>
        <v>May-2022</v>
      </c>
      <c r="W325" s="8">
        <f>EOMONTH(clean_data[[#This Row],[Date]],-1)+1</f>
        <v>44682</v>
      </c>
    </row>
    <row r="326" spans="1:23" x14ac:dyDescent="0.3">
      <c r="A326" t="s">
        <v>398</v>
      </c>
      <c r="B326" s="1">
        <v>45591</v>
      </c>
      <c r="C326" t="s">
        <v>58</v>
      </c>
      <c r="D326" t="s">
        <v>84</v>
      </c>
      <c r="E326" t="s">
        <v>32</v>
      </c>
      <c r="F326" t="s">
        <v>20</v>
      </c>
      <c r="G326" t="s">
        <v>74</v>
      </c>
      <c r="H326">
        <v>37</v>
      </c>
      <c r="I326">
        <v>4200</v>
      </c>
      <c r="J326">
        <v>20</v>
      </c>
      <c r="K326">
        <v>124320</v>
      </c>
      <c r="L326">
        <v>49728</v>
      </c>
      <c r="M326">
        <v>74592</v>
      </c>
      <c r="N326" t="s">
        <v>30</v>
      </c>
      <c r="O326" t="s">
        <v>35</v>
      </c>
      <c r="P326" t="s">
        <v>40</v>
      </c>
      <c r="Q326" t="str">
        <f>TEXT(clean_data[[#This Row],[Date]],"mmm")</f>
        <v>Oct</v>
      </c>
      <c r="R326">
        <f>YEAR(clean_data[[#This Row],[Date]])</f>
        <v>2024</v>
      </c>
      <c r="S326" s="2">
        <f>clean_data[[#This Row],[Profit]]/clean_data[[#This Row],[Revenue]]</f>
        <v>0.6</v>
      </c>
      <c r="T326" t="str" cm="1">
        <f t="array" ref="T326">_xlfn.IFS(clean_data[[#This Row],[Revenue]]&lt;300000,"Small",
     clean_data[[#This Row],[Revenue]]&lt;700000,"Medium",
     TRUE,"Large")</f>
        <v>Small</v>
      </c>
      <c r="U326" t="str" cm="1">
        <f t="array" ref="U326">_xlfn.IFS(clean_data[[#This Row],[profit margin%]]&lt;0.5,"Low Profit",
     clean_data[[#This Row],[profit margin%]]&lt;0.6,"Medium Profit",
     TRUE,"High Profit")</f>
        <v>High Profit</v>
      </c>
      <c r="V326" t="str">
        <f>TEXT(clean_data[[#This Row],[Date]],"mmm-yyyy")</f>
        <v>Oct-2024</v>
      </c>
      <c r="W326" s="8">
        <f>EOMONTH(clean_data[[#This Row],[Date]],-1)+1</f>
        <v>45566</v>
      </c>
    </row>
    <row r="327" spans="1:23" x14ac:dyDescent="0.3">
      <c r="A327" t="s">
        <v>399</v>
      </c>
      <c r="B327" s="1">
        <v>44768</v>
      </c>
      <c r="C327" t="s">
        <v>17</v>
      </c>
      <c r="D327" t="s">
        <v>42</v>
      </c>
      <c r="E327" t="s">
        <v>70</v>
      </c>
      <c r="F327" t="s">
        <v>65</v>
      </c>
      <c r="G327" t="s">
        <v>124</v>
      </c>
      <c r="H327">
        <v>25</v>
      </c>
      <c r="I327">
        <v>18000</v>
      </c>
      <c r="J327">
        <v>15</v>
      </c>
      <c r="K327">
        <v>382500</v>
      </c>
      <c r="L327">
        <v>172125</v>
      </c>
      <c r="M327">
        <v>210375</v>
      </c>
      <c r="N327" t="s">
        <v>22</v>
      </c>
      <c r="O327" t="s">
        <v>23</v>
      </c>
      <c r="P327" t="s">
        <v>40</v>
      </c>
      <c r="Q327" t="str">
        <f>TEXT(clean_data[[#This Row],[Date]],"mmm")</f>
        <v>Jul</v>
      </c>
      <c r="R327">
        <f>YEAR(clean_data[[#This Row],[Date]])</f>
        <v>2022</v>
      </c>
      <c r="S327" s="2">
        <f>clean_data[[#This Row],[Profit]]/clean_data[[#This Row],[Revenue]]</f>
        <v>0.55000000000000004</v>
      </c>
      <c r="T327" t="str" cm="1">
        <f t="array" ref="T327">_xlfn.IFS(clean_data[[#This Row],[Revenue]]&lt;300000,"Small",
     clean_data[[#This Row],[Revenue]]&lt;700000,"Medium",
     TRUE,"Large")</f>
        <v>Medium</v>
      </c>
      <c r="U327" t="str" cm="1">
        <f t="array" ref="U327">_xlfn.IFS(clean_data[[#This Row],[profit margin%]]&lt;0.5,"Low Profit",
     clean_data[[#This Row],[profit margin%]]&lt;0.6,"Medium Profit",
     TRUE,"High Profit")</f>
        <v>Medium Profit</v>
      </c>
      <c r="V327" t="str">
        <f>TEXT(clean_data[[#This Row],[Date]],"mmm-yyyy")</f>
        <v>Jul-2022</v>
      </c>
      <c r="W327" s="8">
        <f>EOMONTH(clean_data[[#This Row],[Date]],-1)+1</f>
        <v>44743</v>
      </c>
    </row>
    <row r="328" spans="1:23" x14ac:dyDescent="0.3">
      <c r="A328" t="s">
        <v>400</v>
      </c>
      <c r="B328" s="1">
        <v>44626</v>
      </c>
      <c r="C328" t="s">
        <v>17</v>
      </c>
      <c r="D328" t="s">
        <v>37</v>
      </c>
      <c r="E328" t="s">
        <v>78</v>
      </c>
      <c r="F328" t="s">
        <v>65</v>
      </c>
      <c r="G328" t="s">
        <v>117</v>
      </c>
      <c r="H328">
        <v>26</v>
      </c>
      <c r="I328">
        <v>1200</v>
      </c>
      <c r="J328">
        <v>10</v>
      </c>
      <c r="K328">
        <v>28080</v>
      </c>
      <c r="L328">
        <v>12636</v>
      </c>
      <c r="M328">
        <v>15444</v>
      </c>
      <c r="N328" t="s">
        <v>30</v>
      </c>
      <c r="O328" t="s">
        <v>23</v>
      </c>
      <c r="P328" t="s">
        <v>24</v>
      </c>
      <c r="Q328" t="str">
        <f>TEXT(clean_data[[#This Row],[Date]],"mmm")</f>
        <v>Mar</v>
      </c>
      <c r="R328">
        <f>YEAR(clean_data[[#This Row],[Date]])</f>
        <v>2022</v>
      </c>
      <c r="S328" s="2">
        <f>clean_data[[#This Row],[Profit]]/clean_data[[#This Row],[Revenue]]</f>
        <v>0.55000000000000004</v>
      </c>
      <c r="T328" t="str" cm="1">
        <f t="array" ref="T328">_xlfn.IFS(clean_data[[#This Row],[Revenue]]&lt;300000,"Small",
     clean_data[[#This Row],[Revenue]]&lt;700000,"Medium",
     TRUE,"Large")</f>
        <v>Small</v>
      </c>
      <c r="U328" t="str" cm="1">
        <f t="array" ref="U328">_xlfn.IFS(clean_data[[#This Row],[profit margin%]]&lt;0.5,"Low Profit",
     clean_data[[#This Row],[profit margin%]]&lt;0.6,"Medium Profit",
     TRUE,"High Profit")</f>
        <v>Medium Profit</v>
      </c>
      <c r="V328" t="str">
        <f>TEXT(clean_data[[#This Row],[Date]],"mmm-yyyy")</f>
        <v>Mar-2022</v>
      </c>
      <c r="W328" s="8">
        <f>EOMONTH(clean_data[[#This Row],[Date]],-1)+1</f>
        <v>44621</v>
      </c>
    </row>
    <row r="329" spans="1:23" x14ac:dyDescent="0.3">
      <c r="A329" t="s">
        <v>401</v>
      </c>
      <c r="B329" s="1">
        <v>45089</v>
      </c>
      <c r="C329" t="s">
        <v>26</v>
      </c>
      <c r="D329" t="s">
        <v>69</v>
      </c>
      <c r="E329" t="s">
        <v>73</v>
      </c>
      <c r="F329" t="s">
        <v>33</v>
      </c>
      <c r="G329" t="s">
        <v>34</v>
      </c>
      <c r="H329">
        <v>32</v>
      </c>
      <c r="I329">
        <v>25000</v>
      </c>
      <c r="J329">
        <v>0</v>
      </c>
      <c r="K329">
        <v>800000</v>
      </c>
      <c r="L329">
        <v>400000</v>
      </c>
      <c r="M329">
        <v>400000</v>
      </c>
      <c r="N329" t="s">
        <v>30</v>
      </c>
      <c r="O329" t="s">
        <v>50</v>
      </c>
      <c r="P329" t="s">
        <v>24</v>
      </c>
      <c r="Q329" t="str">
        <f>TEXT(clean_data[[#This Row],[Date]],"mmm")</f>
        <v>Jun</v>
      </c>
      <c r="R329">
        <f>YEAR(clean_data[[#This Row],[Date]])</f>
        <v>2023</v>
      </c>
      <c r="S329" s="2">
        <f>clean_data[[#This Row],[Profit]]/clean_data[[#This Row],[Revenue]]</f>
        <v>0.5</v>
      </c>
      <c r="T329" t="str" cm="1">
        <f t="array" ref="T329">_xlfn.IFS(clean_data[[#This Row],[Revenue]]&lt;300000,"Small",
     clean_data[[#This Row],[Revenue]]&lt;700000,"Medium",
     TRUE,"Large")</f>
        <v>Large</v>
      </c>
      <c r="U329" t="str" cm="1">
        <f t="array" ref="U329">_xlfn.IFS(clean_data[[#This Row],[profit margin%]]&lt;0.5,"Low Profit",
     clean_data[[#This Row],[profit margin%]]&lt;0.6,"Medium Profit",
     TRUE,"High Profit")</f>
        <v>Medium Profit</v>
      </c>
      <c r="V329" t="str">
        <f>TEXT(clean_data[[#This Row],[Date]],"mmm-yyyy")</f>
        <v>Jun-2023</v>
      </c>
      <c r="W329" s="8">
        <f>EOMONTH(clean_data[[#This Row],[Date]],-1)+1</f>
        <v>45078</v>
      </c>
    </row>
    <row r="330" spans="1:23" x14ac:dyDescent="0.3">
      <c r="A330" t="s">
        <v>402</v>
      </c>
      <c r="B330" s="1">
        <v>45437</v>
      </c>
      <c r="C330" t="s">
        <v>17</v>
      </c>
      <c r="D330" t="s">
        <v>37</v>
      </c>
      <c r="E330" t="s">
        <v>32</v>
      </c>
      <c r="F330" t="s">
        <v>28</v>
      </c>
      <c r="G330" t="s">
        <v>87</v>
      </c>
      <c r="H330">
        <v>29</v>
      </c>
      <c r="I330">
        <v>45000</v>
      </c>
      <c r="J330">
        <v>5</v>
      </c>
      <c r="K330">
        <v>1239750</v>
      </c>
      <c r="L330">
        <v>681862.5</v>
      </c>
      <c r="M330">
        <v>557887.5</v>
      </c>
      <c r="N330" t="s">
        <v>22</v>
      </c>
      <c r="O330" t="s">
        <v>23</v>
      </c>
      <c r="P330" t="s">
        <v>24</v>
      </c>
      <c r="Q330" t="str">
        <f>TEXT(clean_data[[#This Row],[Date]],"mmm")</f>
        <v>May</v>
      </c>
      <c r="R330">
        <f>YEAR(clean_data[[#This Row],[Date]])</f>
        <v>2024</v>
      </c>
      <c r="S330" s="2">
        <f>clean_data[[#This Row],[Profit]]/clean_data[[#This Row],[Revenue]]</f>
        <v>0.45</v>
      </c>
      <c r="T330" t="str" cm="1">
        <f t="array" ref="T330">_xlfn.IFS(clean_data[[#This Row],[Revenue]]&lt;300000,"Small",
     clean_data[[#This Row],[Revenue]]&lt;700000,"Medium",
     TRUE,"Large")</f>
        <v>Large</v>
      </c>
      <c r="U330" t="str" cm="1">
        <f t="array" ref="U330">_xlfn.IFS(clean_data[[#This Row],[profit margin%]]&lt;0.5,"Low Profit",
     clean_data[[#This Row],[profit margin%]]&lt;0.6,"Medium Profit",
     TRUE,"High Profit")</f>
        <v>Low Profit</v>
      </c>
      <c r="V330" t="str">
        <f>TEXT(clean_data[[#This Row],[Date]],"mmm-yyyy")</f>
        <v>May-2024</v>
      </c>
      <c r="W330" s="8">
        <f>EOMONTH(clean_data[[#This Row],[Date]],-1)+1</f>
        <v>45413</v>
      </c>
    </row>
    <row r="331" spans="1:23" x14ac:dyDescent="0.3">
      <c r="A331" t="s">
        <v>403</v>
      </c>
      <c r="B331" s="1">
        <v>45593</v>
      </c>
      <c r="C331" t="s">
        <v>17</v>
      </c>
      <c r="D331" t="s">
        <v>18</v>
      </c>
      <c r="E331" t="s">
        <v>111</v>
      </c>
      <c r="F331" t="s">
        <v>20</v>
      </c>
      <c r="G331" t="s">
        <v>21</v>
      </c>
      <c r="H331">
        <v>20</v>
      </c>
      <c r="I331">
        <v>3500</v>
      </c>
      <c r="J331">
        <v>20</v>
      </c>
      <c r="K331">
        <v>56000</v>
      </c>
      <c r="L331">
        <v>22400</v>
      </c>
      <c r="M331">
        <v>33600</v>
      </c>
      <c r="N331" t="s">
        <v>30</v>
      </c>
      <c r="O331" t="s">
        <v>67</v>
      </c>
      <c r="P331" t="s">
        <v>24</v>
      </c>
      <c r="Q331" t="str">
        <f>TEXT(clean_data[[#This Row],[Date]],"mmm")</f>
        <v>Oct</v>
      </c>
      <c r="R331">
        <f>YEAR(clean_data[[#This Row],[Date]])</f>
        <v>2024</v>
      </c>
      <c r="S331" s="2">
        <f>clean_data[[#This Row],[Profit]]/clean_data[[#This Row],[Revenue]]</f>
        <v>0.6</v>
      </c>
      <c r="T331" t="str" cm="1">
        <f t="array" ref="T331">_xlfn.IFS(clean_data[[#This Row],[Revenue]]&lt;300000,"Small",
     clean_data[[#This Row],[Revenue]]&lt;700000,"Medium",
     TRUE,"Large")</f>
        <v>Small</v>
      </c>
      <c r="U331" t="str" cm="1">
        <f t="array" ref="U331">_xlfn.IFS(clean_data[[#This Row],[profit margin%]]&lt;0.5,"Low Profit",
     clean_data[[#This Row],[profit margin%]]&lt;0.6,"Medium Profit",
     TRUE,"High Profit")</f>
        <v>High Profit</v>
      </c>
      <c r="V331" t="str">
        <f>TEXT(clean_data[[#This Row],[Date]],"mmm-yyyy")</f>
        <v>Oct-2024</v>
      </c>
      <c r="W331" s="8">
        <f>EOMONTH(clean_data[[#This Row],[Date]],-1)+1</f>
        <v>45566</v>
      </c>
    </row>
    <row r="332" spans="1:23" x14ac:dyDescent="0.3">
      <c r="A332" t="s">
        <v>404</v>
      </c>
      <c r="B332" s="1">
        <v>44598</v>
      </c>
      <c r="C332" t="s">
        <v>46</v>
      </c>
      <c r="D332" t="s">
        <v>47</v>
      </c>
      <c r="E332" t="s">
        <v>56</v>
      </c>
      <c r="F332" t="s">
        <v>20</v>
      </c>
      <c r="G332" t="s">
        <v>21</v>
      </c>
      <c r="H332">
        <v>30</v>
      </c>
      <c r="I332">
        <v>3500</v>
      </c>
      <c r="J332">
        <v>0</v>
      </c>
      <c r="K332">
        <v>105000</v>
      </c>
      <c r="L332">
        <v>42000</v>
      </c>
      <c r="M332">
        <v>63000</v>
      </c>
      <c r="N332" t="s">
        <v>22</v>
      </c>
      <c r="O332" t="s">
        <v>44</v>
      </c>
      <c r="P332" t="s">
        <v>24</v>
      </c>
      <c r="Q332" t="str">
        <f>TEXT(clean_data[[#This Row],[Date]],"mmm")</f>
        <v>Feb</v>
      </c>
      <c r="R332">
        <f>YEAR(clean_data[[#This Row],[Date]])</f>
        <v>2022</v>
      </c>
      <c r="S332" s="2">
        <f>clean_data[[#This Row],[Profit]]/clean_data[[#This Row],[Revenue]]</f>
        <v>0.6</v>
      </c>
      <c r="T332" t="str" cm="1">
        <f t="array" ref="T332">_xlfn.IFS(clean_data[[#This Row],[Revenue]]&lt;300000,"Small",
     clean_data[[#This Row],[Revenue]]&lt;700000,"Medium",
     TRUE,"Large")</f>
        <v>Small</v>
      </c>
      <c r="U332" t="str" cm="1">
        <f t="array" ref="U332">_xlfn.IFS(clean_data[[#This Row],[profit margin%]]&lt;0.5,"Low Profit",
     clean_data[[#This Row],[profit margin%]]&lt;0.6,"Medium Profit",
     TRUE,"High Profit")</f>
        <v>High Profit</v>
      </c>
      <c r="V332" t="str">
        <f>TEXT(clean_data[[#This Row],[Date]],"mmm-yyyy")</f>
        <v>Feb-2022</v>
      </c>
      <c r="W332" s="8">
        <f>EOMONTH(clean_data[[#This Row],[Date]],-1)+1</f>
        <v>44593</v>
      </c>
    </row>
    <row r="333" spans="1:23" x14ac:dyDescent="0.3">
      <c r="A333" t="s">
        <v>405</v>
      </c>
      <c r="B333" s="1">
        <v>45089</v>
      </c>
      <c r="C333" t="s">
        <v>58</v>
      </c>
      <c r="D333" t="s">
        <v>64</v>
      </c>
      <c r="E333" t="s">
        <v>32</v>
      </c>
      <c r="F333" t="s">
        <v>28</v>
      </c>
      <c r="G333" t="s">
        <v>95</v>
      </c>
      <c r="H333">
        <v>16</v>
      </c>
      <c r="I333">
        <v>75000</v>
      </c>
      <c r="J333">
        <v>10</v>
      </c>
      <c r="K333">
        <v>1080000</v>
      </c>
      <c r="L333">
        <v>594000</v>
      </c>
      <c r="M333">
        <v>486000</v>
      </c>
      <c r="N333" t="s">
        <v>22</v>
      </c>
      <c r="O333" t="s">
        <v>23</v>
      </c>
      <c r="P333" t="s">
        <v>24</v>
      </c>
      <c r="Q333" t="str">
        <f>TEXT(clean_data[[#This Row],[Date]],"mmm")</f>
        <v>Jun</v>
      </c>
      <c r="R333">
        <f>YEAR(clean_data[[#This Row],[Date]])</f>
        <v>2023</v>
      </c>
      <c r="S333" s="2">
        <f>clean_data[[#This Row],[Profit]]/clean_data[[#This Row],[Revenue]]</f>
        <v>0.45</v>
      </c>
      <c r="T333" t="str" cm="1">
        <f t="array" ref="T333">_xlfn.IFS(clean_data[[#This Row],[Revenue]]&lt;300000,"Small",
     clean_data[[#This Row],[Revenue]]&lt;700000,"Medium",
     TRUE,"Large")</f>
        <v>Large</v>
      </c>
      <c r="U333" t="str" cm="1">
        <f t="array" ref="U333">_xlfn.IFS(clean_data[[#This Row],[profit margin%]]&lt;0.5,"Low Profit",
     clean_data[[#This Row],[profit margin%]]&lt;0.6,"Medium Profit",
     TRUE,"High Profit")</f>
        <v>Low Profit</v>
      </c>
      <c r="V333" t="str">
        <f>TEXT(clean_data[[#This Row],[Date]],"mmm-yyyy")</f>
        <v>Jun-2023</v>
      </c>
      <c r="W333" s="8">
        <f>EOMONTH(clean_data[[#This Row],[Date]],-1)+1</f>
        <v>45078</v>
      </c>
    </row>
    <row r="334" spans="1:23" x14ac:dyDescent="0.3">
      <c r="A334" t="s">
        <v>406</v>
      </c>
      <c r="B334" s="1">
        <v>44923</v>
      </c>
      <c r="C334" t="s">
        <v>58</v>
      </c>
      <c r="D334" t="s">
        <v>64</v>
      </c>
      <c r="E334" t="s">
        <v>111</v>
      </c>
      <c r="F334" t="s">
        <v>33</v>
      </c>
      <c r="G334" t="s">
        <v>34</v>
      </c>
      <c r="H334">
        <v>11</v>
      </c>
      <c r="I334">
        <v>25000</v>
      </c>
      <c r="J334">
        <v>10</v>
      </c>
      <c r="K334">
        <v>247500</v>
      </c>
      <c r="L334">
        <v>123750</v>
      </c>
      <c r="M334">
        <v>123750</v>
      </c>
      <c r="N334" t="s">
        <v>49</v>
      </c>
      <c r="O334" t="s">
        <v>35</v>
      </c>
      <c r="P334" t="s">
        <v>24</v>
      </c>
      <c r="Q334" t="str">
        <f>TEXT(clean_data[[#This Row],[Date]],"mmm")</f>
        <v>Dec</v>
      </c>
      <c r="R334">
        <f>YEAR(clean_data[[#This Row],[Date]])</f>
        <v>2022</v>
      </c>
      <c r="S334" s="2">
        <f>clean_data[[#This Row],[Profit]]/clean_data[[#This Row],[Revenue]]</f>
        <v>0.5</v>
      </c>
      <c r="T334" t="str" cm="1">
        <f t="array" ref="T334">_xlfn.IFS(clean_data[[#This Row],[Revenue]]&lt;300000,"Small",
     clean_data[[#This Row],[Revenue]]&lt;700000,"Medium",
     TRUE,"Large")</f>
        <v>Small</v>
      </c>
      <c r="U334" t="str" cm="1">
        <f t="array" ref="U334">_xlfn.IFS(clean_data[[#This Row],[profit margin%]]&lt;0.5,"Low Profit",
     clean_data[[#This Row],[profit margin%]]&lt;0.6,"Medium Profit",
     TRUE,"High Profit")</f>
        <v>Medium Profit</v>
      </c>
      <c r="V334" t="str">
        <f>TEXT(clean_data[[#This Row],[Date]],"mmm-yyyy")</f>
        <v>Dec-2022</v>
      </c>
      <c r="W334" s="8">
        <f>EOMONTH(clean_data[[#This Row],[Date]],-1)+1</f>
        <v>44896</v>
      </c>
    </row>
    <row r="335" spans="1:23" x14ac:dyDescent="0.3">
      <c r="A335" t="s">
        <v>407</v>
      </c>
      <c r="B335" s="1">
        <v>45293</v>
      </c>
      <c r="C335" t="s">
        <v>46</v>
      </c>
      <c r="D335" t="s">
        <v>47</v>
      </c>
      <c r="E335" t="s">
        <v>19</v>
      </c>
      <c r="F335" t="s">
        <v>20</v>
      </c>
      <c r="G335" t="s">
        <v>74</v>
      </c>
      <c r="H335">
        <v>18</v>
      </c>
      <c r="I335">
        <v>4200</v>
      </c>
      <c r="J335">
        <v>15</v>
      </c>
      <c r="K335">
        <v>64260</v>
      </c>
      <c r="L335">
        <v>25704</v>
      </c>
      <c r="M335">
        <v>38556</v>
      </c>
      <c r="N335" t="s">
        <v>30</v>
      </c>
      <c r="O335" t="s">
        <v>35</v>
      </c>
      <c r="P335" t="s">
        <v>40</v>
      </c>
      <c r="Q335" t="str">
        <f>TEXT(clean_data[[#This Row],[Date]],"mmm")</f>
        <v>Jan</v>
      </c>
      <c r="R335">
        <f>YEAR(clean_data[[#This Row],[Date]])</f>
        <v>2024</v>
      </c>
      <c r="S335" s="2">
        <f>clean_data[[#This Row],[Profit]]/clean_data[[#This Row],[Revenue]]</f>
        <v>0.6</v>
      </c>
      <c r="T335" t="str" cm="1">
        <f t="array" ref="T335">_xlfn.IFS(clean_data[[#This Row],[Revenue]]&lt;300000,"Small",
     clean_data[[#This Row],[Revenue]]&lt;700000,"Medium",
     TRUE,"Large")</f>
        <v>Small</v>
      </c>
      <c r="U335" t="str" cm="1">
        <f t="array" ref="U335">_xlfn.IFS(clean_data[[#This Row],[profit margin%]]&lt;0.5,"Low Profit",
     clean_data[[#This Row],[profit margin%]]&lt;0.6,"Medium Profit",
     TRUE,"High Profit")</f>
        <v>High Profit</v>
      </c>
      <c r="V335" t="str">
        <f>TEXT(clean_data[[#This Row],[Date]],"mmm-yyyy")</f>
        <v>Jan-2024</v>
      </c>
      <c r="W335" s="8">
        <f>EOMONTH(clean_data[[#This Row],[Date]],-1)+1</f>
        <v>45292</v>
      </c>
    </row>
    <row r="336" spans="1:23" x14ac:dyDescent="0.3">
      <c r="A336" t="s">
        <v>408</v>
      </c>
      <c r="B336" s="1">
        <v>45478</v>
      </c>
      <c r="C336" t="s">
        <v>46</v>
      </c>
      <c r="D336" t="s">
        <v>47</v>
      </c>
      <c r="E336" t="s">
        <v>19</v>
      </c>
      <c r="F336" t="s">
        <v>33</v>
      </c>
      <c r="G336" t="s">
        <v>43</v>
      </c>
      <c r="H336">
        <v>20</v>
      </c>
      <c r="I336">
        <v>4000</v>
      </c>
      <c r="J336">
        <v>10</v>
      </c>
      <c r="K336">
        <v>72000</v>
      </c>
      <c r="L336">
        <v>36000</v>
      </c>
      <c r="M336">
        <v>36000</v>
      </c>
      <c r="N336" t="s">
        <v>49</v>
      </c>
      <c r="O336" t="s">
        <v>50</v>
      </c>
      <c r="P336" t="s">
        <v>24</v>
      </c>
      <c r="Q336" t="str">
        <f>TEXT(clean_data[[#This Row],[Date]],"mmm")</f>
        <v>Jul</v>
      </c>
      <c r="R336">
        <f>YEAR(clean_data[[#This Row],[Date]])</f>
        <v>2024</v>
      </c>
      <c r="S336" s="2">
        <f>clean_data[[#This Row],[Profit]]/clean_data[[#This Row],[Revenue]]</f>
        <v>0.5</v>
      </c>
      <c r="T336" t="str" cm="1">
        <f t="array" ref="T336">_xlfn.IFS(clean_data[[#This Row],[Revenue]]&lt;300000,"Small",
     clean_data[[#This Row],[Revenue]]&lt;700000,"Medium",
     TRUE,"Large")</f>
        <v>Small</v>
      </c>
      <c r="U336" t="str" cm="1">
        <f t="array" ref="U336">_xlfn.IFS(clean_data[[#This Row],[profit margin%]]&lt;0.5,"Low Profit",
     clean_data[[#This Row],[profit margin%]]&lt;0.6,"Medium Profit",
     TRUE,"High Profit")</f>
        <v>Medium Profit</v>
      </c>
      <c r="V336" t="str">
        <f>TEXT(clean_data[[#This Row],[Date]],"mmm-yyyy")</f>
        <v>Jul-2024</v>
      </c>
      <c r="W336" s="8">
        <f>EOMONTH(clean_data[[#This Row],[Date]],-1)+1</f>
        <v>45474</v>
      </c>
    </row>
    <row r="337" spans="1:23" x14ac:dyDescent="0.3">
      <c r="A337" t="s">
        <v>409</v>
      </c>
      <c r="B337" s="1">
        <v>45452</v>
      </c>
      <c r="C337" t="s">
        <v>46</v>
      </c>
      <c r="D337" t="s">
        <v>55</v>
      </c>
      <c r="E337" t="s">
        <v>73</v>
      </c>
      <c r="F337" t="s">
        <v>65</v>
      </c>
      <c r="G337" t="s">
        <v>79</v>
      </c>
      <c r="H337">
        <v>7</v>
      </c>
      <c r="I337">
        <v>900</v>
      </c>
      <c r="J337">
        <v>0</v>
      </c>
      <c r="K337">
        <v>6300</v>
      </c>
      <c r="L337">
        <v>2835</v>
      </c>
      <c r="M337">
        <v>3465</v>
      </c>
      <c r="N337" t="s">
        <v>22</v>
      </c>
      <c r="O337" t="s">
        <v>50</v>
      </c>
      <c r="P337" t="s">
        <v>40</v>
      </c>
      <c r="Q337" t="str">
        <f>TEXT(clean_data[[#This Row],[Date]],"mmm")</f>
        <v>Jun</v>
      </c>
      <c r="R337">
        <f>YEAR(clean_data[[#This Row],[Date]])</f>
        <v>2024</v>
      </c>
      <c r="S337" s="2">
        <f>clean_data[[#This Row],[Profit]]/clean_data[[#This Row],[Revenue]]</f>
        <v>0.55000000000000004</v>
      </c>
      <c r="T337" t="str" cm="1">
        <f t="array" ref="T337">_xlfn.IFS(clean_data[[#This Row],[Revenue]]&lt;300000,"Small",
     clean_data[[#This Row],[Revenue]]&lt;700000,"Medium",
     TRUE,"Large")</f>
        <v>Small</v>
      </c>
      <c r="U337" t="str" cm="1">
        <f t="array" ref="U337">_xlfn.IFS(clean_data[[#This Row],[profit margin%]]&lt;0.5,"Low Profit",
     clean_data[[#This Row],[profit margin%]]&lt;0.6,"Medium Profit",
     TRUE,"High Profit")</f>
        <v>Medium Profit</v>
      </c>
      <c r="V337" t="str">
        <f>TEXT(clean_data[[#This Row],[Date]],"mmm-yyyy")</f>
        <v>Jun-2024</v>
      </c>
      <c r="W337" s="8">
        <f>EOMONTH(clean_data[[#This Row],[Date]],-1)+1</f>
        <v>45444</v>
      </c>
    </row>
    <row r="338" spans="1:23" x14ac:dyDescent="0.3">
      <c r="A338" t="s">
        <v>410</v>
      </c>
      <c r="B338" s="1">
        <v>45647</v>
      </c>
      <c r="C338" t="s">
        <v>17</v>
      </c>
      <c r="D338" t="s">
        <v>37</v>
      </c>
      <c r="E338" t="s">
        <v>52</v>
      </c>
      <c r="F338" t="s">
        <v>65</v>
      </c>
      <c r="G338" t="s">
        <v>117</v>
      </c>
      <c r="H338">
        <v>22</v>
      </c>
      <c r="I338">
        <v>1200</v>
      </c>
      <c r="J338">
        <v>10</v>
      </c>
      <c r="K338">
        <v>23760</v>
      </c>
      <c r="L338">
        <v>10692</v>
      </c>
      <c r="M338">
        <v>13068</v>
      </c>
      <c r="N338" t="s">
        <v>49</v>
      </c>
      <c r="O338" t="s">
        <v>50</v>
      </c>
      <c r="P338" t="s">
        <v>24</v>
      </c>
      <c r="Q338" t="str">
        <f>TEXT(clean_data[[#This Row],[Date]],"mmm")</f>
        <v>Dec</v>
      </c>
      <c r="R338">
        <f>YEAR(clean_data[[#This Row],[Date]])</f>
        <v>2024</v>
      </c>
      <c r="S338" s="2">
        <f>clean_data[[#This Row],[Profit]]/clean_data[[#This Row],[Revenue]]</f>
        <v>0.55000000000000004</v>
      </c>
      <c r="T338" t="str" cm="1">
        <f t="array" ref="T338">_xlfn.IFS(clean_data[[#This Row],[Revenue]]&lt;300000,"Small",
     clean_data[[#This Row],[Revenue]]&lt;700000,"Medium",
     TRUE,"Large")</f>
        <v>Small</v>
      </c>
      <c r="U338" t="str" cm="1">
        <f t="array" ref="U338">_xlfn.IFS(clean_data[[#This Row],[profit margin%]]&lt;0.5,"Low Profit",
     clean_data[[#This Row],[profit margin%]]&lt;0.6,"Medium Profit",
     TRUE,"High Profit")</f>
        <v>Medium Profit</v>
      </c>
      <c r="V338" t="str">
        <f>TEXT(clean_data[[#This Row],[Date]],"mmm-yyyy")</f>
        <v>Dec-2024</v>
      </c>
      <c r="W338" s="8">
        <f>EOMONTH(clean_data[[#This Row],[Date]],-1)+1</f>
        <v>45627</v>
      </c>
    </row>
    <row r="339" spans="1:23" x14ac:dyDescent="0.3">
      <c r="A339" t="s">
        <v>411</v>
      </c>
      <c r="B339" s="1">
        <v>45145</v>
      </c>
      <c r="C339" t="s">
        <v>46</v>
      </c>
      <c r="D339" t="s">
        <v>47</v>
      </c>
      <c r="E339" t="s">
        <v>56</v>
      </c>
      <c r="F339" t="s">
        <v>65</v>
      </c>
      <c r="G339" t="s">
        <v>124</v>
      </c>
      <c r="H339">
        <v>44</v>
      </c>
      <c r="I339">
        <v>18000</v>
      </c>
      <c r="J339">
        <v>5</v>
      </c>
      <c r="K339">
        <v>752400</v>
      </c>
      <c r="L339">
        <v>338580</v>
      </c>
      <c r="M339">
        <v>413820</v>
      </c>
      <c r="N339" t="s">
        <v>22</v>
      </c>
      <c r="O339" t="s">
        <v>23</v>
      </c>
      <c r="P339" t="s">
        <v>24</v>
      </c>
      <c r="Q339" t="str">
        <f>TEXT(clean_data[[#This Row],[Date]],"mmm")</f>
        <v>Aug</v>
      </c>
      <c r="R339">
        <f>YEAR(clean_data[[#This Row],[Date]])</f>
        <v>2023</v>
      </c>
      <c r="S339" s="2">
        <f>clean_data[[#This Row],[Profit]]/clean_data[[#This Row],[Revenue]]</f>
        <v>0.55000000000000004</v>
      </c>
      <c r="T339" t="str" cm="1">
        <f t="array" ref="T339">_xlfn.IFS(clean_data[[#This Row],[Revenue]]&lt;300000,"Small",
     clean_data[[#This Row],[Revenue]]&lt;700000,"Medium",
     TRUE,"Large")</f>
        <v>Large</v>
      </c>
      <c r="U339" t="str" cm="1">
        <f t="array" ref="U339">_xlfn.IFS(clean_data[[#This Row],[profit margin%]]&lt;0.5,"Low Profit",
     clean_data[[#This Row],[profit margin%]]&lt;0.6,"Medium Profit",
     TRUE,"High Profit")</f>
        <v>Medium Profit</v>
      </c>
      <c r="V339" t="str">
        <f>TEXT(clean_data[[#This Row],[Date]],"mmm-yyyy")</f>
        <v>Aug-2023</v>
      </c>
      <c r="W339" s="8">
        <f>EOMONTH(clean_data[[#This Row],[Date]],-1)+1</f>
        <v>45139</v>
      </c>
    </row>
    <row r="340" spans="1:23" x14ac:dyDescent="0.3">
      <c r="A340" t="s">
        <v>412</v>
      </c>
      <c r="B340" s="1">
        <v>45116</v>
      </c>
      <c r="C340" t="s">
        <v>58</v>
      </c>
      <c r="D340" t="s">
        <v>59</v>
      </c>
      <c r="E340" t="s">
        <v>32</v>
      </c>
      <c r="F340" t="s">
        <v>28</v>
      </c>
      <c r="G340" t="s">
        <v>29</v>
      </c>
      <c r="H340">
        <v>46</v>
      </c>
      <c r="I340">
        <v>15000</v>
      </c>
      <c r="J340">
        <v>20</v>
      </c>
      <c r="K340">
        <v>552000</v>
      </c>
      <c r="L340">
        <v>303600</v>
      </c>
      <c r="M340">
        <v>248400</v>
      </c>
      <c r="N340" t="s">
        <v>49</v>
      </c>
      <c r="O340" t="s">
        <v>44</v>
      </c>
      <c r="P340" t="s">
        <v>24</v>
      </c>
      <c r="Q340" t="str">
        <f>TEXT(clean_data[[#This Row],[Date]],"mmm")</f>
        <v>Jul</v>
      </c>
      <c r="R340">
        <f>YEAR(clean_data[[#This Row],[Date]])</f>
        <v>2023</v>
      </c>
      <c r="S340" s="2">
        <f>clean_data[[#This Row],[Profit]]/clean_data[[#This Row],[Revenue]]</f>
        <v>0.45</v>
      </c>
      <c r="T340" t="str" cm="1">
        <f t="array" ref="T340">_xlfn.IFS(clean_data[[#This Row],[Revenue]]&lt;300000,"Small",
     clean_data[[#This Row],[Revenue]]&lt;700000,"Medium",
     TRUE,"Large")</f>
        <v>Medium</v>
      </c>
      <c r="U340" t="str" cm="1">
        <f t="array" ref="U340">_xlfn.IFS(clean_data[[#This Row],[profit margin%]]&lt;0.5,"Low Profit",
     clean_data[[#This Row],[profit margin%]]&lt;0.6,"Medium Profit",
     TRUE,"High Profit")</f>
        <v>Low Profit</v>
      </c>
      <c r="V340" t="str">
        <f>TEXT(clean_data[[#This Row],[Date]],"mmm-yyyy")</f>
        <v>Jul-2023</v>
      </c>
      <c r="W340" s="8">
        <f>EOMONTH(clean_data[[#This Row],[Date]],-1)+1</f>
        <v>45108</v>
      </c>
    </row>
    <row r="341" spans="1:23" x14ac:dyDescent="0.3">
      <c r="A341" t="s">
        <v>413</v>
      </c>
      <c r="B341" s="1">
        <v>45617</v>
      </c>
      <c r="C341" t="s">
        <v>58</v>
      </c>
      <c r="D341" t="s">
        <v>64</v>
      </c>
      <c r="E341" t="s">
        <v>70</v>
      </c>
      <c r="F341" t="s">
        <v>33</v>
      </c>
      <c r="G341" t="s">
        <v>76</v>
      </c>
      <c r="H341">
        <v>43</v>
      </c>
      <c r="I341">
        <v>8500</v>
      </c>
      <c r="J341">
        <v>20</v>
      </c>
      <c r="K341">
        <v>292400</v>
      </c>
      <c r="L341">
        <v>146200</v>
      </c>
      <c r="M341">
        <v>146200</v>
      </c>
      <c r="N341" t="s">
        <v>49</v>
      </c>
      <c r="O341" t="s">
        <v>35</v>
      </c>
      <c r="P341" t="s">
        <v>24</v>
      </c>
      <c r="Q341" t="str">
        <f>TEXT(clean_data[[#This Row],[Date]],"mmm")</f>
        <v>Nov</v>
      </c>
      <c r="R341">
        <f>YEAR(clean_data[[#This Row],[Date]])</f>
        <v>2024</v>
      </c>
      <c r="S341" s="2">
        <f>clean_data[[#This Row],[Profit]]/clean_data[[#This Row],[Revenue]]</f>
        <v>0.5</v>
      </c>
      <c r="T341" t="str" cm="1">
        <f t="array" ref="T341">_xlfn.IFS(clean_data[[#This Row],[Revenue]]&lt;300000,"Small",
     clean_data[[#This Row],[Revenue]]&lt;700000,"Medium",
     TRUE,"Large")</f>
        <v>Small</v>
      </c>
      <c r="U341" t="str" cm="1">
        <f t="array" ref="U341">_xlfn.IFS(clean_data[[#This Row],[profit margin%]]&lt;0.5,"Low Profit",
     clean_data[[#This Row],[profit margin%]]&lt;0.6,"Medium Profit",
     TRUE,"High Profit")</f>
        <v>Medium Profit</v>
      </c>
      <c r="V341" t="str">
        <f>TEXT(clean_data[[#This Row],[Date]],"mmm-yyyy")</f>
        <v>Nov-2024</v>
      </c>
      <c r="W341" s="8">
        <f>EOMONTH(clean_data[[#This Row],[Date]],-1)+1</f>
        <v>45597</v>
      </c>
    </row>
    <row r="342" spans="1:23" x14ac:dyDescent="0.3">
      <c r="A342" t="s">
        <v>414</v>
      </c>
      <c r="B342" s="1">
        <v>45478</v>
      </c>
      <c r="C342" t="s">
        <v>17</v>
      </c>
      <c r="D342" t="s">
        <v>42</v>
      </c>
      <c r="E342" t="s">
        <v>111</v>
      </c>
      <c r="F342" t="s">
        <v>20</v>
      </c>
      <c r="G342" t="s">
        <v>61</v>
      </c>
      <c r="H342">
        <v>42</v>
      </c>
      <c r="I342">
        <v>800</v>
      </c>
      <c r="J342">
        <v>0</v>
      </c>
      <c r="K342">
        <v>33600</v>
      </c>
      <c r="L342">
        <v>13440</v>
      </c>
      <c r="M342">
        <v>20160</v>
      </c>
      <c r="N342" t="s">
        <v>49</v>
      </c>
      <c r="O342" t="s">
        <v>44</v>
      </c>
      <c r="P342" t="s">
        <v>24</v>
      </c>
      <c r="Q342" t="str">
        <f>TEXT(clean_data[[#This Row],[Date]],"mmm")</f>
        <v>Jul</v>
      </c>
      <c r="R342">
        <f>YEAR(clean_data[[#This Row],[Date]])</f>
        <v>2024</v>
      </c>
      <c r="S342" s="2">
        <f>clean_data[[#This Row],[Profit]]/clean_data[[#This Row],[Revenue]]</f>
        <v>0.6</v>
      </c>
      <c r="T342" t="str" cm="1">
        <f t="array" ref="T342">_xlfn.IFS(clean_data[[#This Row],[Revenue]]&lt;300000,"Small",
     clean_data[[#This Row],[Revenue]]&lt;700000,"Medium",
     TRUE,"Large")</f>
        <v>Small</v>
      </c>
      <c r="U342" t="str" cm="1">
        <f t="array" ref="U342">_xlfn.IFS(clean_data[[#This Row],[profit margin%]]&lt;0.5,"Low Profit",
     clean_data[[#This Row],[profit margin%]]&lt;0.6,"Medium Profit",
     TRUE,"High Profit")</f>
        <v>High Profit</v>
      </c>
      <c r="V342" t="str">
        <f>TEXT(clean_data[[#This Row],[Date]],"mmm-yyyy")</f>
        <v>Jul-2024</v>
      </c>
      <c r="W342" s="8">
        <f>EOMONTH(clean_data[[#This Row],[Date]],-1)+1</f>
        <v>45474</v>
      </c>
    </row>
    <row r="343" spans="1:23" x14ac:dyDescent="0.3">
      <c r="A343" t="s">
        <v>415</v>
      </c>
      <c r="B343" s="1">
        <v>45152</v>
      </c>
      <c r="C343" t="s">
        <v>17</v>
      </c>
      <c r="D343" t="s">
        <v>37</v>
      </c>
      <c r="E343" t="s">
        <v>73</v>
      </c>
      <c r="F343" t="s">
        <v>33</v>
      </c>
      <c r="G343" t="s">
        <v>48</v>
      </c>
      <c r="H343">
        <v>8</v>
      </c>
      <c r="I343">
        <v>1500</v>
      </c>
      <c r="J343">
        <v>15</v>
      </c>
      <c r="K343">
        <v>10200</v>
      </c>
      <c r="L343">
        <v>5100</v>
      </c>
      <c r="M343">
        <v>5100</v>
      </c>
      <c r="N343" t="s">
        <v>22</v>
      </c>
      <c r="O343" t="s">
        <v>67</v>
      </c>
      <c r="P343" t="s">
        <v>24</v>
      </c>
      <c r="Q343" t="str">
        <f>TEXT(clean_data[[#This Row],[Date]],"mmm")</f>
        <v>Aug</v>
      </c>
      <c r="R343">
        <f>YEAR(clean_data[[#This Row],[Date]])</f>
        <v>2023</v>
      </c>
      <c r="S343" s="2">
        <f>clean_data[[#This Row],[Profit]]/clean_data[[#This Row],[Revenue]]</f>
        <v>0.5</v>
      </c>
      <c r="T343" t="str" cm="1">
        <f t="array" ref="T343">_xlfn.IFS(clean_data[[#This Row],[Revenue]]&lt;300000,"Small",
     clean_data[[#This Row],[Revenue]]&lt;700000,"Medium",
     TRUE,"Large")</f>
        <v>Small</v>
      </c>
      <c r="U343" t="str" cm="1">
        <f t="array" ref="U343">_xlfn.IFS(clean_data[[#This Row],[profit margin%]]&lt;0.5,"Low Profit",
     clean_data[[#This Row],[profit margin%]]&lt;0.6,"Medium Profit",
     TRUE,"High Profit")</f>
        <v>Medium Profit</v>
      </c>
      <c r="V343" t="str">
        <f>TEXT(clean_data[[#This Row],[Date]],"mmm-yyyy")</f>
        <v>Aug-2023</v>
      </c>
      <c r="W343" s="8">
        <f>EOMONTH(clean_data[[#This Row],[Date]],-1)+1</f>
        <v>45139</v>
      </c>
    </row>
    <row r="344" spans="1:23" x14ac:dyDescent="0.3">
      <c r="A344" t="s">
        <v>416</v>
      </c>
      <c r="B344" s="1">
        <v>44697</v>
      </c>
      <c r="C344" t="s">
        <v>46</v>
      </c>
      <c r="D344" t="s">
        <v>47</v>
      </c>
      <c r="E344" t="s">
        <v>32</v>
      </c>
      <c r="F344" t="s">
        <v>33</v>
      </c>
      <c r="G344" t="s">
        <v>48</v>
      </c>
      <c r="H344">
        <v>4</v>
      </c>
      <c r="I344">
        <v>1500</v>
      </c>
      <c r="J344">
        <v>5</v>
      </c>
      <c r="K344">
        <v>5700</v>
      </c>
      <c r="L344">
        <v>2850</v>
      </c>
      <c r="M344">
        <v>2850</v>
      </c>
      <c r="N344" t="s">
        <v>30</v>
      </c>
      <c r="O344" t="s">
        <v>50</v>
      </c>
      <c r="P344" t="s">
        <v>24</v>
      </c>
      <c r="Q344" t="str">
        <f>TEXT(clean_data[[#This Row],[Date]],"mmm")</f>
        <v>May</v>
      </c>
      <c r="R344">
        <f>YEAR(clean_data[[#This Row],[Date]])</f>
        <v>2022</v>
      </c>
      <c r="S344" s="2">
        <f>clean_data[[#This Row],[Profit]]/clean_data[[#This Row],[Revenue]]</f>
        <v>0.5</v>
      </c>
      <c r="T344" t="str" cm="1">
        <f t="array" ref="T344">_xlfn.IFS(clean_data[[#This Row],[Revenue]]&lt;300000,"Small",
     clean_data[[#This Row],[Revenue]]&lt;700000,"Medium",
     TRUE,"Large")</f>
        <v>Small</v>
      </c>
      <c r="U344" t="str" cm="1">
        <f t="array" ref="U344">_xlfn.IFS(clean_data[[#This Row],[profit margin%]]&lt;0.5,"Low Profit",
     clean_data[[#This Row],[profit margin%]]&lt;0.6,"Medium Profit",
     TRUE,"High Profit")</f>
        <v>Medium Profit</v>
      </c>
      <c r="V344" t="str">
        <f>TEXT(clean_data[[#This Row],[Date]],"mmm-yyyy")</f>
        <v>May-2022</v>
      </c>
      <c r="W344" s="8">
        <f>EOMONTH(clean_data[[#This Row],[Date]],-1)+1</f>
        <v>44682</v>
      </c>
    </row>
    <row r="345" spans="1:23" x14ac:dyDescent="0.3">
      <c r="A345" t="s">
        <v>417</v>
      </c>
      <c r="B345" s="1">
        <v>45370</v>
      </c>
      <c r="C345" t="s">
        <v>58</v>
      </c>
      <c r="D345" t="s">
        <v>84</v>
      </c>
      <c r="E345" t="s">
        <v>70</v>
      </c>
      <c r="F345" t="s">
        <v>20</v>
      </c>
      <c r="G345" t="s">
        <v>21</v>
      </c>
      <c r="H345">
        <v>32</v>
      </c>
      <c r="I345">
        <v>3500</v>
      </c>
      <c r="J345">
        <v>10</v>
      </c>
      <c r="K345">
        <v>100800</v>
      </c>
      <c r="L345">
        <v>40320</v>
      </c>
      <c r="M345">
        <v>60480</v>
      </c>
      <c r="N345" t="s">
        <v>49</v>
      </c>
      <c r="O345" t="s">
        <v>35</v>
      </c>
      <c r="P345" t="s">
        <v>24</v>
      </c>
      <c r="Q345" t="str">
        <f>TEXT(clean_data[[#This Row],[Date]],"mmm")</f>
        <v>Mar</v>
      </c>
      <c r="R345">
        <f>YEAR(clean_data[[#This Row],[Date]])</f>
        <v>2024</v>
      </c>
      <c r="S345" s="2">
        <f>clean_data[[#This Row],[Profit]]/clean_data[[#This Row],[Revenue]]</f>
        <v>0.6</v>
      </c>
      <c r="T345" t="str" cm="1">
        <f t="array" ref="T345">_xlfn.IFS(clean_data[[#This Row],[Revenue]]&lt;300000,"Small",
     clean_data[[#This Row],[Revenue]]&lt;700000,"Medium",
     TRUE,"Large")</f>
        <v>Small</v>
      </c>
      <c r="U345" t="str" cm="1">
        <f t="array" ref="U345">_xlfn.IFS(clean_data[[#This Row],[profit margin%]]&lt;0.5,"Low Profit",
     clean_data[[#This Row],[profit margin%]]&lt;0.6,"Medium Profit",
     TRUE,"High Profit")</f>
        <v>High Profit</v>
      </c>
      <c r="V345" t="str">
        <f>TEXT(clean_data[[#This Row],[Date]],"mmm-yyyy")</f>
        <v>Mar-2024</v>
      </c>
      <c r="W345" s="8">
        <f>EOMONTH(clean_data[[#This Row],[Date]],-1)+1</f>
        <v>45352</v>
      </c>
    </row>
    <row r="346" spans="1:23" x14ac:dyDescent="0.3">
      <c r="A346" t="s">
        <v>418</v>
      </c>
      <c r="B346" s="1">
        <v>44576</v>
      </c>
      <c r="C346" t="s">
        <v>17</v>
      </c>
      <c r="D346" t="s">
        <v>18</v>
      </c>
      <c r="E346" t="s">
        <v>78</v>
      </c>
      <c r="F346" t="s">
        <v>20</v>
      </c>
      <c r="G346" t="s">
        <v>115</v>
      </c>
      <c r="H346">
        <v>49</v>
      </c>
      <c r="I346">
        <v>2500</v>
      </c>
      <c r="J346">
        <v>0</v>
      </c>
      <c r="K346">
        <v>122500</v>
      </c>
      <c r="L346">
        <v>49000</v>
      </c>
      <c r="M346">
        <v>73500</v>
      </c>
      <c r="N346" t="s">
        <v>22</v>
      </c>
      <c r="O346" t="s">
        <v>23</v>
      </c>
      <c r="P346" t="s">
        <v>24</v>
      </c>
      <c r="Q346" t="str">
        <f>TEXT(clean_data[[#This Row],[Date]],"mmm")</f>
        <v>Jan</v>
      </c>
      <c r="R346">
        <f>YEAR(clean_data[[#This Row],[Date]])</f>
        <v>2022</v>
      </c>
      <c r="S346" s="2">
        <f>clean_data[[#This Row],[Profit]]/clean_data[[#This Row],[Revenue]]</f>
        <v>0.6</v>
      </c>
      <c r="T346" t="str" cm="1">
        <f t="array" ref="T346">_xlfn.IFS(clean_data[[#This Row],[Revenue]]&lt;300000,"Small",
     clean_data[[#This Row],[Revenue]]&lt;700000,"Medium",
     TRUE,"Large")</f>
        <v>Small</v>
      </c>
      <c r="U346" t="str" cm="1">
        <f t="array" ref="U346">_xlfn.IFS(clean_data[[#This Row],[profit margin%]]&lt;0.5,"Low Profit",
     clean_data[[#This Row],[profit margin%]]&lt;0.6,"Medium Profit",
     TRUE,"High Profit")</f>
        <v>High Profit</v>
      </c>
      <c r="V346" t="str">
        <f>TEXT(clean_data[[#This Row],[Date]],"mmm-yyyy")</f>
        <v>Jan-2022</v>
      </c>
      <c r="W346" s="8">
        <f>EOMONTH(clean_data[[#This Row],[Date]],-1)+1</f>
        <v>44562</v>
      </c>
    </row>
    <row r="347" spans="1:23" x14ac:dyDescent="0.3">
      <c r="A347" t="s">
        <v>419</v>
      </c>
      <c r="B347" s="1">
        <v>45395</v>
      </c>
      <c r="C347" t="s">
        <v>58</v>
      </c>
      <c r="D347" t="s">
        <v>59</v>
      </c>
      <c r="E347" t="s">
        <v>32</v>
      </c>
      <c r="F347" t="s">
        <v>28</v>
      </c>
      <c r="G347" t="s">
        <v>95</v>
      </c>
      <c r="H347">
        <v>35</v>
      </c>
      <c r="I347">
        <v>75000</v>
      </c>
      <c r="J347">
        <v>5</v>
      </c>
      <c r="K347">
        <v>2493750</v>
      </c>
      <c r="L347">
        <v>1371562.5</v>
      </c>
      <c r="M347">
        <v>1122187.5</v>
      </c>
      <c r="N347" t="s">
        <v>30</v>
      </c>
      <c r="O347" t="s">
        <v>50</v>
      </c>
      <c r="P347" t="s">
        <v>24</v>
      </c>
      <c r="Q347" t="str">
        <f>TEXT(clean_data[[#This Row],[Date]],"mmm")</f>
        <v>Apr</v>
      </c>
      <c r="R347">
        <f>YEAR(clean_data[[#This Row],[Date]])</f>
        <v>2024</v>
      </c>
      <c r="S347" s="2">
        <f>clean_data[[#This Row],[Profit]]/clean_data[[#This Row],[Revenue]]</f>
        <v>0.45</v>
      </c>
      <c r="T347" t="str" cm="1">
        <f t="array" ref="T347">_xlfn.IFS(clean_data[[#This Row],[Revenue]]&lt;300000,"Small",
     clean_data[[#This Row],[Revenue]]&lt;700000,"Medium",
     TRUE,"Large")</f>
        <v>Large</v>
      </c>
      <c r="U347" t="str" cm="1">
        <f t="array" ref="U347">_xlfn.IFS(clean_data[[#This Row],[profit margin%]]&lt;0.5,"Low Profit",
     clean_data[[#This Row],[profit margin%]]&lt;0.6,"Medium Profit",
     TRUE,"High Profit")</f>
        <v>Low Profit</v>
      </c>
      <c r="V347" t="str">
        <f>TEXT(clean_data[[#This Row],[Date]],"mmm-yyyy")</f>
        <v>Apr-2024</v>
      </c>
      <c r="W347" s="8">
        <f>EOMONTH(clean_data[[#This Row],[Date]],-1)+1</f>
        <v>45383</v>
      </c>
    </row>
    <row r="348" spans="1:23" x14ac:dyDescent="0.3">
      <c r="A348" t="s">
        <v>420</v>
      </c>
      <c r="B348" s="1">
        <v>45572</v>
      </c>
      <c r="C348" t="s">
        <v>26</v>
      </c>
      <c r="D348" t="s">
        <v>27</v>
      </c>
      <c r="E348" t="s">
        <v>19</v>
      </c>
      <c r="F348" t="s">
        <v>20</v>
      </c>
      <c r="G348" t="s">
        <v>61</v>
      </c>
      <c r="H348">
        <v>20</v>
      </c>
      <c r="I348">
        <v>800</v>
      </c>
      <c r="J348">
        <v>5</v>
      </c>
      <c r="K348">
        <v>15200</v>
      </c>
      <c r="L348">
        <v>6080</v>
      </c>
      <c r="M348">
        <v>9120</v>
      </c>
      <c r="N348" t="s">
        <v>49</v>
      </c>
      <c r="O348" t="s">
        <v>67</v>
      </c>
      <c r="P348" t="s">
        <v>24</v>
      </c>
      <c r="Q348" t="str">
        <f>TEXT(clean_data[[#This Row],[Date]],"mmm")</f>
        <v>Oct</v>
      </c>
      <c r="R348">
        <f>YEAR(clean_data[[#This Row],[Date]])</f>
        <v>2024</v>
      </c>
      <c r="S348" s="2">
        <f>clean_data[[#This Row],[Profit]]/clean_data[[#This Row],[Revenue]]</f>
        <v>0.6</v>
      </c>
      <c r="T348" t="str" cm="1">
        <f t="array" ref="T348">_xlfn.IFS(clean_data[[#This Row],[Revenue]]&lt;300000,"Small",
     clean_data[[#This Row],[Revenue]]&lt;700000,"Medium",
     TRUE,"Large")</f>
        <v>Small</v>
      </c>
      <c r="U348" t="str" cm="1">
        <f t="array" ref="U348">_xlfn.IFS(clean_data[[#This Row],[profit margin%]]&lt;0.5,"Low Profit",
     clean_data[[#This Row],[profit margin%]]&lt;0.6,"Medium Profit",
     TRUE,"High Profit")</f>
        <v>High Profit</v>
      </c>
      <c r="V348" t="str">
        <f>TEXT(clean_data[[#This Row],[Date]],"mmm-yyyy")</f>
        <v>Oct-2024</v>
      </c>
      <c r="W348" s="8">
        <f>EOMONTH(clean_data[[#This Row],[Date]],-1)+1</f>
        <v>45566</v>
      </c>
    </row>
    <row r="349" spans="1:23" x14ac:dyDescent="0.3">
      <c r="A349" t="s">
        <v>421</v>
      </c>
      <c r="B349" s="1">
        <v>45144</v>
      </c>
      <c r="C349" t="s">
        <v>26</v>
      </c>
      <c r="D349" t="s">
        <v>27</v>
      </c>
      <c r="E349" t="s">
        <v>73</v>
      </c>
      <c r="F349" t="s">
        <v>33</v>
      </c>
      <c r="G349" t="s">
        <v>48</v>
      </c>
      <c r="H349">
        <v>47</v>
      </c>
      <c r="I349">
        <v>1500</v>
      </c>
      <c r="J349">
        <v>20</v>
      </c>
      <c r="K349">
        <v>56400</v>
      </c>
      <c r="L349">
        <v>28200</v>
      </c>
      <c r="M349">
        <v>28200</v>
      </c>
      <c r="N349" t="s">
        <v>22</v>
      </c>
      <c r="O349" t="s">
        <v>50</v>
      </c>
      <c r="P349" t="s">
        <v>40</v>
      </c>
      <c r="Q349" t="str">
        <f>TEXT(clean_data[[#This Row],[Date]],"mmm")</f>
        <v>Aug</v>
      </c>
      <c r="R349">
        <f>YEAR(clean_data[[#This Row],[Date]])</f>
        <v>2023</v>
      </c>
      <c r="S349" s="2">
        <f>clean_data[[#This Row],[Profit]]/clean_data[[#This Row],[Revenue]]</f>
        <v>0.5</v>
      </c>
      <c r="T349" t="str" cm="1">
        <f t="array" ref="T349">_xlfn.IFS(clean_data[[#This Row],[Revenue]]&lt;300000,"Small",
     clean_data[[#This Row],[Revenue]]&lt;700000,"Medium",
     TRUE,"Large")</f>
        <v>Small</v>
      </c>
      <c r="U349" t="str" cm="1">
        <f t="array" ref="U349">_xlfn.IFS(clean_data[[#This Row],[profit margin%]]&lt;0.5,"Low Profit",
     clean_data[[#This Row],[profit margin%]]&lt;0.6,"Medium Profit",
     TRUE,"High Profit")</f>
        <v>Medium Profit</v>
      </c>
      <c r="V349" t="str">
        <f>TEXT(clean_data[[#This Row],[Date]],"mmm-yyyy")</f>
        <v>Aug-2023</v>
      </c>
      <c r="W349" s="8">
        <f>EOMONTH(clean_data[[#This Row],[Date]],-1)+1</f>
        <v>45139</v>
      </c>
    </row>
    <row r="350" spans="1:23" x14ac:dyDescent="0.3">
      <c r="A350" t="s">
        <v>422</v>
      </c>
      <c r="B350" s="1">
        <v>45404</v>
      </c>
      <c r="C350" t="s">
        <v>46</v>
      </c>
      <c r="D350" t="s">
        <v>55</v>
      </c>
      <c r="E350" t="s">
        <v>60</v>
      </c>
      <c r="F350" t="s">
        <v>33</v>
      </c>
      <c r="G350" t="s">
        <v>76</v>
      </c>
      <c r="H350">
        <v>11</v>
      </c>
      <c r="I350">
        <v>8500</v>
      </c>
      <c r="J350">
        <v>15</v>
      </c>
      <c r="K350">
        <v>79475</v>
      </c>
      <c r="L350">
        <v>39737.5</v>
      </c>
      <c r="M350">
        <v>39737.5</v>
      </c>
      <c r="N350" t="s">
        <v>30</v>
      </c>
      <c r="O350" t="s">
        <v>44</v>
      </c>
      <c r="P350" t="s">
        <v>24</v>
      </c>
      <c r="Q350" t="str">
        <f>TEXT(clean_data[[#This Row],[Date]],"mmm")</f>
        <v>Apr</v>
      </c>
      <c r="R350">
        <f>YEAR(clean_data[[#This Row],[Date]])</f>
        <v>2024</v>
      </c>
      <c r="S350" s="2">
        <f>clean_data[[#This Row],[Profit]]/clean_data[[#This Row],[Revenue]]</f>
        <v>0.5</v>
      </c>
      <c r="T350" t="str" cm="1">
        <f t="array" ref="T350">_xlfn.IFS(clean_data[[#This Row],[Revenue]]&lt;300000,"Small",
     clean_data[[#This Row],[Revenue]]&lt;700000,"Medium",
     TRUE,"Large")</f>
        <v>Small</v>
      </c>
      <c r="U350" t="str" cm="1">
        <f t="array" ref="U350">_xlfn.IFS(clean_data[[#This Row],[profit margin%]]&lt;0.5,"Low Profit",
     clean_data[[#This Row],[profit margin%]]&lt;0.6,"Medium Profit",
     TRUE,"High Profit")</f>
        <v>Medium Profit</v>
      </c>
      <c r="V350" t="str">
        <f>TEXT(clean_data[[#This Row],[Date]],"mmm-yyyy")</f>
        <v>Apr-2024</v>
      </c>
      <c r="W350" s="8">
        <f>EOMONTH(clean_data[[#This Row],[Date]],-1)+1</f>
        <v>45383</v>
      </c>
    </row>
    <row r="351" spans="1:23" x14ac:dyDescent="0.3">
      <c r="A351" t="s">
        <v>423</v>
      </c>
      <c r="B351" s="1">
        <v>44811</v>
      </c>
      <c r="C351" t="s">
        <v>26</v>
      </c>
      <c r="D351" t="s">
        <v>27</v>
      </c>
      <c r="E351" t="s">
        <v>52</v>
      </c>
      <c r="F351" t="s">
        <v>33</v>
      </c>
      <c r="G351" t="s">
        <v>39</v>
      </c>
      <c r="H351">
        <v>25</v>
      </c>
      <c r="I351">
        <v>5000</v>
      </c>
      <c r="J351">
        <v>10</v>
      </c>
      <c r="K351">
        <v>112500</v>
      </c>
      <c r="L351">
        <v>56250</v>
      </c>
      <c r="M351">
        <v>56250</v>
      </c>
      <c r="N351" t="s">
        <v>22</v>
      </c>
      <c r="O351" t="s">
        <v>35</v>
      </c>
      <c r="P351" t="s">
        <v>40</v>
      </c>
      <c r="Q351" t="str">
        <f>TEXT(clean_data[[#This Row],[Date]],"mmm")</f>
        <v>Sep</v>
      </c>
      <c r="R351">
        <f>YEAR(clean_data[[#This Row],[Date]])</f>
        <v>2022</v>
      </c>
      <c r="S351" s="2">
        <f>clean_data[[#This Row],[Profit]]/clean_data[[#This Row],[Revenue]]</f>
        <v>0.5</v>
      </c>
      <c r="T351" t="str" cm="1">
        <f t="array" ref="T351">_xlfn.IFS(clean_data[[#This Row],[Revenue]]&lt;300000,"Small",
     clean_data[[#This Row],[Revenue]]&lt;700000,"Medium",
     TRUE,"Large")</f>
        <v>Small</v>
      </c>
      <c r="U351" t="str" cm="1">
        <f t="array" ref="U351">_xlfn.IFS(clean_data[[#This Row],[profit margin%]]&lt;0.5,"Low Profit",
     clean_data[[#This Row],[profit margin%]]&lt;0.6,"Medium Profit",
     TRUE,"High Profit")</f>
        <v>Medium Profit</v>
      </c>
      <c r="V351" t="str">
        <f>TEXT(clean_data[[#This Row],[Date]],"mmm-yyyy")</f>
        <v>Sep-2022</v>
      </c>
      <c r="W351" s="8">
        <f>EOMONTH(clean_data[[#This Row],[Date]],-1)+1</f>
        <v>44805</v>
      </c>
    </row>
    <row r="352" spans="1:23" x14ac:dyDescent="0.3">
      <c r="A352" t="s">
        <v>424</v>
      </c>
      <c r="B352" s="1">
        <v>44673</v>
      </c>
      <c r="C352" t="s">
        <v>26</v>
      </c>
      <c r="D352" t="s">
        <v>27</v>
      </c>
      <c r="E352" t="s">
        <v>56</v>
      </c>
      <c r="F352" t="s">
        <v>28</v>
      </c>
      <c r="G352" t="s">
        <v>85</v>
      </c>
      <c r="H352">
        <v>29</v>
      </c>
      <c r="I352">
        <v>8000</v>
      </c>
      <c r="J352">
        <v>15</v>
      </c>
      <c r="K352">
        <v>197200</v>
      </c>
      <c r="L352">
        <v>108460</v>
      </c>
      <c r="M352">
        <v>88740</v>
      </c>
      <c r="N352" t="s">
        <v>22</v>
      </c>
      <c r="O352" t="s">
        <v>50</v>
      </c>
      <c r="P352" t="s">
        <v>24</v>
      </c>
      <c r="Q352" t="str">
        <f>TEXT(clean_data[[#This Row],[Date]],"mmm")</f>
        <v>Apr</v>
      </c>
      <c r="R352">
        <f>YEAR(clean_data[[#This Row],[Date]])</f>
        <v>2022</v>
      </c>
      <c r="S352" s="2">
        <f>clean_data[[#This Row],[Profit]]/clean_data[[#This Row],[Revenue]]</f>
        <v>0.45</v>
      </c>
      <c r="T352" t="str" cm="1">
        <f t="array" ref="T352">_xlfn.IFS(clean_data[[#This Row],[Revenue]]&lt;300000,"Small",
     clean_data[[#This Row],[Revenue]]&lt;700000,"Medium",
     TRUE,"Large")</f>
        <v>Small</v>
      </c>
      <c r="U352" t="str" cm="1">
        <f t="array" ref="U352">_xlfn.IFS(clean_data[[#This Row],[profit margin%]]&lt;0.5,"Low Profit",
     clean_data[[#This Row],[profit margin%]]&lt;0.6,"Medium Profit",
     TRUE,"High Profit")</f>
        <v>Low Profit</v>
      </c>
      <c r="V352" t="str">
        <f>TEXT(clean_data[[#This Row],[Date]],"mmm-yyyy")</f>
        <v>Apr-2022</v>
      </c>
      <c r="W352" s="8">
        <f>EOMONTH(clean_data[[#This Row],[Date]],-1)+1</f>
        <v>44652</v>
      </c>
    </row>
    <row r="353" spans="1:23" x14ac:dyDescent="0.3">
      <c r="A353" t="s">
        <v>425</v>
      </c>
      <c r="B353" s="1">
        <v>45496</v>
      </c>
      <c r="C353" t="s">
        <v>46</v>
      </c>
      <c r="D353" t="s">
        <v>47</v>
      </c>
      <c r="E353" t="s">
        <v>56</v>
      </c>
      <c r="F353" t="s">
        <v>33</v>
      </c>
      <c r="G353" t="s">
        <v>48</v>
      </c>
      <c r="H353">
        <v>43</v>
      </c>
      <c r="I353">
        <v>1500</v>
      </c>
      <c r="J353">
        <v>0</v>
      </c>
      <c r="K353">
        <v>64500</v>
      </c>
      <c r="L353">
        <v>32250</v>
      </c>
      <c r="M353">
        <v>32250</v>
      </c>
      <c r="N353" t="s">
        <v>49</v>
      </c>
      <c r="O353" t="s">
        <v>67</v>
      </c>
      <c r="P353" t="s">
        <v>40</v>
      </c>
      <c r="Q353" t="str">
        <f>TEXT(clean_data[[#This Row],[Date]],"mmm")</f>
        <v>Jul</v>
      </c>
      <c r="R353">
        <f>YEAR(clean_data[[#This Row],[Date]])</f>
        <v>2024</v>
      </c>
      <c r="S353" s="2">
        <f>clean_data[[#This Row],[Profit]]/clean_data[[#This Row],[Revenue]]</f>
        <v>0.5</v>
      </c>
      <c r="T353" t="str" cm="1">
        <f t="array" ref="T353">_xlfn.IFS(clean_data[[#This Row],[Revenue]]&lt;300000,"Small",
     clean_data[[#This Row],[Revenue]]&lt;700000,"Medium",
     TRUE,"Large")</f>
        <v>Small</v>
      </c>
      <c r="U353" t="str" cm="1">
        <f t="array" ref="U353">_xlfn.IFS(clean_data[[#This Row],[profit margin%]]&lt;0.5,"Low Profit",
     clean_data[[#This Row],[profit margin%]]&lt;0.6,"Medium Profit",
     TRUE,"High Profit")</f>
        <v>Medium Profit</v>
      </c>
      <c r="V353" t="str">
        <f>TEXT(clean_data[[#This Row],[Date]],"mmm-yyyy")</f>
        <v>Jul-2024</v>
      </c>
      <c r="W353" s="8">
        <f>EOMONTH(clean_data[[#This Row],[Date]],-1)+1</f>
        <v>45474</v>
      </c>
    </row>
    <row r="354" spans="1:23" x14ac:dyDescent="0.3">
      <c r="A354" t="s">
        <v>426</v>
      </c>
      <c r="B354" s="1">
        <v>44818</v>
      </c>
      <c r="C354" t="s">
        <v>26</v>
      </c>
      <c r="D354" t="s">
        <v>27</v>
      </c>
      <c r="E354" t="s">
        <v>73</v>
      </c>
      <c r="F354" t="s">
        <v>28</v>
      </c>
      <c r="G354" t="s">
        <v>95</v>
      </c>
      <c r="H354">
        <v>32</v>
      </c>
      <c r="I354">
        <v>75000</v>
      </c>
      <c r="J354">
        <v>5</v>
      </c>
      <c r="K354">
        <v>2280000</v>
      </c>
      <c r="L354">
        <v>1254000</v>
      </c>
      <c r="M354">
        <v>1026000</v>
      </c>
      <c r="N354" t="s">
        <v>30</v>
      </c>
      <c r="O354" t="s">
        <v>50</v>
      </c>
      <c r="P354" t="s">
        <v>40</v>
      </c>
      <c r="Q354" t="str">
        <f>TEXT(clean_data[[#This Row],[Date]],"mmm")</f>
        <v>Sep</v>
      </c>
      <c r="R354">
        <f>YEAR(clean_data[[#This Row],[Date]])</f>
        <v>2022</v>
      </c>
      <c r="S354" s="2">
        <f>clean_data[[#This Row],[Profit]]/clean_data[[#This Row],[Revenue]]</f>
        <v>0.45</v>
      </c>
      <c r="T354" t="str" cm="1">
        <f t="array" ref="T354">_xlfn.IFS(clean_data[[#This Row],[Revenue]]&lt;300000,"Small",
     clean_data[[#This Row],[Revenue]]&lt;700000,"Medium",
     TRUE,"Large")</f>
        <v>Large</v>
      </c>
      <c r="U354" t="str" cm="1">
        <f t="array" ref="U354">_xlfn.IFS(clean_data[[#This Row],[profit margin%]]&lt;0.5,"Low Profit",
     clean_data[[#This Row],[profit margin%]]&lt;0.6,"Medium Profit",
     TRUE,"High Profit")</f>
        <v>Low Profit</v>
      </c>
      <c r="V354" t="str">
        <f>TEXT(clean_data[[#This Row],[Date]],"mmm-yyyy")</f>
        <v>Sep-2022</v>
      </c>
      <c r="W354" s="8">
        <f>EOMONTH(clean_data[[#This Row],[Date]],-1)+1</f>
        <v>44805</v>
      </c>
    </row>
    <row r="355" spans="1:23" x14ac:dyDescent="0.3">
      <c r="A355" t="s">
        <v>427</v>
      </c>
      <c r="B355" s="1">
        <v>45572</v>
      </c>
      <c r="C355" t="s">
        <v>17</v>
      </c>
      <c r="D355" t="s">
        <v>42</v>
      </c>
      <c r="E355" t="s">
        <v>32</v>
      </c>
      <c r="F355" t="s">
        <v>33</v>
      </c>
      <c r="G355" t="s">
        <v>76</v>
      </c>
      <c r="H355">
        <v>3</v>
      </c>
      <c r="I355">
        <v>8500</v>
      </c>
      <c r="J355">
        <v>20</v>
      </c>
      <c r="K355">
        <v>20400</v>
      </c>
      <c r="L355">
        <v>10200</v>
      </c>
      <c r="M355">
        <v>10200</v>
      </c>
      <c r="N355" t="s">
        <v>30</v>
      </c>
      <c r="O355" t="s">
        <v>23</v>
      </c>
      <c r="P355" t="s">
        <v>24</v>
      </c>
      <c r="Q355" t="str">
        <f>TEXT(clean_data[[#This Row],[Date]],"mmm")</f>
        <v>Oct</v>
      </c>
      <c r="R355">
        <f>YEAR(clean_data[[#This Row],[Date]])</f>
        <v>2024</v>
      </c>
      <c r="S355" s="2">
        <f>clean_data[[#This Row],[Profit]]/clean_data[[#This Row],[Revenue]]</f>
        <v>0.5</v>
      </c>
      <c r="T355" t="str" cm="1">
        <f t="array" ref="T355">_xlfn.IFS(clean_data[[#This Row],[Revenue]]&lt;300000,"Small",
     clean_data[[#This Row],[Revenue]]&lt;700000,"Medium",
     TRUE,"Large")</f>
        <v>Small</v>
      </c>
      <c r="U355" t="str" cm="1">
        <f t="array" ref="U355">_xlfn.IFS(clean_data[[#This Row],[profit margin%]]&lt;0.5,"Low Profit",
     clean_data[[#This Row],[profit margin%]]&lt;0.6,"Medium Profit",
     TRUE,"High Profit")</f>
        <v>Medium Profit</v>
      </c>
      <c r="V355" t="str">
        <f>TEXT(clean_data[[#This Row],[Date]],"mmm-yyyy")</f>
        <v>Oct-2024</v>
      </c>
      <c r="W355" s="8">
        <f>EOMONTH(clean_data[[#This Row],[Date]],-1)+1</f>
        <v>45566</v>
      </c>
    </row>
    <row r="356" spans="1:23" x14ac:dyDescent="0.3">
      <c r="A356" t="s">
        <v>428</v>
      </c>
      <c r="B356" s="1">
        <v>45207</v>
      </c>
      <c r="C356" t="s">
        <v>26</v>
      </c>
      <c r="D356" t="s">
        <v>27</v>
      </c>
      <c r="E356" t="s">
        <v>52</v>
      </c>
      <c r="F356" t="s">
        <v>28</v>
      </c>
      <c r="G356" t="s">
        <v>29</v>
      </c>
      <c r="H356">
        <v>43</v>
      </c>
      <c r="I356">
        <v>15000</v>
      </c>
      <c r="J356">
        <v>15</v>
      </c>
      <c r="K356">
        <v>548250</v>
      </c>
      <c r="L356">
        <v>301537.5</v>
      </c>
      <c r="M356">
        <v>246712.5</v>
      </c>
      <c r="N356" t="s">
        <v>30</v>
      </c>
      <c r="O356" t="s">
        <v>67</v>
      </c>
      <c r="P356" t="s">
        <v>24</v>
      </c>
      <c r="Q356" t="str">
        <f>TEXT(clean_data[[#This Row],[Date]],"mmm")</f>
        <v>Oct</v>
      </c>
      <c r="R356">
        <f>YEAR(clean_data[[#This Row],[Date]])</f>
        <v>2023</v>
      </c>
      <c r="S356" s="2">
        <f>clean_data[[#This Row],[Profit]]/clean_data[[#This Row],[Revenue]]</f>
        <v>0.45</v>
      </c>
      <c r="T356" t="str" cm="1">
        <f t="array" ref="T356">_xlfn.IFS(clean_data[[#This Row],[Revenue]]&lt;300000,"Small",
     clean_data[[#This Row],[Revenue]]&lt;700000,"Medium",
     TRUE,"Large")</f>
        <v>Medium</v>
      </c>
      <c r="U356" t="str" cm="1">
        <f t="array" ref="U356">_xlfn.IFS(clean_data[[#This Row],[profit margin%]]&lt;0.5,"Low Profit",
     clean_data[[#This Row],[profit margin%]]&lt;0.6,"Medium Profit",
     TRUE,"High Profit")</f>
        <v>Low Profit</v>
      </c>
      <c r="V356" t="str">
        <f>TEXT(clean_data[[#This Row],[Date]],"mmm-yyyy")</f>
        <v>Oct-2023</v>
      </c>
      <c r="W356" s="8">
        <f>EOMONTH(clean_data[[#This Row],[Date]],-1)+1</f>
        <v>45200</v>
      </c>
    </row>
    <row r="357" spans="1:23" x14ac:dyDescent="0.3">
      <c r="A357" t="s">
        <v>429</v>
      </c>
      <c r="B357" s="1">
        <v>44705</v>
      </c>
      <c r="C357" t="s">
        <v>26</v>
      </c>
      <c r="D357" t="s">
        <v>69</v>
      </c>
      <c r="E357" t="s">
        <v>19</v>
      </c>
      <c r="F357" t="s">
        <v>65</v>
      </c>
      <c r="G357" t="s">
        <v>124</v>
      </c>
      <c r="H357">
        <v>17</v>
      </c>
      <c r="I357">
        <v>18000</v>
      </c>
      <c r="J357">
        <v>15</v>
      </c>
      <c r="K357">
        <v>260100</v>
      </c>
      <c r="L357">
        <v>117045</v>
      </c>
      <c r="M357">
        <v>143055</v>
      </c>
      <c r="N357" t="s">
        <v>30</v>
      </c>
      <c r="O357" t="s">
        <v>44</v>
      </c>
      <c r="P357" t="s">
        <v>24</v>
      </c>
      <c r="Q357" t="str">
        <f>TEXT(clean_data[[#This Row],[Date]],"mmm")</f>
        <v>May</v>
      </c>
      <c r="R357">
        <f>YEAR(clean_data[[#This Row],[Date]])</f>
        <v>2022</v>
      </c>
      <c r="S357" s="2">
        <f>clean_data[[#This Row],[Profit]]/clean_data[[#This Row],[Revenue]]</f>
        <v>0.55000000000000004</v>
      </c>
      <c r="T357" t="str" cm="1">
        <f t="array" ref="T357">_xlfn.IFS(clean_data[[#This Row],[Revenue]]&lt;300000,"Small",
     clean_data[[#This Row],[Revenue]]&lt;700000,"Medium",
     TRUE,"Large")</f>
        <v>Small</v>
      </c>
      <c r="U357" t="str" cm="1">
        <f t="array" ref="U357">_xlfn.IFS(clean_data[[#This Row],[profit margin%]]&lt;0.5,"Low Profit",
     clean_data[[#This Row],[profit margin%]]&lt;0.6,"Medium Profit",
     TRUE,"High Profit")</f>
        <v>Medium Profit</v>
      </c>
      <c r="V357" t="str">
        <f>TEXT(clean_data[[#This Row],[Date]],"mmm-yyyy")</f>
        <v>May-2022</v>
      </c>
      <c r="W357" s="8">
        <f>EOMONTH(clean_data[[#This Row],[Date]],-1)+1</f>
        <v>44682</v>
      </c>
    </row>
    <row r="358" spans="1:23" x14ac:dyDescent="0.3">
      <c r="A358" t="s">
        <v>430</v>
      </c>
      <c r="B358" s="1">
        <v>44648</v>
      </c>
      <c r="C358" t="s">
        <v>17</v>
      </c>
      <c r="D358" t="s">
        <v>37</v>
      </c>
      <c r="E358" t="s">
        <v>70</v>
      </c>
      <c r="F358" t="s">
        <v>65</v>
      </c>
      <c r="G358" t="s">
        <v>117</v>
      </c>
      <c r="H358">
        <v>7</v>
      </c>
      <c r="I358">
        <v>1200</v>
      </c>
      <c r="J358">
        <v>0</v>
      </c>
      <c r="K358">
        <v>8400</v>
      </c>
      <c r="L358">
        <v>3780</v>
      </c>
      <c r="M358">
        <v>4620</v>
      </c>
      <c r="N358" t="s">
        <v>30</v>
      </c>
      <c r="O358" t="s">
        <v>44</v>
      </c>
      <c r="P358" t="s">
        <v>24</v>
      </c>
      <c r="Q358" t="str">
        <f>TEXT(clean_data[[#This Row],[Date]],"mmm")</f>
        <v>Mar</v>
      </c>
      <c r="R358">
        <f>YEAR(clean_data[[#This Row],[Date]])</f>
        <v>2022</v>
      </c>
      <c r="S358" s="2">
        <f>clean_data[[#This Row],[Profit]]/clean_data[[#This Row],[Revenue]]</f>
        <v>0.55000000000000004</v>
      </c>
      <c r="T358" t="str" cm="1">
        <f t="array" ref="T358">_xlfn.IFS(clean_data[[#This Row],[Revenue]]&lt;300000,"Small",
     clean_data[[#This Row],[Revenue]]&lt;700000,"Medium",
     TRUE,"Large")</f>
        <v>Small</v>
      </c>
      <c r="U358" t="str" cm="1">
        <f t="array" ref="U358">_xlfn.IFS(clean_data[[#This Row],[profit margin%]]&lt;0.5,"Low Profit",
     clean_data[[#This Row],[profit margin%]]&lt;0.6,"Medium Profit",
     TRUE,"High Profit")</f>
        <v>Medium Profit</v>
      </c>
      <c r="V358" t="str">
        <f>TEXT(clean_data[[#This Row],[Date]],"mmm-yyyy")</f>
        <v>Mar-2022</v>
      </c>
      <c r="W358" s="8">
        <f>EOMONTH(clean_data[[#This Row],[Date]],-1)+1</f>
        <v>44621</v>
      </c>
    </row>
    <row r="359" spans="1:23" x14ac:dyDescent="0.3">
      <c r="A359" t="s">
        <v>431</v>
      </c>
      <c r="B359" s="1">
        <v>45211</v>
      </c>
      <c r="C359" t="s">
        <v>58</v>
      </c>
      <c r="D359" t="s">
        <v>64</v>
      </c>
      <c r="E359" t="s">
        <v>73</v>
      </c>
      <c r="F359" t="s">
        <v>28</v>
      </c>
      <c r="G359" t="s">
        <v>71</v>
      </c>
      <c r="H359">
        <v>22</v>
      </c>
      <c r="I359">
        <v>35000</v>
      </c>
      <c r="J359">
        <v>5</v>
      </c>
      <c r="K359">
        <v>731500</v>
      </c>
      <c r="L359">
        <v>402325</v>
      </c>
      <c r="M359">
        <v>329175</v>
      </c>
      <c r="N359" t="s">
        <v>49</v>
      </c>
      <c r="O359" t="s">
        <v>23</v>
      </c>
      <c r="P359" t="s">
        <v>24</v>
      </c>
      <c r="Q359" t="str">
        <f>TEXT(clean_data[[#This Row],[Date]],"mmm")</f>
        <v>Oct</v>
      </c>
      <c r="R359">
        <f>YEAR(clean_data[[#This Row],[Date]])</f>
        <v>2023</v>
      </c>
      <c r="S359" s="2">
        <f>clean_data[[#This Row],[Profit]]/clean_data[[#This Row],[Revenue]]</f>
        <v>0.45</v>
      </c>
      <c r="T359" t="str" cm="1">
        <f t="array" ref="T359">_xlfn.IFS(clean_data[[#This Row],[Revenue]]&lt;300000,"Small",
     clean_data[[#This Row],[Revenue]]&lt;700000,"Medium",
     TRUE,"Large")</f>
        <v>Large</v>
      </c>
      <c r="U359" t="str" cm="1">
        <f t="array" ref="U359">_xlfn.IFS(clean_data[[#This Row],[profit margin%]]&lt;0.5,"Low Profit",
     clean_data[[#This Row],[profit margin%]]&lt;0.6,"Medium Profit",
     TRUE,"High Profit")</f>
        <v>Low Profit</v>
      </c>
      <c r="V359" t="str">
        <f>TEXT(clean_data[[#This Row],[Date]],"mmm-yyyy")</f>
        <v>Oct-2023</v>
      </c>
      <c r="W359" s="8">
        <f>EOMONTH(clean_data[[#This Row],[Date]],-1)+1</f>
        <v>45200</v>
      </c>
    </row>
    <row r="360" spans="1:23" x14ac:dyDescent="0.3">
      <c r="A360" t="s">
        <v>432</v>
      </c>
      <c r="B360" s="1">
        <v>45452</v>
      </c>
      <c r="C360" t="s">
        <v>58</v>
      </c>
      <c r="D360" t="s">
        <v>64</v>
      </c>
      <c r="E360" t="s">
        <v>60</v>
      </c>
      <c r="F360" t="s">
        <v>65</v>
      </c>
      <c r="G360" t="s">
        <v>104</v>
      </c>
      <c r="H360">
        <v>8</v>
      </c>
      <c r="I360">
        <v>3000</v>
      </c>
      <c r="J360">
        <v>5</v>
      </c>
      <c r="K360">
        <v>22800</v>
      </c>
      <c r="L360">
        <v>10260</v>
      </c>
      <c r="M360">
        <v>12540</v>
      </c>
      <c r="N360" t="s">
        <v>30</v>
      </c>
      <c r="O360" t="s">
        <v>35</v>
      </c>
      <c r="P360" t="s">
        <v>24</v>
      </c>
      <c r="Q360" t="str">
        <f>TEXT(clean_data[[#This Row],[Date]],"mmm")</f>
        <v>Jun</v>
      </c>
      <c r="R360">
        <f>YEAR(clean_data[[#This Row],[Date]])</f>
        <v>2024</v>
      </c>
      <c r="S360" s="2">
        <f>clean_data[[#This Row],[Profit]]/clean_data[[#This Row],[Revenue]]</f>
        <v>0.55000000000000004</v>
      </c>
      <c r="T360" t="str" cm="1">
        <f t="array" ref="T360">_xlfn.IFS(clean_data[[#This Row],[Revenue]]&lt;300000,"Small",
     clean_data[[#This Row],[Revenue]]&lt;700000,"Medium",
     TRUE,"Large")</f>
        <v>Small</v>
      </c>
      <c r="U360" t="str" cm="1">
        <f t="array" ref="U360">_xlfn.IFS(clean_data[[#This Row],[profit margin%]]&lt;0.5,"Low Profit",
     clean_data[[#This Row],[profit margin%]]&lt;0.6,"Medium Profit",
     TRUE,"High Profit")</f>
        <v>Medium Profit</v>
      </c>
      <c r="V360" t="str">
        <f>TEXT(clean_data[[#This Row],[Date]],"mmm-yyyy")</f>
        <v>Jun-2024</v>
      </c>
      <c r="W360" s="8">
        <f>EOMONTH(clean_data[[#This Row],[Date]],-1)+1</f>
        <v>45444</v>
      </c>
    </row>
    <row r="361" spans="1:23" x14ac:dyDescent="0.3">
      <c r="A361" t="s">
        <v>433</v>
      </c>
      <c r="B361" s="1">
        <v>45370</v>
      </c>
      <c r="C361" t="s">
        <v>58</v>
      </c>
      <c r="D361" t="s">
        <v>64</v>
      </c>
      <c r="E361" t="s">
        <v>60</v>
      </c>
      <c r="F361" t="s">
        <v>20</v>
      </c>
      <c r="G361" t="s">
        <v>53</v>
      </c>
      <c r="H361">
        <v>25</v>
      </c>
      <c r="I361">
        <v>600</v>
      </c>
      <c r="J361">
        <v>10</v>
      </c>
      <c r="K361">
        <v>13500</v>
      </c>
      <c r="L361">
        <v>5400</v>
      </c>
      <c r="M361">
        <v>8100</v>
      </c>
      <c r="N361" t="s">
        <v>30</v>
      </c>
      <c r="O361" t="s">
        <v>44</v>
      </c>
      <c r="P361" t="s">
        <v>40</v>
      </c>
      <c r="Q361" t="str">
        <f>TEXT(clean_data[[#This Row],[Date]],"mmm")</f>
        <v>Mar</v>
      </c>
      <c r="R361">
        <f>YEAR(clean_data[[#This Row],[Date]])</f>
        <v>2024</v>
      </c>
      <c r="S361" s="2">
        <f>clean_data[[#This Row],[Profit]]/clean_data[[#This Row],[Revenue]]</f>
        <v>0.6</v>
      </c>
      <c r="T361" t="str" cm="1">
        <f t="array" ref="T361">_xlfn.IFS(clean_data[[#This Row],[Revenue]]&lt;300000,"Small",
     clean_data[[#This Row],[Revenue]]&lt;700000,"Medium",
     TRUE,"Large")</f>
        <v>Small</v>
      </c>
      <c r="U361" t="str" cm="1">
        <f t="array" ref="U361">_xlfn.IFS(clean_data[[#This Row],[profit margin%]]&lt;0.5,"Low Profit",
     clean_data[[#This Row],[profit margin%]]&lt;0.6,"Medium Profit",
     TRUE,"High Profit")</f>
        <v>High Profit</v>
      </c>
      <c r="V361" t="str">
        <f>TEXT(clean_data[[#This Row],[Date]],"mmm-yyyy")</f>
        <v>Mar-2024</v>
      </c>
      <c r="W361" s="8">
        <f>EOMONTH(clean_data[[#This Row],[Date]],-1)+1</f>
        <v>45352</v>
      </c>
    </row>
    <row r="362" spans="1:23" x14ac:dyDescent="0.3">
      <c r="A362" t="s">
        <v>434</v>
      </c>
      <c r="B362" s="1">
        <v>45489</v>
      </c>
      <c r="C362" t="s">
        <v>26</v>
      </c>
      <c r="D362" t="s">
        <v>69</v>
      </c>
      <c r="E362" t="s">
        <v>60</v>
      </c>
      <c r="F362" t="s">
        <v>28</v>
      </c>
      <c r="G362" t="s">
        <v>95</v>
      </c>
      <c r="H362">
        <v>17</v>
      </c>
      <c r="I362">
        <v>75000</v>
      </c>
      <c r="J362">
        <v>10</v>
      </c>
      <c r="K362">
        <v>1147500</v>
      </c>
      <c r="L362">
        <v>631125</v>
      </c>
      <c r="M362">
        <v>516375</v>
      </c>
      <c r="N362" t="s">
        <v>22</v>
      </c>
      <c r="O362" t="s">
        <v>67</v>
      </c>
      <c r="P362" t="s">
        <v>24</v>
      </c>
      <c r="Q362" t="str">
        <f>TEXT(clean_data[[#This Row],[Date]],"mmm")</f>
        <v>Jul</v>
      </c>
      <c r="R362">
        <f>YEAR(clean_data[[#This Row],[Date]])</f>
        <v>2024</v>
      </c>
      <c r="S362" s="2">
        <f>clean_data[[#This Row],[Profit]]/clean_data[[#This Row],[Revenue]]</f>
        <v>0.45</v>
      </c>
      <c r="T362" t="str" cm="1">
        <f t="array" ref="T362">_xlfn.IFS(clean_data[[#This Row],[Revenue]]&lt;300000,"Small",
     clean_data[[#This Row],[Revenue]]&lt;700000,"Medium",
     TRUE,"Large")</f>
        <v>Large</v>
      </c>
      <c r="U362" t="str" cm="1">
        <f t="array" ref="U362">_xlfn.IFS(clean_data[[#This Row],[profit margin%]]&lt;0.5,"Low Profit",
     clean_data[[#This Row],[profit margin%]]&lt;0.6,"Medium Profit",
     TRUE,"High Profit")</f>
        <v>Low Profit</v>
      </c>
      <c r="V362" t="str">
        <f>TEXT(clean_data[[#This Row],[Date]],"mmm-yyyy")</f>
        <v>Jul-2024</v>
      </c>
      <c r="W362" s="8">
        <f>EOMONTH(clean_data[[#This Row],[Date]],-1)+1</f>
        <v>45474</v>
      </c>
    </row>
    <row r="363" spans="1:23" x14ac:dyDescent="0.3">
      <c r="A363" t="s">
        <v>435</v>
      </c>
      <c r="B363" s="1">
        <v>45007</v>
      </c>
      <c r="C363" t="s">
        <v>17</v>
      </c>
      <c r="D363" t="s">
        <v>42</v>
      </c>
      <c r="E363" t="s">
        <v>111</v>
      </c>
      <c r="F363" t="s">
        <v>28</v>
      </c>
      <c r="G363" t="s">
        <v>85</v>
      </c>
      <c r="H363">
        <v>43</v>
      </c>
      <c r="I363">
        <v>8000</v>
      </c>
      <c r="J363">
        <v>5</v>
      </c>
      <c r="K363">
        <v>326800</v>
      </c>
      <c r="L363">
        <v>179740</v>
      </c>
      <c r="M363">
        <v>147060</v>
      </c>
      <c r="N363" t="s">
        <v>49</v>
      </c>
      <c r="O363" t="s">
        <v>23</v>
      </c>
      <c r="P363" t="s">
        <v>24</v>
      </c>
      <c r="Q363" t="str">
        <f>TEXT(clean_data[[#This Row],[Date]],"mmm")</f>
        <v>Mar</v>
      </c>
      <c r="R363">
        <f>YEAR(clean_data[[#This Row],[Date]])</f>
        <v>2023</v>
      </c>
      <c r="S363" s="2">
        <f>clean_data[[#This Row],[Profit]]/clean_data[[#This Row],[Revenue]]</f>
        <v>0.45</v>
      </c>
      <c r="T363" t="str" cm="1">
        <f t="array" ref="T363">_xlfn.IFS(clean_data[[#This Row],[Revenue]]&lt;300000,"Small",
     clean_data[[#This Row],[Revenue]]&lt;700000,"Medium",
     TRUE,"Large")</f>
        <v>Medium</v>
      </c>
      <c r="U363" t="str" cm="1">
        <f t="array" ref="U363">_xlfn.IFS(clean_data[[#This Row],[profit margin%]]&lt;0.5,"Low Profit",
     clean_data[[#This Row],[profit margin%]]&lt;0.6,"Medium Profit",
     TRUE,"High Profit")</f>
        <v>Low Profit</v>
      </c>
      <c r="V363" t="str">
        <f>TEXT(clean_data[[#This Row],[Date]],"mmm-yyyy")</f>
        <v>Mar-2023</v>
      </c>
      <c r="W363" s="8">
        <f>EOMONTH(clean_data[[#This Row],[Date]],-1)+1</f>
        <v>44986</v>
      </c>
    </row>
    <row r="364" spans="1:23" x14ac:dyDescent="0.3">
      <c r="A364" t="s">
        <v>436</v>
      </c>
      <c r="B364" s="1">
        <v>44861</v>
      </c>
      <c r="C364" t="s">
        <v>26</v>
      </c>
      <c r="D364" t="s">
        <v>27</v>
      </c>
      <c r="E364" t="s">
        <v>78</v>
      </c>
      <c r="F364" t="s">
        <v>65</v>
      </c>
      <c r="G364" t="s">
        <v>66</v>
      </c>
      <c r="H364">
        <v>11</v>
      </c>
      <c r="I364">
        <v>5500</v>
      </c>
      <c r="J364">
        <v>0</v>
      </c>
      <c r="K364">
        <v>60500</v>
      </c>
      <c r="L364">
        <v>27225</v>
      </c>
      <c r="M364">
        <v>33275</v>
      </c>
      <c r="N364" t="s">
        <v>49</v>
      </c>
      <c r="O364" t="s">
        <v>44</v>
      </c>
      <c r="P364" t="s">
        <v>24</v>
      </c>
      <c r="Q364" t="str">
        <f>TEXT(clean_data[[#This Row],[Date]],"mmm")</f>
        <v>Oct</v>
      </c>
      <c r="R364">
        <f>YEAR(clean_data[[#This Row],[Date]])</f>
        <v>2022</v>
      </c>
      <c r="S364" s="2">
        <f>clean_data[[#This Row],[Profit]]/clean_data[[#This Row],[Revenue]]</f>
        <v>0.55000000000000004</v>
      </c>
      <c r="T364" t="str" cm="1">
        <f t="array" ref="T364">_xlfn.IFS(clean_data[[#This Row],[Revenue]]&lt;300000,"Small",
     clean_data[[#This Row],[Revenue]]&lt;700000,"Medium",
     TRUE,"Large")</f>
        <v>Small</v>
      </c>
      <c r="U364" t="str" cm="1">
        <f t="array" ref="U364">_xlfn.IFS(clean_data[[#This Row],[profit margin%]]&lt;0.5,"Low Profit",
     clean_data[[#This Row],[profit margin%]]&lt;0.6,"Medium Profit",
     TRUE,"High Profit")</f>
        <v>Medium Profit</v>
      </c>
      <c r="V364" t="str">
        <f>TEXT(clean_data[[#This Row],[Date]],"mmm-yyyy")</f>
        <v>Oct-2022</v>
      </c>
      <c r="W364" s="8">
        <f>EOMONTH(clean_data[[#This Row],[Date]],-1)+1</f>
        <v>44835</v>
      </c>
    </row>
    <row r="365" spans="1:23" x14ac:dyDescent="0.3">
      <c r="A365" t="s">
        <v>437</v>
      </c>
      <c r="B365" s="1">
        <v>45208</v>
      </c>
      <c r="C365" t="s">
        <v>26</v>
      </c>
      <c r="D365" t="s">
        <v>27</v>
      </c>
      <c r="E365" t="s">
        <v>111</v>
      </c>
      <c r="F365" t="s">
        <v>65</v>
      </c>
      <c r="G365" t="s">
        <v>66</v>
      </c>
      <c r="H365">
        <v>16</v>
      </c>
      <c r="I365">
        <v>5500</v>
      </c>
      <c r="J365">
        <v>0</v>
      </c>
      <c r="K365">
        <v>88000</v>
      </c>
      <c r="L365">
        <v>39600</v>
      </c>
      <c r="M365">
        <v>48400</v>
      </c>
      <c r="N365" t="s">
        <v>49</v>
      </c>
      <c r="O365" t="s">
        <v>67</v>
      </c>
      <c r="P365" t="s">
        <v>24</v>
      </c>
      <c r="Q365" t="str">
        <f>TEXT(clean_data[[#This Row],[Date]],"mmm")</f>
        <v>Oct</v>
      </c>
      <c r="R365">
        <f>YEAR(clean_data[[#This Row],[Date]])</f>
        <v>2023</v>
      </c>
      <c r="S365" s="2">
        <f>clean_data[[#This Row],[Profit]]/clean_data[[#This Row],[Revenue]]</f>
        <v>0.55000000000000004</v>
      </c>
      <c r="T365" t="str" cm="1">
        <f t="array" ref="T365">_xlfn.IFS(clean_data[[#This Row],[Revenue]]&lt;300000,"Small",
     clean_data[[#This Row],[Revenue]]&lt;700000,"Medium",
     TRUE,"Large")</f>
        <v>Small</v>
      </c>
      <c r="U365" t="str" cm="1">
        <f t="array" ref="U365">_xlfn.IFS(clean_data[[#This Row],[profit margin%]]&lt;0.5,"Low Profit",
     clean_data[[#This Row],[profit margin%]]&lt;0.6,"Medium Profit",
     TRUE,"High Profit")</f>
        <v>Medium Profit</v>
      </c>
      <c r="V365" t="str">
        <f>TEXT(clean_data[[#This Row],[Date]],"mmm-yyyy")</f>
        <v>Oct-2023</v>
      </c>
      <c r="W365" s="8">
        <f>EOMONTH(clean_data[[#This Row],[Date]],-1)+1</f>
        <v>45200</v>
      </c>
    </row>
    <row r="366" spans="1:23" x14ac:dyDescent="0.3">
      <c r="A366" t="s">
        <v>438</v>
      </c>
      <c r="B366" s="1">
        <v>45415</v>
      </c>
      <c r="C366" t="s">
        <v>58</v>
      </c>
      <c r="D366" t="s">
        <v>59</v>
      </c>
      <c r="E366" t="s">
        <v>70</v>
      </c>
      <c r="F366" t="s">
        <v>28</v>
      </c>
      <c r="G366" t="s">
        <v>85</v>
      </c>
      <c r="H366">
        <v>48</v>
      </c>
      <c r="I366">
        <v>8000</v>
      </c>
      <c r="J366">
        <v>0</v>
      </c>
      <c r="K366">
        <v>384000</v>
      </c>
      <c r="L366">
        <v>211200</v>
      </c>
      <c r="M366">
        <v>172800</v>
      </c>
      <c r="N366" t="s">
        <v>49</v>
      </c>
      <c r="O366" t="s">
        <v>23</v>
      </c>
      <c r="P366" t="s">
        <v>24</v>
      </c>
      <c r="Q366" t="str">
        <f>TEXT(clean_data[[#This Row],[Date]],"mmm")</f>
        <v>May</v>
      </c>
      <c r="R366">
        <f>YEAR(clean_data[[#This Row],[Date]])</f>
        <v>2024</v>
      </c>
      <c r="S366" s="2">
        <f>clean_data[[#This Row],[Profit]]/clean_data[[#This Row],[Revenue]]</f>
        <v>0.45</v>
      </c>
      <c r="T366" t="str" cm="1">
        <f t="array" ref="T366">_xlfn.IFS(clean_data[[#This Row],[Revenue]]&lt;300000,"Small",
     clean_data[[#This Row],[Revenue]]&lt;700000,"Medium",
     TRUE,"Large")</f>
        <v>Medium</v>
      </c>
      <c r="U366" t="str" cm="1">
        <f t="array" ref="U366">_xlfn.IFS(clean_data[[#This Row],[profit margin%]]&lt;0.5,"Low Profit",
     clean_data[[#This Row],[profit margin%]]&lt;0.6,"Medium Profit",
     TRUE,"High Profit")</f>
        <v>Low Profit</v>
      </c>
      <c r="V366" t="str">
        <f>TEXT(clean_data[[#This Row],[Date]],"mmm-yyyy")</f>
        <v>May-2024</v>
      </c>
      <c r="W366" s="8">
        <f>EOMONTH(clean_data[[#This Row],[Date]],-1)+1</f>
        <v>45413</v>
      </c>
    </row>
    <row r="367" spans="1:23" x14ac:dyDescent="0.3">
      <c r="A367" t="s">
        <v>439</v>
      </c>
      <c r="B367" s="1">
        <v>44638</v>
      </c>
      <c r="C367" t="s">
        <v>26</v>
      </c>
      <c r="D367" t="s">
        <v>27</v>
      </c>
      <c r="E367" t="s">
        <v>38</v>
      </c>
      <c r="F367" t="s">
        <v>33</v>
      </c>
      <c r="G367" t="s">
        <v>43</v>
      </c>
      <c r="H367">
        <v>36</v>
      </c>
      <c r="I367">
        <v>4000</v>
      </c>
      <c r="J367">
        <v>5</v>
      </c>
      <c r="K367">
        <v>136800</v>
      </c>
      <c r="L367">
        <v>68400</v>
      </c>
      <c r="M367">
        <v>68400</v>
      </c>
      <c r="N367" t="s">
        <v>49</v>
      </c>
      <c r="O367" t="s">
        <v>50</v>
      </c>
      <c r="P367" t="s">
        <v>24</v>
      </c>
      <c r="Q367" t="str">
        <f>TEXT(clean_data[[#This Row],[Date]],"mmm")</f>
        <v>Mar</v>
      </c>
      <c r="R367">
        <f>YEAR(clean_data[[#This Row],[Date]])</f>
        <v>2022</v>
      </c>
      <c r="S367" s="2">
        <f>clean_data[[#This Row],[Profit]]/clean_data[[#This Row],[Revenue]]</f>
        <v>0.5</v>
      </c>
      <c r="T367" t="str" cm="1">
        <f t="array" ref="T367">_xlfn.IFS(clean_data[[#This Row],[Revenue]]&lt;300000,"Small",
     clean_data[[#This Row],[Revenue]]&lt;700000,"Medium",
     TRUE,"Large")</f>
        <v>Small</v>
      </c>
      <c r="U367" t="str" cm="1">
        <f t="array" ref="U367">_xlfn.IFS(clean_data[[#This Row],[profit margin%]]&lt;0.5,"Low Profit",
     clean_data[[#This Row],[profit margin%]]&lt;0.6,"Medium Profit",
     TRUE,"High Profit")</f>
        <v>Medium Profit</v>
      </c>
      <c r="V367" t="str">
        <f>TEXT(clean_data[[#This Row],[Date]],"mmm-yyyy")</f>
        <v>Mar-2022</v>
      </c>
      <c r="W367" s="8">
        <f>EOMONTH(clean_data[[#This Row],[Date]],-1)+1</f>
        <v>44621</v>
      </c>
    </row>
    <row r="368" spans="1:23" x14ac:dyDescent="0.3">
      <c r="A368" t="s">
        <v>440</v>
      </c>
      <c r="B368" s="1">
        <v>44678</v>
      </c>
      <c r="C368" t="s">
        <v>46</v>
      </c>
      <c r="D368" t="s">
        <v>55</v>
      </c>
      <c r="E368" t="s">
        <v>70</v>
      </c>
      <c r="F368" t="s">
        <v>65</v>
      </c>
      <c r="G368" t="s">
        <v>124</v>
      </c>
      <c r="H368">
        <v>46</v>
      </c>
      <c r="I368">
        <v>18000</v>
      </c>
      <c r="J368">
        <v>15</v>
      </c>
      <c r="K368">
        <v>703800</v>
      </c>
      <c r="L368">
        <v>316710</v>
      </c>
      <c r="M368">
        <v>387090</v>
      </c>
      <c r="N368" t="s">
        <v>30</v>
      </c>
      <c r="O368" t="s">
        <v>44</v>
      </c>
      <c r="P368" t="s">
        <v>24</v>
      </c>
      <c r="Q368" t="str">
        <f>TEXT(clean_data[[#This Row],[Date]],"mmm")</f>
        <v>Apr</v>
      </c>
      <c r="R368">
        <f>YEAR(clean_data[[#This Row],[Date]])</f>
        <v>2022</v>
      </c>
      <c r="S368" s="2">
        <f>clean_data[[#This Row],[Profit]]/clean_data[[#This Row],[Revenue]]</f>
        <v>0.55000000000000004</v>
      </c>
      <c r="T368" t="str" cm="1">
        <f t="array" ref="T368">_xlfn.IFS(clean_data[[#This Row],[Revenue]]&lt;300000,"Small",
     clean_data[[#This Row],[Revenue]]&lt;700000,"Medium",
     TRUE,"Large")</f>
        <v>Large</v>
      </c>
      <c r="U368" t="str" cm="1">
        <f t="array" ref="U368">_xlfn.IFS(clean_data[[#This Row],[profit margin%]]&lt;0.5,"Low Profit",
     clean_data[[#This Row],[profit margin%]]&lt;0.6,"Medium Profit",
     TRUE,"High Profit")</f>
        <v>Medium Profit</v>
      </c>
      <c r="V368" t="str">
        <f>TEXT(clean_data[[#This Row],[Date]],"mmm-yyyy")</f>
        <v>Apr-2022</v>
      </c>
      <c r="W368" s="8">
        <f>EOMONTH(clean_data[[#This Row],[Date]],-1)+1</f>
        <v>44652</v>
      </c>
    </row>
    <row r="369" spans="1:23" x14ac:dyDescent="0.3">
      <c r="A369" t="s">
        <v>441</v>
      </c>
      <c r="B369" s="1">
        <v>44572</v>
      </c>
      <c r="C369" t="s">
        <v>17</v>
      </c>
      <c r="D369" t="s">
        <v>42</v>
      </c>
      <c r="E369" t="s">
        <v>73</v>
      </c>
      <c r="F369" t="s">
        <v>33</v>
      </c>
      <c r="G369" t="s">
        <v>39</v>
      </c>
      <c r="H369">
        <v>3</v>
      </c>
      <c r="I369">
        <v>5000</v>
      </c>
      <c r="J369">
        <v>5</v>
      </c>
      <c r="K369">
        <v>14250</v>
      </c>
      <c r="L369">
        <v>7125</v>
      </c>
      <c r="M369">
        <v>7125</v>
      </c>
      <c r="N369" t="s">
        <v>30</v>
      </c>
      <c r="O369" t="s">
        <v>23</v>
      </c>
      <c r="P369" t="s">
        <v>24</v>
      </c>
      <c r="Q369" t="str">
        <f>TEXT(clean_data[[#This Row],[Date]],"mmm")</f>
        <v>Jan</v>
      </c>
      <c r="R369">
        <f>YEAR(clean_data[[#This Row],[Date]])</f>
        <v>2022</v>
      </c>
      <c r="S369" s="2">
        <f>clean_data[[#This Row],[Profit]]/clean_data[[#This Row],[Revenue]]</f>
        <v>0.5</v>
      </c>
      <c r="T369" t="str" cm="1">
        <f t="array" ref="T369">_xlfn.IFS(clean_data[[#This Row],[Revenue]]&lt;300000,"Small",
     clean_data[[#This Row],[Revenue]]&lt;700000,"Medium",
     TRUE,"Large")</f>
        <v>Small</v>
      </c>
      <c r="U369" t="str" cm="1">
        <f t="array" ref="U369">_xlfn.IFS(clean_data[[#This Row],[profit margin%]]&lt;0.5,"Low Profit",
     clean_data[[#This Row],[profit margin%]]&lt;0.6,"Medium Profit",
     TRUE,"High Profit")</f>
        <v>Medium Profit</v>
      </c>
      <c r="V369" t="str">
        <f>TEXT(clean_data[[#This Row],[Date]],"mmm-yyyy")</f>
        <v>Jan-2022</v>
      </c>
      <c r="W369" s="8">
        <f>EOMONTH(clean_data[[#This Row],[Date]],-1)+1</f>
        <v>44562</v>
      </c>
    </row>
    <row r="370" spans="1:23" x14ac:dyDescent="0.3">
      <c r="A370" t="s">
        <v>442</v>
      </c>
      <c r="B370" s="1">
        <v>44751</v>
      </c>
      <c r="C370" t="s">
        <v>46</v>
      </c>
      <c r="D370" t="s">
        <v>47</v>
      </c>
      <c r="E370" t="s">
        <v>52</v>
      </c>
      <c r="F370" t="s">
        <v>65</v>
      </c>
      <c r="G370" t="s">
        <v>104</v>
      </c>
      <c r="H370">
        <v>30</v>
      </c>
      <c r="I370">
        <v>3000</v>
      </c>
      <c r="J370">
        <v>5</v>
      </c>
      <c r="K370">
        <v>85500</v>
      </c>
      <c r="L370">
        <v>38475</v>
      </c>
      <c r="M370">
        <v>47025</v>
      </c>
      <c r="N370" t="s">
        <v>30</v>
      </c>
      <c r="O370" t="s">
        <v>23</v>
      </c>
      <c r="P370" t="s">
        <v>24</v>
      </c>
      <c r="Q370" t="str">
        <f>TEXT(clean_data[[#This Row],[Date]],"mmm")</f>
        <v>Jul</v>
      </c>
      <c r="R370">
        <f>YEAR(clean_data[[#This Row],[Date]])</f>
        <v>2022</v>
      </c>
      <c r="S370" s="2">
        <f>clean_data[[#This Row],[Profit]]/clean_data[[#This Row],[Revenue]]</f>
        <v>0.55000000000000004</v>
      </c>
      <c r="T370" t="str" cm="1">
        <f t="array" ref="T370">_xlfn.IFS(clean_data[[#This Row],[Revenue]]&lt;300000,"Small",
     clean_data[[#This Row],[Revenue]]&lt;700000,"Medium",
     TRUE,"Large")</f>
        <v>Small</v>
      </c>
      <c r="U370" t="str" cm="1">
        <f t="array" ref="U370">_xlfn.IFS(clean_data[[#This Row],[profit margin%]]&lt;0.5,"Low Profit",
     clean_data[[#This Row],[profit margin%]]&lt;0.6,"Medium Profit",
     TRUE,"High Profit")</f>
        <v>Medium Profit</v>
      </c>
      <c r="V370" t="str">
        <f>TEXT(clean_data[[#This Row],[Date]],"mmm-yyyy")</f>
        <v>Jul-2022</v>
      </c>
      <c r="W370" s="8">
        <f>EOMONTH(clean_data[[#This Row],[Date]],-1)+1</f>
        <v>44743</v>
      </c>
    </row>
    <row r="371" spans="1:23" x14ac:dyDescent="0.3">
      <c r="A371" t="s">
        <v>443</v>
      </c>
      <c r="B371" s="1">
        <v>44641</v>
      </c>
      <c r="C371" t="s">
        <v>26</v>
      </c>
      <c r="D371" t="s">
        <v>69</v>
      </c>
      <c r="E371" t="s">
        <v>60</v>
      </c>
      <c r="F371" t="s">
        <v>20</v>
      </c>
      <c r="G371" t="s">
        <v>115</v>
      </c>
      <c r="H371">
        <v>1</v>
      </c>
      <c r="I371">
        <v>2500</v>
      </c>
      <c r="J371">
        <v>20</v>
      </c>
      <c r="K371">
        <v>2000</v>
      </c>
      <c r="L371">
        <v>800</v>
      </c>
      <c r="M371">
        <v>1200</v>
      </c>
      <c r="N371" t="s">
        <v>22</v>
      </c>
      <c r="O371" t="s">
        <v>23</v>
      </c>
      <c r="P371" t="s">
        <v>24</v>
      </c>
      <c r="Q371" t="str">
        <f>TEXT(clean_data[[#This Row],[Date]],"mmm")</f>
        <v>Mar</v>
      </c>
      <c r="R371">
        <f>YEAR(clean_data[[#This Row],[Date]])</f>
        <v>2022</v>
      </c>
      <c r="S371" s="2">
        <f>clean_data[[#This Row],[Profit]]/clean_data[[#This Row],[Revenue]]</f>
        <v>0.6</v>
      </c>
      <c r="T371" t="str" cm="1">
        <f t="array" ref="T371">_xlfn.IFS(clean_data[[#This Row],[Revenue]]&lt;300000,"Small",
     clean_data[[#This Row],[Revenue]]&lt;700000,"Medium",
     TRUE,"Large")</f>
        <v>Small</v>
      </c>
      <c r="U371" t="str" cm="1">
        <f t="array" ref="U371">_xlfn.IFS(clean_data[[#This Row],[profit margin%]]&lt;0.5,"Low Profit",
     clean_data[[#This Row],[profit margin%]]&lt;0.6,"Medium Profit",
     TRUE,"High Profit")</f>
        <v>High Profit</v>
      </c>
      <c r="V371" t="str">
        <f>TEXT(clean_data[[#This Row],[Date]],"mmm-yyyy")</f>
        <v>Mar-2022</v>
      </c>
      <c r="W371" s="8">
        <f>EOMONTH(clean_data[[#This Row],[Date]],-1)+1</f>
        <v>44621</v>
      </c>
    </row>
    <row r="372" spans="1:23" x14ac:dyDescent="0.3">
      <c r="A372" t="s">
        <v>444</v>
      </c>
      <c r="B372" s="1">
        <v>45490</v>
      </c>
      <c r="C372" t="s">
        <v>46</v>
      </c>
      <c r="D372" t="s">
        <v>47</v>
      </c>
      <c r="E372" t="s">
        <v>78</v>
      </c>
      <c r="F372" t="s">
        <v>28</v>
      </c>
      <c r="G372" t="s">
        <v>85</v>
      </c>
      <c r="H372">
        <v>43</v>
      </c>
      <c r="I372">
        <v>8000</v>
      </c>
      <c r="J372">
        <v>20</v>
      </c>
      <c r="K372">
        <v>275200</v>
      </c>
      <c r="L372">
        <v>151360</v>
      </c>
      <c r="M372">
        <v>123840</v>
      </c>
      <c r="N372" t="s">
        <v>49</v>
      </c>
      <c r="O372" t="s">
        <v>67</v>
      </c>
      <c r="P372" t="s">
        <v>40</v>
      </c>
      <c r="Q372" t="str">
        <f>TEXT(clean_data[[#This Row],[Date]],"mmm")</f>
        <v>Jul</v>
      </c>
      <c r="R372">
        <f>YEAR(clean_data[[#This Row],[Date]])</f>
        <v>2024</v>
      </c>
      <c r="S372" s="2">
        <f>clean_data[[#This Row],[Profit]]/clean_data[[#This Row],[Revenue]]</f>
        <v>0.45</v>
      </c>
      <c r="T372" t="str" cm="1">
        <f t="array" ref="T372">_xlfn.IFS(clean_data[[#This Row],[Revenue]]&lt;300000,"Small",
     clean_data[[#This Row],[Revenue]]&lt;700000,"Medium",
     TRUE,"Large")</f>
        <v>Small</v>
      </c>
      <c r="U372" t="str" cm="1">
        <f t="array" ref="U372">_xlfn.IFS(clean_data[[#This Row],[profit margin%]]&lt;0.5,"Low Profit",
     clean_data[[#This Row],[profit margin%]]&lt;0.6,"Medium Profit",
     TRUE,"High Profit")</f>
        <v>Low Profit</v>
      </c>
      <c r="V372" t="str">
        <f>TEXT(clean_data[[#This Row],[Date]],"mmm-yyyy")</f>
        <v>Jul-2024</v>
      </c>
      <c r="W372" s="8">
        <f>EOMONTH(clean_data[[#This Row],[Date]],-1)+1</f>
        <v>45474</v>
      </c>
    </row>
    <row r="373" spans="1:23" x14ac:dyDescent="0.3">
      <c r="A373" t="s">
        <v>445</v>
      </c>
      <c r="B373" s="1">
        <v>45305</v>
      </c>
      <c r="C373" t="s">
        <v>46</v>
      </c>
      <c r="D373" t="s">
        <v>55</v>
      </c>
      <c r="E373" t="s">
        <v>32</v>
      </c>
      <c r="F373" t="s">
        <v>33</v>
      </c>
      <c r="G373" t="s">
        <v>34</v>
      </c>
      <c r="H373">
        <v>29</v>
      </c>
      <c r="I373">
        <v>25000</v>
      </c>
      <c r="J373">
        <v>5</v>
      </c>
      <c r="K373">
        <v>688750</v>
      </c>
      <c r="L373">
        <v>344375</v>
      </c>
      <c r="M373">
        <v>344375</v>
      </c>
      <c r="N373" t="s">
        <v>49</v>
      </c>
      <c r="O373" t="s">
        <v>67</v>
      </c>
      <c r="P373" t="s">
        <v>24</v>
      </c>
      <c r="Q373" t="str">
        <f>TEXT(clean_data[[#This Row],[Date]],"mmm")</f>
        <v>Jan</v>
      </c>
      <c r="R373">
        <f>YEAR(clean_data[[#This Row],[Date]])</f>
        <v>2024</v>
      </c>
      <c r="S373" s="2">
        <f>clean_data[[#This Row],[Profit]]/clean_data[[#This Row],[Revenue]]</f>
        <v>0.5</v>
      </c>
      <c r="T373" t="str" cm="1">
        <f t="array" ref="T373">_xlfn.IFS(clean_data[[#This Row],[Revenue]]&lt;300000,"Small",
     clean_data[[#This Row],[Revenue]]&lt;700000,"Medium",
     TRUE,"Large")</f>
        <v>Medium</v>
      </c>
      <c r="U373" t="str" cm="1">
        <f t="array" ref="U373">_xlfn.IFS(clean_data[[#This Row],[profit margin%]]&lt;0.5,"Low Profit",
     clean_data[[#This Row],[profit margin%]]&lt;0.6,"Medium Profit",
     TRUE,"High Profit")</f>
        <v>Medium Profit</v>
      </c>
      <c r="V373" t="str">
        <f>TEXT(clean_data[[#This Row],[Date]],"mmm-yyyy")</f>
        <v>Jan-2024</v>
      </c>
      <c r="W373" s="8">
        <f>EOMONTH(clean_data[[#This Row],[Date]],-1)+1</f>
        <v>45292</v>
      </c>
    </row>
    <row r="374" spans="1:23" x14ac:dyDescent="0.3">
      <c r="A374" t="s">
        <v>446</v>
      </c>
      <c r="B374" s="1">
        <v>45545</v>
      </c>
      <c r="C374" t="s">
        <v>17</v>
      </c>
      <c r="D374" t="s">
        <v>42</v>
      </c>
      <c r="E374" t="s">
        <v>111</v>
      </c>
      <c r="F374" t="s">
        <v>20</v>
      </c>
      <c r="G374" t="s">
        <v>74</v>
      </c>
      <c r="H374">
        <v>14</v>
      </c>
      <c r="I374">
        <v>4200</v>
      </c>
      <c r="J374">
        <v>20</v>
      </c>
      <c r="K374">
        <v>47040</v>
      </c>
      <c r="L374">
        <v>18816</v>
      </c>
      <c r="M374">
        <v>28224</v>
      </c>
      <c r="N374" t="s">
        <v>22</v>
      </c>
      <c r="O374" t="s">
        <v>50</v>
      </c>
      <c r="P374" t="s">
        <v>24</v>
      </c>
      <c r="Q374" t="str">
        <f>TEXT(clean_data[[#This Row],[Date]],"mmm")</f>
        <v>Sep</v>
      </c>
      <c r="R374">
        <f>YEAR(clean_data[[#This Row],[Date]])</f>
        <v>2024</v>
      </c>
      <c r="S374" s="2">
        <f>clean_data[[#This Row],[Profit]]/clean_data[[#This Row],[Revenue]]</f>
        <v>0.6</v>
      </c>
      <c r="T374" t="str" cm="1">
        <f t="array" ref="T374">_xlfn.IFS(clean_data[[#This Row],[Revenue]]&lt;300000,"Small",
     clean_data[[#This Row],[Revenue]]&lt;700000,"Medium",
     TRUE,"Large")</f>
        <v>Small</v>
      </c>
      <c r="U374" t="str" cm="1">
        <f t="array" ref="U374">_xlfn.IFS(clean_data[[#This Row],[profit margin%]]&lt;0.5,"Low Profit",
     clean_data[[#This Row],[profit margin%]]&lt;0.6,"Medium Profit",
     TRUE,"High Profit")</f>
        <v>High Profit</v>
      </c>
      <c r="V374" t="str">
        <f>TEXT(clean_data[[#This Row],[Date]],"mmm-yyyy")</f>
        <v>Sep-2024</v>
      </c>
      <c r="W374" s="8">
        <f>EOMONTH(clean_data[[#This Row],[Date]],-1)+1</f>
        <v>45536</v>
      </c>
    </row>
    <row r="375" spans="1:23" x14ac:dyDescent="0.3">
      <c r="A375" t="s">
        <v>447</v>
      </c>
      <c r="B375" s="1">
        <v>44827</v>
      </c>
      <c r="C375" t="s">
        <v>46</v>
      </c>
      <c r="D375" t="s">
        <v>55</v>
      </c>
      <c r="E375" t="s">
        <v>52</v>
      </c>
      <c r="F375" t="s">
        <v>33</v>
      </c>
      <c r="G375" t="s">
        <v>43</v>
      </c>
      <c r="H375">
        <v>31</v>
      </c>
      <c r="I375">
        <v>4000</v>
      </c>
      <c r="J375">
        <v>20</v>
      </c>
      <c r="K375">
        <v>99200</v>
      </c>
      <c r="L375">
        <v>49600</v>
      </c>
      <c r="M375">
        <v>49600</v>
      </c>
      <c r="N375" t="s">
        <v>22</v>
      </c>
      <c r="O375" t="s">
        <v>23</v>
      </c>
      <c r="P375" t="s">
        <v>40</v>
      </c>
      <c r="Q375" t="str">
        <f>TEXT(clean_data[[#This Row],[Date]],"mmm")</f>
        <v>Sep</v>
      </c>
      <c r="R375">
        <f>YEAR(clean_data[[#This Row],[Date]])</f>
        <v>2022</v>
      </c>
      <c r="S375" s="2">
        <f>clean_data[[#This Row],[Profit]]/clean_data[[#This Row],[Revenue]]</f>
        <v>0.5</v>
      </c>
      <c r="T375" t="str" cm="1">
        <f t="array" ref="T375">_xlfn.IFS(clean_data[[#This Row],[Revenue]]&lt;300000,"Small",
     clean_data[[#This Row],[Revenue]]&lt;700000,"Medium",
     TRUE,"Large")</f>
        <v>Small</v>
      </c>
      <c r="U375" t="str" cm="1">
        <f t="array" ref="U375">_xlfn.IFS(clean_data[[#This Row],[profit margin%]]&lt;0.5,"Low Profit",
     clean_data[[#This Row],[profit margin%]]&lt;0.6,"Medium Profit",
     TRUE,"High Profit")</f>
        <v>Medium Profit</v>
      </c>
      <c r="V375" t="str">
        <f>TEXT(clean_data[[#This Row],[Date]],"mmm-yyyy")</f>
        <v>Sep-2022</v>
      </c>
      <c r="W375" s="8">
        <f>EOMONTH(clean_data[[#This Row],[Date]],-1)+1</f>
        <v>44805</v>
      </c>
    </row>
    <row r="376" spans="1:23" x14ac:dyDescent="0.3">
      <c r="A376" t="s">
        <v>448</v>
      </c>
      <c r="B376" s="1">
        <v>45606</v>
      </c>
      <c r="C376" t="s">
        <v>58</v>
      </c>
      <c r="D376" t="s">
        <v>84</v>
      </c>
      <c r="E376" t="s">
        <v>111</v>
      </c>
      <c r="F376" t="s">
        <v>28</v>
      </c>
      <c r="G376" t="s">
        <v>95</v>
      </c>
      <c r="H376">
        <v>25</v>
      </c>
      <c r="I376">
        <v>75000</v>
      </c>
      <c r="J376">
        <v>5</v>
      </c>
      <c r="K376">
        <v>1781250</v>
      </c>
      <c r="L376">
        <v>979687.5</v>
      </c>
      <c r="M376">
        <v>801562.5</v>
      </c>
      <c r="N376" t="s">
        <v>22</v>
      </c>
      <c r="O376" t="s">
        <v>35</v>
      </c>
      <c r="P376" t="s">
        <v>24</v>
      </c>
      <c r="Q376" t="str">
        <f>TEXT(clean_data[[#This Row],[Date]],"mmm")</f>
        <v>Nov</v>
      </c>
      <c r="R376">
        <f>YEAR(clean_data[[#This Row],[Date]])</f>
        <v>2024</v>
      </c>
      <c r="S376" s="2">
        <f>clean_data[[#This Row],[Profit]]/clean_data[[#This Row],[Revenue]]</f>
        <v>0.45</v>
      </c>
      <c r="T376" t="str" cm="1">
        <f t="array" ref="T376">_xlfn.IFS(clean_data[[#This Row],[Revenue]]&lt;300000,"Small",
     clean_data[[#This Row],[Revenue]]&lt;700000,"Medium",
     TRUE,"Large")</f>
        <v>Large</v>
      </c>
      <c r="U376" t="str" cm="1">
        <f t="array" ref="U376">_xlfn.IFS(clean_data[[#This Row],[profit margin%]]&lt;0.5,"Low Profit",
     clean_data[[#This Row],[profit margin%]]&lt;0.6,"Medium Profit",
     TRUE,"High Profit")</f>
        <v>Low Profit</v>
      </c>
      <c r="V376" t="str">
        <f>TEXT(clean_data[[#This Row],[Date]],"mmm-yyyy")</f>
        <v>Nov-2024</v>
      </c>
      <c r="W376" s="8">
        <f>EOMONTH(clean_data[[#This Row],[Date]],-1)+1</f>
        <v>45597</v>
      </c>
    </row>
    <row r="377" spans="1:23" x14ac:dyDescent="0.3">
      <c r="A377" t="s">
        <v>449</v>
      </c>
      <c r="B377" s="1">
        <v>44935</v>
      </c>
      <c r="C377" t="s">
        <v>46</v>
      </c>
      <c r="D377" t="s">
        <v>55</v>
      </c>
      <c r="E377" t="s">
        <v>73</v>
      </c>
      <c r="F377" t="s">
        <v>20</v>
      </c>
      <c r="G377" t="s">
        <v>21</v>
      </c>
      <c r="H377">
        <v>45</v>
      </c>
      <c r="I377">
        <v>3500</v>
      </c>
      <c r="J377">
        <v>10</v>
      </c>
      <c r="K377">
        <v>141750</v>
      </c>
      <c r="L377">
        <v>56700</v>
      </c>
      <c r="M377">
        <v>85050</v>
      </c>
      <c r="N377" t="s">
        <v>22</v>
      </c>
      <c r="O377" t="s">
        <v>35</v>
      </c>
      <c r="P377" t="s">
        <v>24</v>
      </c>
      <c r="Q377" t="str">
        <f>TEXT(clean_data[[#This Row],[Date]],"mmm")</f>
        <v>Jan</v>
      </c>
      <c r="R377">
        <f>YEAR(clean_data[[#This Row],[Date]])</f>
        <v>2023</v>
      </c>
      <c r="S377" s="2">
        <f>clean_data[[#This Row],[Profit]]/clean_data[[#This Row],[Revenue]]</f>
        <v>0.6</v>
      </c>
      <c r="T377" t="str" cm="1">
        <f t="array" ref="T377">_xlfn.IFS(clean_data[[#This Row],[Revenue]]&lt;300000,"Small",
     clean_data[[#This Row],[Revenue]]&lt;700000,"Medium",
     TRUE,"Large")</f>
        <v>Small</v>
      </c>
      <c r="U377" t="str" cm="1">
        <f t="array" ref="U377">_xlfn.IFS(clean_data[[#This Row],[profit margin%]]&lt;0.5,"Low Profit",
     clean_data[[#This Row],[profit margin%]]&lt;0.6,"Medium Profit",
     TRUE,"High Profit")</f>
        <v>High Profit</v>
      </c>
      <c r="V377" t="str">
        <f>TEXT(clean_data[[#This Row],[Date]],"mmm-yyyy")</f>
        <v>Jan-2023</v>
      </c>
      <c r="W377" s="8">
        <f>EOMONTH(clean_data[[#This Row],[Date]],-1)+1</f>
        <v>44927</v>
      </c>
    </row>
    <row r="378" spans="1:23" x14ac:dyDescent="0.3">
      <c r="A378" t="s">
        <v>450</v>
      </c>
      <c r="B378" s="1">
        <v>45257</v>
      </c>
      <c r="C378" t="s">
        <v>58</v>
      </c>
      <c r="D378" t="s">
        <v>84</v>
      </c>
      <c r="E378" t="s">
        <v>38</v>
      </c>
      <c r="F378" t="s">
        <v>20</v>
      </c>
      <c r="G378" t="s">
        <v>53</v>
      </c>
      <c r="H378">
        <v>25</v>
      </c>
      <c r="I378">
        <v>600</v>
      </c>
      <c r="J378">
        <v>5</v>
      </c>
      <c r="K378">
        <v>14250</v>
      </c>
      <c r="L378">
        <v>5700</v>
      </c>
      <c r="M378">
        <v>8550</v>
      </c>
      <c r="N378" t="s">
        <v>22</v>
      </c>
      <c r="O378" t="s">
        <v>50</v>
      </c>
      <c r="P378" t="s">
        <v>40</v>
      </c>
      <c r="Q378" t="str">
        <f>TEXT(clean_data[[#This Row],[Date]],"mmm")</f>
        <v>Nov</v>
      </c>
      <c r="R378">
        <f>YEAR(clean_data[[#This Row],[Date]])</f>
        <v>2023</v>
      </c>
      <c r="S378" s="2">
        <f>clean_data[[#This Row],[Profit]]/clean_data[[#This Row],[Revenue]]</f>
        <v>0.6</v>
      </c>
      <c r="T378" t="str" cm="1">
        <f t="array" ref="T378">_xlfn.IFS(clean_data[[#This Row],[Revenue]]&lt;300000,"Small",
     clean_data[[#This Row],[Revenue]]&lt;700000,"Medium",
     TRUE,"Large")</f>
        <v>Small</v>
      </c>
      <c r="U378" t="str" cm="1">
        <f t="array" ref="U378">_xlfn.IFS(clean_data[[#This Row],[profit margin%]]&lt;0.5,"Low Profit",
     clean_data[[#This Row],[profit margin%]]&lt;0.6,"Medium Profit",
     TRUE,"High Profit")</f>
        <v>High Profit</v>
      </c>
      <c r="V378" t="str">
        <f>TEXT(clean_data[[#This Row],[Date]],"mmm-yyyy")</f>
        <v>Nov-2023</v>
      </c>
      <c r="W378" s="8">
        <f>EOMONTH(clean_data[[#This Row],[Date]],-1)+1</f>
        <v>45231</v>
      </c>
    </row>
    <row r="379" spans="1:23" x14ac:dyDescent="0.3">
      <c r="A379" t="s">
        <v>451</v>
      </c>
      <c r="B379" s="1">
        <v>44664</v>
      </c>
      <c r="C379" t="s">
        <v>58</v>
      </c>
      <c r="D379" t="s">
        <v>59</v>
      </c>
      <c r="E379" t="s">
        <v>70</v>
      </c>
      <c r="F379" t="s">
        <v>28</v>
      </c>
      <c r="G379" t="s">
        <v>95</v>
      </c>
      <c r="H379">
        <v>48</v>
      </c>
      <c r="I379">
        <v>75000</v>
      </c>
      <c r="J379">
        <v>10</v>
      </c>
      <c r="K379">
        <v>3240000</v>
      </c>
      <c r="L379">
        <v>1782000</v>
      </c>
      <c r="M379">
        <v>1458000</v>
      </c>
      <c r="N379" t="s">
        <v>22</v>
      </c>
      <c r="O379" t="s">
        <v>23</v>
      </c>
      <c r="P379" t="s">
        <v>24</v>
      </c>
      <c r="Q379" t="str">
        <f>TEXT(clean_data[[#This Row],[Date]],"mmm")</f>
        <v>Apr</v>
      </c>
      <c r="R379">
        <f>YEAR(clean_data[[#This Row],[Date]])</f>
        <v>2022</v>
      </c>
      <c r="S379" s="2">
        <f>clean_data[[#This Row],[Profit]]/clean_data[[#This Row],[Revenue]]</f>
        <v>0.45</v>
      </c>
      <c r="T379" t="str" cm="1">
        <f t="array" ref="T379">_xlfn.IFS(clean_data[[#This Row],[Revenue]]&lt;300000,"Small",
     clean_data[[#This Row],[Revenue]]&lt;700000,"Medium",
     TRUE,"Large")</f>
        <v>Large</v>
      </c>
      <c r="U379" t="str" cm="1">
        <f t="array" ref="U379">_xlfn.IFS(clean_data[[#This Row],[profit margin%]]&lt;0.5,"Low Profit",
     clean_data[[#This Row],[profit margin%]]&lt;0.6,"Medium Profit",
     TRUE,"High Profit")</f>
        <v>Low Profit</v>
      </c>
      <c r="V379" t="str">
        <f>TEXT(clean_data[[#This Row],[Date]],"mmm-yyyy")</f>
        <v>Apr-2022</v>
      </c>
      <c r="W379" s="8">
        <f>EOMONTH(clean_data[[#This Row],[Date]],-1)+1</f>
        <v>44652</v>
      </c>
    </row>
    <row r="380" spans="1:23" x14ac:dyDescent="0.3">
      <c r="A380" t="s">
        <v>452</v>
      </c>
      <c r="B380" s="1">
        <v>45006</v>
      </c>
      <c r="C380" t="s">
        <v>17</v>
      </c>
      <c r="D380" t="s">
        <v>42</v>
      </c>
      <c r="E380" t="s">
        <v>111</v>
      </c>
      <c r="F380" t="s">
        <v>20</v>
      </c>
      <c r="G380" t="s">
        <v>74</v>
      </c>
      <c r="H380">
        <v>19</v>
      </c>
      <c r="I380">
        <v>4200</v>
      </c>
      <c r="J380">
        <v>15</v>
      </c>
      <c r="K380">
        <v>67830</v>
      </c>
      <c r="L380">
        <v>27132</v>
      </c>
      <c r="M380">
        <v>40698</v>
      </c>
      <c r="N380" t="s">
        <v>22</v>
      </c>
      <c r="O380" t="s">
        <v>35</v>
      </c>
      <c r="P380" t="s">
        <v>24</v>
      </c>
      <c r="Q380" t="str">
        <f>TEXT(clean_data[[#This Row],[Date]],"mmm")</f>
        <v>Mar</v>
      </c>
      <c r="R380">
        <f>YEAR(clean_data[[#This Row],[Date]])</f>
        <v>2023</v>
      </c>
      <c r="S380" s="2">
        <f>clean_data[[#This Row],[Profit]]/clean_data[[#This Row],[Revenue]]</f>
        <v>0.6</v>
      </c>
      <c r="T380" t="str" cm="1">
        <f t="array" ref="T380">_xlfn.IFS(clean_data[[#This Row],[Revenue]]&lt;300000,"Small",
     clean_data[[#This Row],[Revenue]]&lt;700000,"Medium",
     TRUE,"Large")</f>
        <v>Small</v>
      </c>
      <c r="U380" t="str" cm="1">
        <f t="array" ref="U380">_xlfn.IFS(clean_data[[#This Row],[profit margin%]]&lt;0.5,"Low Profit",
     clean_data[[#This Row],[profit margin%]]&lt;0.6,"Medium Profit",
     TRUE,"High Profit")</f>
        <v>High Profit</v>
      </c>
      <c r="V380" t="str">
        <f>TEXT(clean_data[[#This Row],[Date]],"mmm-yyyy")</f>
        <v>Mar-2023</v>
      </c>
      <c r="W380" s="8">
        <f>EOMONTH(clean_data[[#This Row],[Date]],-1)+1</f>
        <v>44986</v>
      </c>
    </row>
    <row r="381" spans="1:23" x14ac:dyDescent="0.3">
      <c r="A381" t="s">
        <v>453</v>
      </c>
      <c r="B381" s="1">
        <v>44901</v>
      </c>
      <c r="C381" t="s">
        <v>26</v>
      </c>
      <c r="D381" t="s">
        <v>69</v>
      </c>
      <c r="E381" t="s">
        <v>56</v>
      </c>
      <c r="F381" t="s">
        <v>65</v>
      </c>
      <c r="G381" t="s">
        <v>124</v>
      </c>
      <c r="H381">
        <v>36</v>
      </c>
      <c r="I381">
        <v>18000</v>
      </c>
      <c r="J381">
        <v>10</v>
      </c>
      <c r="K381">
        <v>583200</v>
      </c>
      <c r="L381">
        <v>262440</v>
      </c>
      <c r="M381">
        <v>320760</v>
      </c>
      <c r="N381" t="s">
        <v>30</v>
      </c>
      <c r="O381" t="s">
        <v>67</v>
      </c>
      <c r="P381" t="s">
        <v>24</v>
      </c>
      <c r="Q381" t="str">
        <f>TEXT(clean_data[[#This Row],[Date]],"mmm")</f>
        <v>Dec</v>
      </c>
      <c r="R381">
        <f>YEAR(clean_data[[#This Row],[Date]])</f>
        <v>2022</v>
      </c>
      <c r="S381" s="2">
        <f>clean_data[[#This Row],[Profit]]/clean_data[[#This Row],[Revenue]]</f>
        <v>0.55000000000000004</v>
      </c>
      <c r="T381" t="str" cm="1">
        <f t="array" ref="T381">_xlfn.IFS(clean_data[[#This Row],[Revenue]]&lt;300000,"Small",
     clean_data[[#This Row],[Revenue]]&lt;700000,"Medium",
     TRUE,"Large")</f>
        <v>Medium</v>
      </c>
      <c r="U381" t="str" cm="1">
        <f t="array" ref="U381">_xlfn.IFS(clean_data[[#This Row],[profit margin%]]&lt;0.5,"Low Profit",
     clean_data[[#This Row],[profit margin%]]&lt;0.6,"Medium Profit",
     TRUE,"High Profit")</f>
        <v>Medium Profit</v>
      </c>
      <c r="V381" t="str">
        <f>TEXT(clean_data[[#This Row],[Date]],"mmm-yyyy")</f>
        <v>Dec-2022</v>
      </c>
      <c r="W381" s="8">
        <f>EOMONTH(clean_data[[#This Row],[Date]],-1)+1</f>
        <v>44896</v>
      </c>
    </row>
    <row r="382" spans="1:23" x14ac:dyDescent="0.3">
      <c r="A382" t="s">
        <v>454</v>
      </c>
      <c r="B382" s="1">
        <v>45047</v>
      </c>
      <c r="C382" t="s">
        <v>17</v>
      </c>
      <c r="D382" t="s">
        <v>37</v>
      </c>
      <c r="E382" t="s">
        <v>78</v>
      </c>
      <c r="F382" t="s">
        <v>28</v>
      </c>
      <c r="G382" t="s">
        <v>87</v>
      </c>
      <c r="H382">
        <v>21</v>
      </c>
      <c r="I382">
        <v>45000</v>
      </c>
      <c r="J382">
        <v>20</v>
      </c>
      <c r="K382">
        <v>756000</v>
      </c>
      <c r="L382">
        <v>415800</v>
      </c>
      <c r="M382">
        <v>340200</v>
      </c>
      <c r="N382" t="s">
        <v>22</v>
      </c>
      <c r="O382" t="s">
        <v>67</v>
      </c>
      <c r="P382" t="s">
        <v>24</v>
      </c>
      <c r="Q382" t="str">
        <f>TEXT(clean_data[[#This Row],[Date]],"mmm")</f>
        <v>May</v>
      </c>
      <c r="R382">
        <f>YEAR(clean_data[[#This Row],[Date]])</f>
        <v>2023</v>
      </c>
      <c r="S382" s="2">
        <f>clean_data[[#This Row],[Profit]]/clean_data[[#This Row],[Revenue]]</f>
        <v>0.45</v>
      </c>
      <c r="T382" t="str" cm="1">
        <f t="array" ref="T382">_xlfn.IFS(clean_data[[#This Row],[Revenue]]&lt;300000,"Small",
     clean_data[[#This Row],[Revenue]]&lt;700000,"Medium",
     TRUE,"Large")</f>
        <v>Large</v>
      </c>
      <c r="U382" t="str" cm="1">
        <f t="array" ref="U382">_xlfn.IFS(clean_data[[#This Row],[profit margin%]]&lt;0.5,"Low Profit",
     clean_data[[#This Row],[profit margin%]]&lt;0.6,"Medium Profit",
     TRUE,"High Profit")</f>
        <v>Low Profit</v>
      </c>
      <c r="V382" t="str">
        <f>TEXT(clean_data[[#This Row],[Date]],"mmm-yyyy")</f>
        <v>May-2023</v>
      </c>
      <c r="W382" s="8">
        <f>EOMONTH(clean_data[[#This Row],[Date]],-1)+1</f>
        <v>45047</v>
      </c>
    </row>
    <row r="383" spans="1:23" x14ac:dyDescent="0.3">
      <c r="A383" t="s">
        <v>455</v>
      </c>
      <c r="B383" s="1">
        <v>45154</v>
      </c>
      <c r="C383" t="s">
        <v>17</v>
      </c>
      <c r="D383" t="s">
        <v>18</v>
      </c>
      <c r="E383" t="s">
        <v>70</v>
      </c>
      <c r="F383" t="s">
        <v>20</v>
      </c>
      <c r="G383" t="s">
        <v>74</v>
      </c>
      <c r="H383">
        <v>34</v>
      </c>
      <c r="I383">
        <v>4200</v>
      </c>
      <c r="J383">
        <v>0</v>
      </c>
      <c r="K383">
        <v>142800</v>
      </c>
      <c r="L383">
        <v>57120</v>
      </c>
      <c r="M383">
        <v>85680</v>
      </c>
      <c r="N383" t="s">
        <v>30</v>
      </c>
      <c r="O383" t="s">
        <v>23</v>
      </c>
      <c r="P383" t="s">
        <v>40</v>
      </c>
      <c r="Q383" t="str">
        <f>TEXT(clean_data[[#This Row],[Date]],"mmm")</f>
        <v>Aug</v>
      </c>
      <c r="R383">
        <f>YEAR(clean_data[[#This Row],[Date]])</f>
        <v>2023</v>
      </c>
      <c r="S383" s="2">
        <f>clean_data[[#This Row],[Profit]]/clean_data[[#This Row],[Revenue]]</f>
        <v>0.6</v>
      </c>
      <c r="T383" t="str" cm="1">
        <f t="array" ref="T383">_xlfn.IFS(clean_data[[#This Row],[Revenue]]&lt;300000,"Small",
     clean_data[[#This Row],[Revenue]]&lt;700000,"Medium",
     TRUE,"Large")</f>
        <v>Small</v>
      </c>
      <c r="U383" t="str" cm="1">
        <f t="array" ref="U383">_xlfn.IFS(clean_data[[#This Row],[profit margin%]]&lt;0.5,"Low Profit",
     clean_data[[#This Row],[profit margin%]]&lt;0.6,"Medium Profit",
     TRUE,"High Profit")</f>
        <v>High Profit</v>
      </c>
      <c r="V383" t="str">
        <f>TEXT(clean_data[[#This Row],[Date]],"mmm-yyyy")</f>
        <v>Aug-2023</v>
      </c>
      <c r="W383" s="8">
        <f>EOMONTH(clean_data[[#This Row],[Date]],-1)+1</f>
        <v>45139</v>
      </c>
    </row>
    <row r="384" spans="1:23" x14ac:dyDescent="0.3">
      <c r="A384" t="s">
        <v>456</v>
      </c>
      <c r="B384" s="1">
        <v>45614</v>
      </c>
      <c r="C384" t="s">
        <v>58</v>
      </c>
      <c r="D384" t="s">
        <v>84</v>
      </c>
      <c r="E384" t="s">
        <v>70</v>
      </c>
      <c r="F384" t="s">
        <v>20</v>
      </c>
      <c r="G384" t="s">
        <v>74</v>
      </c>
      <c r="H384">
        <v>43</v>
      </c>
      <c r="I384">
        <v>4200</v>
      </c>
      <c r="J384">
        <v>10</v>
      </c>
      <c r="K384">
        <v>162540</v>
      </c>
      <c r="L384">
        <v>65016</v>
      </c>
      <c r="M384">
        <v>97524</v>
      </c>
      <c r="N384" t="s">
        <v>49</v>
      </c>
      <c r="O384" t="s">
        <v>50</v>
      </c>
      <c r="P384" t="s">
        <v>24</v>
      </c>
      <c r="Q384" t="str">
        <f>TEXT(clean_data[[#This Row],[Date]],"mmm")</f>
        <v>Nov</v>
      </c>
      <c r="R384">
        <f>YEAR(clean_data[[#This Row],[Date]])</f>
        <v>2024</v>
      </c>
      <c r="S384" s="2">
        <f>clean_data[[#This Row],[Profit]]/clean_data[[#This Row],[Revenue]]</f>
        <v>0.6</v>
      </c>
      <c r="T384" t="str" cm="1">
        <f t="array" ref="T384">_xlfn.IFS(clean_data[[#This Row],[Revenue]]&lt;300000,"Small",
     clean_data[[#This Row],[Revenue]]&lt;700000,"Medium",
     TRUE,"Large")</f>
        <v>Small</v>
      </c>
      <c r="U384" t="str" cm="1">
        <f t="array" ref="U384">_xlfn.IFS(clean_data[[#This Row],[profit margin%]]&lt;0.5,"Low Profit",
     clean_data[[#This Row],[profit margin%]]&lt;0.6,"Medium Profit",
     TRUE,"High Profit")</f>
        <v>High Profit</v>
      </c>
      <c r="V384" t="str">
        <f>TEXT(clean_data[[#This Row],[Date]],"mmm-yyyy")</f>
        <v>Nov-2024</v>
      </c>
      <c r="W384" s="8">
        <f>EOMONTH(clean_data[[#This Row],[Date]],-1)+1</f>
        <v>45597</v>
      </c>
    </row>
    <row r="385" spans="1:23" x14ac:dyDescent="0.3">
      <c r="A385" t="s">
        <v>457</v>
      </c>
      <c r="B385" s="1">
        <v>44982</v>
      </c>
      <c r="C385" t="s">
        <v>58</v>
      </c>
      <c r="D385" t="s">
        <v>64</v>
      </c>
      <c r="E385" t="s">
        <v>56</v>
      </c>
      <c r="F385" t="s">
        <v>28</v>
      </c>
      <c r="G385" t="s">
        <v>71</v>
      </c>
      <c r="H385">
        <v>29</v>
      </c>
      <c r="I385">
        <v>35000</v>
      </c>
      <c r="J385">
        <v>5</v>
      </c>
      <c r="K385">
        <v>964250</v>
      </c>
      <c r="L385">
        <v>530337.5</v>
      </c>
      <c r="M385">
        <v>433912.5</v>
      </c>
      <c r="N385" t="s">
        <v>22</v>
      </c>
      <c r="O385" t="s">
        <v>44</v>
      </c>
      <c r="P385" t="s">
        <v>40</v>
      </c>
      <c r="Q385" t="str">
        <f>TEXT(clean_data[[#This Row],[Date]],"mmm")</f>
        <v>Feb</v>
      </c>
      <c r="R385">
        <f>YEAR(clean_data[[#This Row],[Date]])</f>
        <v>2023</v>
      </c>
      <c r="S385" s="2">
        <f>clean_data[[#This Row],[Profit]]/clean_data[[#This Row],[Revenue]]</f>
        <v>0.45</v>
      </c>
      <c r="T385" t="str" cm="1">
        <f t="array" ref="T385">_xlfn.IFS(clean_data[[#This Row],[Revenue]]&lt;300000,"Small",
     clean_data[[#This Row],[Revenue]]&lt;700000,"Medium",
     TRUE,"Large")</f>
        <v>Large</v>
      </c>
      <c r="U385" t="str" cm="1">
        <f t="array" ref="U385">_xlfn.IFS(clean_data[[#This Row],[profit margin%]]&lt;0.5,"Low Profit",
     clean_data[[#This Row],[profit margin%]]&lt;0.6,"Medium Profit",
     TRUE,"High Profit")</f>
        <v>Low Profit</v>
      </c>
      <c r="V385" t="str">
        <f>TEXT(clean_data[[#This Row],[Date]],"mmm-yyyy")</f>
        <v>Feb-2023</v>
      </c>
      <c r="W385" s="8">
        <f>EOMONTH(clean_data[[#This Row],[Date]],-1)+1</f>
        <v>44958</v>
      </c>
    </row>
    <row r="386" spans="1:23" x14ac:dyDescent="0.3">
      <c r="A386" t="s">
        <v>458</v>
      </c>
      <c r="B386" s="1">
        <v>44642</v>
      </c>
      <c r="C386" t="s">
        <v>17</v>
      </c>
      <c r="D386" t="s">
        <v>37</v>
      </c>
      <c r="E386" t="s">
        <v>52</v>
      </c>
      <c r="F386" t="s">
        <v>65</v>
      </c>
      <c r="G386" t="s">
        <v>124</v>
      </c>
      <c r="H386">
        <v>35</v>
      </c>
      <c r="I386">
        <v>18000</v>
      </c>
      <c r="J386">
        <v>10</v>
      </c>
      <c r="K386">
        <v>567000</v>
      </c>
      <c r="L386">
        <v>255150</v>
      </c>
      <c r="M386">
        <v>311850</v>
      </c>
      <c r="N386" t="s">
        <v>22</v>
      </c>
      <c r="O386" t="s">
        <v>50</v>
      </c>
      <c r="P386" t="s">
        <v>24</v>
      </c>
      <c r="Q386" t="str">
        <f>TEXT(clean_data[[#This Row],[Date]],"mmm")</f>
        <v>Mar</v>
      </c>
      <c r="R386">
        <f>YEAR(clean_data[[#This Row],[Date]])</f>
        <v>2022</v>
      </c>
      <c r="S386" s="2">
        <f>clean_data[[#This Row],[Profit]]/clean_data[[#This Row],[Revenue]]</f>
        <v>0.55000000000000004</v>
      </c>
      <c r="T386" t="str" cm="1">
        <f t="array" ref="T386">_xlfn.IFS(clean_data[[#This Row],[Revenue]]&lt;300000,"Small",
     clean_data[[#This Row],[Revenue]]&lt;700000,"Medium",
     TRUE,"Large")</f>
        <v>Medium</v>
      </c>
      <c r="U386" t="str" cm="1">
        <f t="array" ref="U386">_xlfn.IFS(clean_data[[#This Row],[profit margin%]]&lt;0.5,"Low Profit",
     clean_data[[#This Row],[profit margin%]]&lt;0.6,"Medium Profit",
     TRUE,"High Profit")</f>
        <v>Medium Profit</v>
      </c>
      <c r="V386" t="str">
        <f>TEXT(clean_data[[#This Row],[Date]],"mmm-yyyy")</f>
        <v>Mar-2022</v>
      </c>
      <c r="W386" s="8">
        <f>EOMONTH(clean_data[[#This Row],[Date]],-1)+1</f>
        <v>44621</v>
      </c>
    </row>
    <row r="387" spans="1:23" x14ac:dyDescent="0.3">
      <c r="A387" t="s">
        <v>459</v>
      </c>
      <c r="B387" s="1">
        <v>45561</v>
      </c>
      <c r="C387" t="s">
        <v>58</v>
      </c>
      <c r="D387" t="s">
        <v>59</v>
      </c>
      <c r="E387" t="s">
        <v>56</v>
      </c>
      <c r="F387" t="s">
        <v>33</v>
      </c>
      <c r="G387" t="s">
        <v>76</v>
      </c>
      <c r="H387">
        <v>21</v>
      </c>
      <c r="I387">
        <v>8500</v>
      </c>
      <c r="J387">
        <v>20</v>
      </c>
      <c r="K387">
        <v>142800</v>
      </c>
      <c r="L387">
        <v>71400</v>
      </c>
      <c r="M387">
        <v>71400</v>
      </c>
      <c r="N387" t="s">
        <v>30</v>
      </c>
      <c r="O387" t="s">
        <v>44</v>
      </c>
      <c r="P387" t="s">
        <v>24</v>
      </c>
      <c r="Q387" t="str">
        <f>TEXT(clean_data[[#This Row],[Date]],"mmm")</f>
        <v>Sep</v>
      </c>
      <c r="R387">
        <f>YEAR(clean_data[[#This Row],[Date]])</f>
        <v>2024</v>
      </c>
      <c r="S387" s="2">
        <f>clean_data[[#This Row],[Profit]]/clean_data[[#This Row],[Revenue]]</f>
        <v>0.5</v>
      </c>
      <c r="T387" t="str" cm="1">
        <f t="array" ref="T387">_xlfn.IFS(clean_data[[#This Row],[Revenue]]&lt;300000,"Small",
     clean_data[[#This Row],[Revenue]]&lt;700000,"Medium",
     TRUE,"Large")</f>
        <v>Small</v>
      </c>
      <c r="U387" t="str" cm="1">
        <f t="array" ref="U387">_xlfn.IFS(clean_data[[#This Row],[profit margin%]]&lt;0.5,"Low Profit",
     clean_data[[#This Row],[profit margin%]]&lt;0.6,"Medium Profit",
     TRUE,"High Profit")</f>
        <v>Medium Profit</v>
      </c>
      <c r="V387" t="str">
        <f>TEXT(clean_data[[#This Row],[Date]],"mmm-yyyy")</f>
        <v>Sep-2024</v>
      </c>
      <c r="W387" s="8">
        <f>EOMONTH(clean_data[[#This Row],[Date]],-1)+1</f>
        <v>45536</v>
      </c>
    </row>
    <row r="388" spans="1:23" x14ac:dyDescent="0.3">
      <c r="A388" t="s">
        <v>460</v>
      </c>
      <c r="B388" s="1">
        <v>45614</v>
      </c>
      <c r="C388" t="s">
        <v>26</v>
      </c>
      <c r="D388" t="s">
        <v>27</v>
      </c>
      <c r="E388" t="s">
        <v>19</v>
      </c>
      <c r="F388" t="s">
        <v>20</v>
      </c>
      <c r="G388" t="s">
        <v>115</v>
      </c>
      <c r="H388">
        <v>7</v>
      </c>
      <c r="I388">
        <v>2500</v>
      </c>
      <c r="J388">
        <v>5</v>
      </c>
      <c r="K388">
        <v>16625</v>
      </c>
      <c r="L388">
        <v>6650</v>
      </c>
      <c r="M388">
        <v>9975</v>
      </c>
      <c r="N388" t="s">
        <v>22</v>
      </c>
      <c r="O388" t="s">
        <v>23</v>
      </c>
      <c r="P388" t="s">
        <v>40</v>
      </c>
      <c r="Q388" t="str">
        <f>TEXT(clean_data[[#This Row],[Date]],"mmm")</f>
        <v>Nov</v>
      </c>
      <c r="R388">
        <f>YEAR(clean_data[[#This Row],[Date]])</f>
        <v>2024</v>
      </c>
      <c r="S388" s="2">
        <f>clean_data[[#This Row],[Profit]]/clean_data[[#This Row],[Revenue]]</f>
        <v>0.6</v>
      </c>
      <c r="T388" t="str" cm="1">
        <f t="array" ref="T388">_xlfn.IFS(clean_data[[#This Row],[Revenue]]&lt;300000,"Small",
     clean_data[[#This Row],[Revenue]]&lt;700000,"Medium",
     TRUE,"Large")</f>
        <v>Small</v>
      </c>
      <c r="U388" t="str" cm="1">
        <f t="array" ref="U388">_xlfn.IFS(clean_data[[#This Row],[profit margin%]]&lt;0.5,"Low Profit",
     clean_data[[#This Row],[profit margin%]]&lt;0.6,"Medium Profit",
     TRUE,"High Profit")</f>
        <v>High Profit</v>
      </c>
      <c r="V388" t="str">
        <f>TEXT(clean_data[[#This Row],[Date]],"mmm-yyyy")</f>
        <v>Nov-2024</v>
      </c>
      <c r="W388" s="8">
        <f>EOMONTH(clean_data[[#This Row],[Date]],-1)+1</f>
        <v>45597</v>
      </c>
    </row>
    <row r="389" spans="1:23" x14ac:dyDescent="0.3">
      <c r="A389" t="s">
        <v>461</v>
      </c>
      <c r="B389" s="1">
        <v>44705</v>
      </c>
      <c r="C389" t="s">
        <v>46</v>
      </c>
      <c r="D389" t="s">
        <v>47</v>
      </c>
      <c r="E389" t="s">
        <v>60</v>
      </c>
      <c r="F389" t="s">
        <v>33</v>
      </c>
      <c r="G389" t="s">
        <v>39</v>
      </c>
      <c r="H389">
        <v>6</v>
      </c>
      <c r="I389">
        <v>5000</v>
      </c>
      <c r="J389">
        <v>0</v>
      </c>
      <c r="K389">
        <v>30000</v>
      </c>
      <c r="L389">
        <v>15000</v>
      </c>
      <c r="M389">
        <v>15000</v>
      </c>
      <c r="N389" t="s">
        <v>30</v>
      </c>
      <c r="O389" t="s">
        <v>50</v>
      </c>
      <c r="P389" t="s">
        <v>24</v>
      </c>
      <c r="Q389" t="str">
        <f>TEXT(clean_data[[#This Row],[Date]],"mmm")</f>
        <v>May</v>
      </c>
      <c r="R389">
        <f>YEAR(clean_data[[#This Row],[Date]])</f>
        <v>2022</v>
      </c>
      <c r="S389" s="2">
        <f>clean_data[[#This Row],[Profit]]/clean_data[[#This Row],[Revenue]]</f>
        <v>0.5</v>
      </c>
      <c r="T389" t="str" cm="1">
        <f t="array" ref="T389">_xlfn.IFS(clean_data[[#This Row],[Revenue]]&lt;300000,"Small",
     clean_data[[#This Row],[Revenue]]&lt;700000,"Medium",
     TRUE,"Large")</f>
        <v>Small</v>
      </c>
      <c r="U389" t="str" cm="1">
        <f t="array" ref="U389">_xlfn.IFS(clean_data[[#This Row],[profit margin%]]&lt;0.5,"Low Profit",
     clean_data[[#This Row],[profit margin%]]&lt;0.6,"Medium Profit",
     TRUE,"High Profit")</f>
        <v>Medium Profit</v>
      </c>
      <c r="V389" t="str">
        <f>TEXT(clean_data[[#This Row],[Date]],"mmm-yyyy")</f>
        <v>May-2022</v>
      </c>
      <c r="W389" s="8">
        <f>EOMONTH(clean_data[[#This Row],[Date]],-1)+1</f>
        <v>44682</v>
      </c>
    </row>
    <row r="390" spans="1:23" x14ac:dyDescent="0.3">
      <c r="A390" t="s">
        <v>462</v>
      </c>
      <c r="B390" s="1">
        <v>45629</v>
      </c>
      <c r="C390" t="s">
        <v>46</v>
      </c>
      <c r="D390" t="s">
        <v>55</v>
      </c>
      <c r="E390" t="s">
        <v>32</v>
      </c>
      <c r="F390" t="s">
        <v>65</v>
      </c>
      <c r="G390" t="s">
        <v>66</v>
      </c>
      <c r="H390">
        <v>41</v>
      </c>
      <c r="I390">
        <v>5500</v>
      </c>
      <c r="J390">
        <v>15</v>
      </c>
      <c r="K390">
        <v>191675</v>
      </c>
      <c r="L390">
        <v>86253.75</v>
      </c>
      <c r="M390">
        <v>105421.25</v>
      </c>
      <c r="N390" t="s">
        <v>49</v>
      </c>
      <c r="O390" t="s">
        <v>35</v>
      </c>
      <c r="P390" t="s">
        <v>24</v>
      </c>
      <c r="Q390" t="str">
        <f>TEXT(clean_data[[#This Row],[Date]],"mmm")</f>
        <v>Dec</v>
      </c>
      <c r="R390">
        <f>YEAR(clean_data[[#This Row],[Date]])</f>
        <v>2024</v>
      </c>
      <c r="S390" s="2">
        <f>clean_data[[#This Row],[Profit]]/clean_data[[#This Row],[Revenue]]</f>
        <v>0.55000000000000004</v>
      </c>
      <c r="T390" t="str" cm="1">
        <f t="array" ref="T390">_xlfn.IFS(clean_data[[#This Row],[Revenue]]&lt;300000,"Small",
     clean_data[[#This Row],[Revenue]]&lt;700000,"Medium",
     TRUE,"Large")</f>
        <v>Small</v>
      </c>
      <c r="U390" t="str" cm="1">
        <f t="array" ref="U390">_xlfn.IFS(clean_data[[#This Row],[profit margin%]]&lt;0.5,"Low Profit",
     clean_data[[#This Row],[profit margin%]]&lt;0.6,"Medium Profit",
     TRUE,"High Profit")</f>
        <v>Medium Profit</v>
      </c>
      <c r="V390" t="str">
        <f>TEXT(clean_data[[#This Row],[Date]],"mmm-yyyy")</f>
        <v>Dec-2024</v>
      </c>
      <c r="W390" s="8">
        <f>EOMONTH(clean_data[[#This Row],[Date]],-1)+1</f>
        <v>45627</v>
      </c>
    </row>
    <row r="391" spans="1:23" x14ac:dyDescent="0.3">
      <c r="A391" t="s">
        <v>463</v>
      </c>
      <c r="B391" s="1">
        <v>45313</v>
      </c>
      <c r="C391" t="s">
        <v>26</v>
      </c>
      <c r="D391" t="s">
        <v>27</v>
      </c>
      <c r="E391" t="s">
        <v>38</v>
      </c>
      <c r="F391" t="s">
        <v>28</v>
      </c>
      <c r="G391" t="s">
        <v>29</v>
      </c>
      <c r="H391">
        <v>3</v>
      </c>
      <c r="I391">
        <v>15000</v>
      </c>
      <c r="J391">
        <v>0</v>
      </c>
      <c r="K391">
        <v>45000</v>
      </c>
      <c r="L391">
        <v>24750</v>
      </c>
      <c r="M391">
        <v>20250</v>
      </c>
      <c r="N391" t="s">
        <v>22</v>
      </c>
      <c r="O391" t="s">
        <v>35</v>
      </c>
      <c r="P391" t="s">
        <v>24</v>
      </c>
      <c r="Q391" t="str">
        <f>TEXT(clean_data[[#This Row],[Date]],"mmm")</f>
        <v>Jan</v>
      </c>
      <c r="R391">
        <f>YEAR(clean_data[[#This Row],[Date]])</f>
        <v>2024</v>
      </c>
      <c r="S391" s="2">
        <f>clean_data[[#This Row],[Profit]]/clean_data[[#This Row],[Revenue]]</f>
        <v>0.45</v>
      </c>
      <c r="T391" t="str" cm="1">
        <f t="array" ref="T391">_xlfn.IFS(clean_data[[#This Row],[Revenue]]&lt;300000,"Small",
     clean_data[[#This Row],[Revenue]]&lt;700000,"Medium",
     TRUE,"Large")</f>
        <v>Small</v>
      </c>
      <c r="U391" t="str" cm="1">
        <f t="array" ref="U391">_xlfn.IFS(clean_data[[#This Row],[profit margin%]]&lt;0.5,"Low Profit",
     clean_data[[#This Row],[profit margin%]]&lt;0.6,"Medium Profit",
     TRUE,"High Profit")</f>
        <v>Low Profit</v>
      </c>
      <c r="V391" t="str">
        <f>TEXT(clean_data[[#This Row],[Date]],"mmm-yyyy")</f>
        <v>Jan-2024</v>
      </c>
      <c r="W391" s="8">
        <f>EOMONTH(clean_data[[#This Row],[Date]],-1)+1</f>
        <v>45292</v>
      </c>
    </row>
    <row r="392" spans="1:23" x14ac:dyDescent="0.3">
      <c r="A392" t="s">
        <v>464</v>
      </c>
      <c r="B392" s="1">
        <v>45133</v>
      </c>
      <c r="C392" t="s">
        <v>17</v>
      </c>
      <c r="D392" t="s">
        <v>42</v>
      </c>
      <c r="E392" t="s">
        <v>52</v>
      </c>
      <c r="F392" t="s">
        <v>33</v>
      </c>
      <c r="G392" t="s">
        <v>48</v>
      </c>
      <c r="H392">
        <v>25</v>
      </c>
      <c r="I392">
        <v>1500</v>
      </c>
      <c r="J392">
        <v>15</v>
      </c>
      <c r="K392">
        <v>31875</v>
      </c>
      <c r="L392">
        <v>15937.5</v>
      </c>
      <c r="M392">
        <v>15937.5</v>
      </c>
      <c r="N392" t="s">
        <v>49</v>
      </c>
      <c r="O392" t="s">
        <v>44</v>
      </c>
      <c r="P392" t="s">
        <v>24</v>
      </c>
      <c r="Q392" t="str">
        <f>TEXT(clean_data[[#This Row],[Date]],"mmm")</f>
        <v>Jul</v>
      </c>
      <c r="R392">
        <f>YEAR(clean_data[[#This Row],[Date]])</f>
        <v>2023</v>
      </c>
      <c r="S392" s="2">
        <f>clean_data[[#This Row],[Profit]]/clean_data[[#This Row],[Revenue]]</f>
        <v>0.5</v>
      </c>
      <c r="T392" t="str" cm="1">
        <f t="array" ref="T392">_xlfn.IFS(clean_data[[#This Row],[Revenue]]&lt;300000,"Small",
     clean_data[[#This Row],[Revenue]]&lt;700000,"Medium",
     TRUE,"Large")</f>
        <v>Small</v>
      </c>
      <c r="U392" t="str" cm="1">
        <f t="array" ref="U392">_xlfn.IFS(clean_data[[#This Row],[profit margin%]]&lt;0.5,"Low Profit",
     clean_data[[#This Row],[profit margin%]]&lt;0.6,"Medium Profit",
     TRUE,"High Profit")</f>
        <v>Medium Profit</v>
      </c>
      <c r="V392" t="str">
        <f>TEXT(clean_data[[#This Row],[Date]],"mmm-yyyy")</f>
        <v>Jul-2023</v>
      </c>
      <c r="W392" s="8">
        <f>EOMONTH(clean_data[[#This Row],[Date]],-1)+1</f>
        <v>45108</v>
      </c>
    </row>
    <row r="393" spans="1:23" x14ac:dyDescent="0.3">
      <c r="A393" t="s">
        <v>465</v>
      </c>
      <c r="B393" s="1">
        <v>45604</v>
      </c>
      <c r="C393" t="s">
        <v>46</v>
      </c>
      <c r="D393" t="s">
        <v>55</v>
      </c>
      <c r="E393" t="s">
        <v>111</v>
      </c>
      <c r="F393" t="s">
        <v>33</v>
      </c>
      <c r="G393" t="s">
        <v>76</v>
      </c>
      <c r="H393">
        <v>20</v>
      </c>
      <c r="I393">
        <v>8500</v>
      </c>
      <c r="J393">
        <v>10</v>
      </c>
      <c r="K393">
        <v>153000</v>
      </c>
      <c r="L393">
        <v>76500</v>
      </c>
      <c r="M393">
        <v>76500</v>
      </c>
      <c r="N393" t="s">
        <v>22</v>
      </c>
      <c r="O393" t="s">
        <v>67</v>
      </c>
      <c r="P393" t="s">
        <v>24</v>
      </c>
      <c r="Q393" t="str">
        <f>TEXT(clean_data[[#This Row],[Date]],"mmm")</f>
        <v>Nov</v>
      </c>
      <c r="R393">
        <f>YEAR(clean_data[[#This Row],[Date]])</f>
        <v>2024</v>
      </c>
      <c r="S393" s="2">
        <f>clean_data[[#This Row],[Profit]]/clean_data[[#This Row],[Revenue]]</f>
        <v>0.5</v>
      </c>
      <c r="T393" t="str" cm="1">
        <f t="array" ref="T393">_xlfn.IFS(clean_data[[#This Row],[Revenue]]&lt;300000,"Small",
     clean_data[[#This Row],[Revenue]]&lt;700000,"Medium",
     TRUE,"Large")</f>
        <v>Small</v>
      </c>
      <c r="U393" t="str" cm="1">
        <f t="array" ref="U393">_xlfn.IFS(clean_data[[#This Row],[profit margin%]]&lt;0.5,"Low Profit",
     clean_data[[#This Row],[profit margin%]]&lt;0.6,"Medium Profit",
     TRUE,"High Profit")</f>
        <v>Medium Profit</v>
      </c>
      <c r="V393" t="str">
        <f>TEXT(clean_data[[#This Row],[Date]],"mmm-yyyy")</f>
        <v>Nov-2024</v>
      </c>
      <c r="W393" s="8">
        <f>EOMONTH(clean_data[[#This Row],[Date]],-1)+1</f>
        <v>45597</v>
      </c>
    </row>
    <row r="394" spans="1:23" x14ac:dyDescent="0.3">
      <c r="A394" t="s">
        <v>466</v>
      </c>
      <c r="B394" s="1">
        <v>44838</v>
      </c>
      <c r="C394" t="s">
        <v>26</v>
      </c>
      <c r="D394" t="s">
        <v>27</v>
      </c>
      <c r="E394" t="s">
        <v>38</v>
      </c>
      <c r="F394" t="s">
        <v>65</v>
      </c>
      <c r="G394" t="s">
        <v>79</v>
      </c>
      <c r="H394">
        <v>36</v>
      </c>
      <c r="I394">
        <v>900</v>
      </c>
      <c r="J394">
        <v>0</v>
      </c>
      <c r="K394">
        <v>32400</v>
      </c>
      <c r="L394">
        <v>14580</v>
      </c>
      <c r="M394">
        <v>17820</v>
      </c>
      <c r="N394" t="s">
        <v>30</v>
      </c>
      <c r="O394" t="s">
        <v>50</v>
      </c>
      <c r="P394" t="s">
        <v>24</v>
      </c>
      <c r="Q394" t="str">
        <f>TEXT(clean_data[[#This Row],[Date]],"mmm")</f>
        <v>Oct</v>
      </c>
      <c r="R394">
        <f>YEAR(clean_data[[#This Row],[Date]])</f>
        <v>2022</v>
      </c>
      <c r="S394" s="2">
        <f>clean_data[[#This Row],[Profit]]/clean_data[[#This Row],[Revenue]]</f>
        <v>0.55000000000000004</v>
      </c>
      <c r="T394" t="str" cm="1">
        <f t="array" ref="T394">_xlfn.IFS(clean_data[[#This Row],[Revenue]]&lt;300000,"Small",
     clean_data[[#This Row],[Revenue]]&lt;700000,"Medium",
     TRUE,"Large")</f>
        <v>Small</v>
      </c>
      <c r="U394" t="str" cm="1">
        <f t="array" ref="U394">_xlfn.IFS(clean_data[[#This Row],[profit margin%]]&lt;0.5,"Low Profit",
     clean_data[[#This Row],[profit margin%]]&lt;0.6,"Medium Profit",
     TRUE,"High Profit")</f>
        <v>Medium Profit</v>
      </c>
      <c r="V394" t="str">
        <f>TEXT(clean_data[[#This Row],[Date]],"mmm-yyyy")</f>
        <v>Oct-2022</v>
      </c>
      <c r="W394" s="8">
        <f>EOMONTH(clean_data[[#This Row],[Date]],-1)+1</f>
        <v>44835</v>
      </c>
    </row>
    <row r="395" spans="1:23" x14ac:dyDescent="0.3">
      <c r="A395" t="s">
        <v>467</v>
      </c>
      <c r="B395" s="1">
        <v>44971</v>
      </c>
      <c r="C395" t="s">
        <v>46</v>
      </c>
      <c r="D395" t="s">
        <v>47</v>
      </c>
      <c r="E395" t="s">
        <v>78</v>
      </c>
      <c r="F395" t="s">
        <v>20</v>
      </c>
      <c r="G395" t="s">
        <v>53</v>
      </c>
      <c r="H395">
        <v>17</v>
      </c>
      <c r="I395">
        <v>600</v>
      </c>
      <c r="J395">
        <v>5</v>
      </c>
      <c r="K395">
        <v>9690</v>
      </c>
      <c r="L395">
        <v>3876</v>
      </c>
      <c r="M395">
        <v>5814</v>
      </c>
      <c r="N395" t="s">
        <v>30</v>
      </c>
      <c r="O395" t="s">
        <v>67</v>
      </c>
      <c r="P395" t="s">
        <v>24</v>
      </c>
      <c r="Q395" t="str">
        <f>TEXT(clean_data[[#This Row],[Date]],"mmm")</f>
        <v>Feb</v>
      </c>
      <c r="R395">
        <f>YEAR(clean_data[[#This Row],[Date]])</f>
        <v>2023</v>
      </c>
      <c r="S395" s="2">
        <f>clean_data[[#This Row],[Profit]]/clean_data[[#This Row],[Revenue]]</f>
        <v>0.6</v>
      </c>
      <c r="T395" t="str" cm="1">
        <f t="array" ref="T395">_xlfn.IFS(clean_data[[#This Row],[Revenue]]&lt;300000,"Small",
     clean_data[[#This Row],[Revenue]]&lt;700000,"Medium",
     TRUE,"Large")</f>
        <v>Small</v>
      </c>
      <c r="U395" t="str" cm="1">
        <f t="array" ref="U395">_xlfn.IFS(clean_data[[#This Row],[profit margin%]]&lt;0.5,"Low Profit",
     clean_data[[#This Row],[profit margin%]]&lt;0.6,"Medium Profit",
     TRUE,"High Profit")</f>
        <v>High Profit</v>
      </c>
      <c r="V395" t="str">
        <f>TEXT(clean_data[[#This Row],[Date]],"mmm-yyyy")</f>
        <v>Feb-2023</v>
      </c>
      <c r="W395" s="8">
        <f>EOMONTH(clean_data[[#This Row],[Date]],-1)+1</f>
        <v>44958</v>
      </c>
    </row>
    <row r="396" spans="1:23" x14ac:dyDescent="0.3">
      <c r="A396" t="s">
        <v>468</v>
      </c>
      <c r="B396" s="1">
        <v>44679</v>
      </c>
      <c r="C396" t="s">
        <v>58</v>
      </c>
      <c r="D396" t="s">
        <v>64</v>
      </c>
      <c r="E396" t="s">
        <v>111</v>
      </c>
      <c r="F396" t="s">
        <v>28</v>
      </c>
      <c r="G396" t="s">
        <v>71</v>
      </c>
      <c r="H396">
        <v>43</v>
      </c>
      <c r="I396">
        <v>35000</v>
      </c>
      <c r="J396">
        <v>0</v>
      </c>
      <c r="K396">
        <v>1505000</v>
      </c>
      <c r="L396">
        <v>827750</v>
      </c>
      <c r="M396">
        <v>677250</v>
      </c>
      <c r="N396" t="s">
        <v>30</v>
      </c>
      <c r="O396" t="s">
        <v>44</v>
      </c>
      <c r="P396" t="s">
        <v>24</v>
      </c>
      <c r="Q396" t="str">
        <f>TEXT(clean_data[[#This Row],[Date]],"mmm")</f>
        <v>Apr</v>
      </c>
      <c r="R396">
        <f>YEAR(clean_data[[#This Row],[Date]])</f>
        <v>2022</v>
      </c>
      <c r="S396" s="2">
        <f>clean_data[[#This Row],[Profit]]/clean_data[[#This Row],[Revenue]]</f>
        <v>0.45</v>
      </c>
      <c r="T396" t="str" cm="1">
        <f t="array" ref="T396">_xlfn.IFS(clean_data[[#This Row],[Revenue]]&lt;300000,"Small",
     clean_data[[#This Row],[Revenue]]&lt;700000,"Medium",
     TRUE,"Large")</f>
        <v>Large</v>
      </c>
      <c r="U396" t="str" cm="1">
        <f t="array" ref="U396">_xlfn.IFS(clean_data[[#This Row],[profit margin%]]&lt;0.5,"Low Profit",
     clean_data[[#This Row],[profit margin%]]&lt;0.6,"Medium Profit",
     TRUE,"High Profit")</f>
        <v>Low Profit</v>
      </c>
      <c r="V396" t="str">
        <f>TEXT(clean_data[[#This Row],[Date]],"mmm-yyyy")</f>
        <v>Apr-2022</v>
      </c>
      <c r="W396" s="8">
        <f>EOMONTH(clean_data[[#This Row],[Date]],-1)+1</f>
        <v>44652</v>
      </c>
    </row>
    <row r="397" spans="1:23" x14ac:dyDescent="0.3">
      <c r="A397" t="s">
        <v>469</v>
      </c>
      <c r="B397" s="1">
        <v>45515</v>
      </c>
      <c r="C397" t="s">
        <v>17</v>
      </c>
      <c r="D397" t="s">
        <v>18</v>
      </c>
      <c r="E397" t="s">
        <v>19</v>
      </c>
      <c r="F397" t="s">
        <v>28</v>
      </c>
      <c r="G397" t="s">
        <v>71</v>
      </c>
      <c r="H397">
        <v>40</v>
      </c>
      <c r="I397">
        <v>35000</v>
      </c>
      <c r="J397">
        <v>0</v>
      </c>
      <c r="K397">
        <v>1400000</v>
      </c>
      <c r="L397">
        <v>770000</v>
      </c>
      <c r="M397">
        <v>630000</v>
      </c>
      <c r="N397" t="s">
        <v>49</v>
      </c>
      <c r="O397" t="s">
        <v>23</v>
      </c>
      <c r="P397" t="s">
        <v>24</v>
      </c>
      <c r="Q397" t="str">
        <f>TEXT(clean_data[[#This Row],[Date]],"mmm")</f>
        <v>Aug</v>
      </c>
      <c r="R397">
        <f>YEAR(clean_data[[#This Row],[Date]])</f>
        <v>2024</v>
      </c>
      <c r="S397" s="2">
        <f>clean_data[[#This Row],[Profit]]/clean_data[[#This Row],[Revenue]]</f>
        <v>0.45</v>
      </c>
      <c r="T397" t="str" cm="1">
        <f t="array" ref="T397">_xlfn.IFS(clean_data[[#This Row],[Revenue]]&lt;300000,"Small",
     clean_data[[#This Row],[Revenue]]&lt;700000,"Medium",
     TRUE,"Large")</f>
        <v>Large</v>
      </c>
      <c r="U397" t="str" cm="1">
        <f t="array" ref="U397">_xlfn.IFS(clean_data[[#This Row],[profit margin%]]&lt;0.5,"Low Profit",
     clean_data[[#This Row],[profit margin%]]&lt;0.6,"Medium Profit",
     TRUE,"High Profit")</f>
        <v>Low Profit</v>
      </c>
      <c r="V397" t="str">
        <f>TEXT(clean_data[[#This Row],[Date]],"mmm-yyyy")</f>
        <v>Aug-2024</v>
      </c>
      <c r="W397" s="8">
        <f>EOMONTH(clean_data[[#This Row],[Date]],-1)+1</f>
        <v>45505</v>
      </c>
    </row>
    <row r="398" spans="1:23" x14ac:dyDescent="0.3">
      <c r="A398" t="s">
        <v>470</v>
      </c>
      <c r="B398" s="1">
        <v>45423</v>
      </c>
      <c r="C398" t="s">
        <v>17</v>
      </c>
      <c r="D398" t="s">
        <v>42</v>
      </c>
      <c r="E398" t="s">
        <v>38</v>
      </c>
      <c r="F398" t="s">
        <v>20</v>
      </c>
      <c r="G398" t="s">
        <v>53</v>
      </c>
      <c r="H398">
        <v>37</v>
      </c>
      <c r="I398">
        <v>600</v>
      </c>
      <c r="J398">
        <v>10</v>
      </c>
      <c r="K398">
        <v>19980</v>
      </c>
      <c r="L398">
        <v>7992</v>
      </c>
      <c r="M398">
        <v>11988</v>
      </c>
      <c r="N398" t="s">
        <v>49</v>
      </c>
      <c r="O398" t="s">
        <v>44</v>
      </c>
      <c r="P398" t="s">
        <v>24</v>
      </c>
      <c r="Q398" t="str">
        <f>TEXT(clean_data[[#This Row],[Date]],"mmm")</f>
        <v>May</v>
      </c>
      <c r="R398">
        <f>YEAR(clean_data[[#This Row],[Date]])</f>
        <v>2024</v>
      </c>
      <c r="S398" s="2">
        <f>clean_data[[#This Row],[Profit]]/clean_data[[#This Row],[Revenue]]</f>
        <v>0.6</v>
      </c>
      <c r="T398" t="str" cm="1">
        <f t="array" ref="T398">_xlfn.IFS(clean_data[[#This Row],[Revenue]]&lt;300000,"Small",
     clean_data[[#This Row],[Revenue]]&lt;700000,"Medium",
     TRUE,"Large")</f>
        <v>Small</v>
      </c>
      <c r="U398" t="str" cm="1">
        <f t="array" ref="U398">_xlfn.IFS(clean_data[[#This Row],[profit margin%]]&lt;0.5,"Low Profit",
     clean_data[[#This Row],[profit margin%]]&lt;0.6,"Medium Profit",
     TRUE,"High Profit")</f>
        <v>High Profit</v>
      </c>
      <c r="V398" t="str">
        <f>TEXT(clean_data[[#This Row],[Date]],"mmm-yyyy")</f>
        <v>May-2024</v>
      </c>
      <c r="W398" s="8">
        <f>EOMONTH(clean_data[[#This Row],[Date]],-1)+1</f>
        <v>45413</v>
      </c>
    </row>
    <row r="399" spans="1:23" x14ac:dyDescent="0.3">
      <c r="A399" t="s">
        <v>471</v>
      </c>
      <c r="B399" s="1">
        <v>44572</v>
      </c>
      <c r="C399" t="s">
        <v>46</v>
      </c>
      <c r="D399" t="s">
        <v>47</v>
      </c>
      <c r="E399" t="s">
        <v>32</v>
      </c>
      <c r="F399" t="s">
        <v>33</v>
      </c>
      <c r="G399" t="s">
        <v>34</v>
      </c>
      <c r="H399">
        <v>9</v>
      </c>
      <c r="I399">
        <v>25000</v>
      </c>
      <c r="J399">
        <v>10</v>
      </c>
      <c r="K399">
        <v>202500</v>
      </c>
      <c r="L399">
        <v>101250</v>
      </c>
      <c r="M399">
        <v>101250</v>
      </c>
      <c r="N399" t="s">
        <v>49</v>
      </c>
      <c r="O399" t="s">
        <v>23</v>
      </c>
      <c r="P399" t="s">
        <v>24</v>
      </c>
      <c r="Q399" t="str">
        <f>TEXT(clean_data[[#This Row],[Date]],"mmm")</f>
        <v>Jan</v>
      </c>
      <c r="R399">
        <f>YEAR(clean_data[[#This Row],[Date]])</f>
        <v>2022</v>
      </c>
      <c r="S399" s="2">
        <f>clean_data[[#This Row],[Profit]]/clean_data[[#This Row],[Revenue]]</f>
        <v>0.5</v>
      </c>
      <c r="T399" t="str" cm="1">
        <f t="array" ref="T399">_xlfn.IFS(clean_data[[#This Row],[Revenue]]&lt;300000,"Small",
     clean_data[[#This Row],[Revenue]]&lt;700000,"Medium",
     TRUE,"Large")</f>
        <v>Small</v>
      </c>
      <c r="U399" t="str" cm="1">
        <f t="array" ref="U399">_xlfn.IFS(clean_data[[#This Row],[profit margin%]]&lt;0.5,"Low Profit",
     clean_data[[#This Row],[profit margin%]]&lt;0.6,"Medium Profit",
     TRUE,"High Profit")</f>
        <v>Medium Profit</v>
      </c>
      <c r="V399" t="str">
        <f>TEXT(clean_data[[#This Row],[Date]],"mmm-yyyy")</f>
        <v>Jan-2022</v>
      </c>
      <c r="W399" s="8">
        <f>EOMONTH(clean_data[[#This Row],[Date]],-1)+1</f>
        <v>44562</v>
      </c>
    </row>
    <row r="400" spans="1:23" x14ac:dyDescent="0.3">
      <c r="A400" t="s">
        <v>472</v>
      </c>
      <c r="B400" s="1">
        <v>45255</v>
      </c>
      <c r="C400" t="s">
        <v>17</v>
      </c>
      <c r="D400" t="s">
        <v>37</v>
      </c>
      <c r="E400" t="s">
        <v>111</v>
      </c>
      <c r="F400" t="s">
        <v>28</v>
      </c>
      <c r="G400" t="s">
        <v>87</v>
      </c>
      <c r="H400">
        <v>42</v>
      </c>
      <c r="I400">
        <v>45000</v>
      </c>
      <c r="J400">
        <v>20</v>
      </c>
      <c r="K400">
        <v>1512000</v>
      </c>
      <c r="L400">
        <v>831600</v>
      </c>
      <c r="M400">
        <v>680400</v>
      </c>
      <c r="N400" t="s">
        <v>49</v>
      </c>
      <c r="O400" t="s">
        <v>44</v>
      </c>
      <c r="P400" t="s">
        <v>24</v>
      </c>
      <c r="Q400" t="str">
        <f>TEXT(clean_data[[#This Row],[Date]],"mmm")</f>
        <v>Nov</v>
      </c>
      <c r="R400">
        <f>YEAR(clean_data[[#This Row],[Date]])</f>
        <v>2023</v>
      </c>
      <c r="S400" s="2">
        <f>clean_data[[#This Row],[Profit]]/clean_data[[#This Row],[Revenue]]</f>
        <v>0.45</v>
      </c>
      <c r="T400" t="str" cm="1">
        <f t="array" ref="T400">_xlfn.IFS(clean_data[[#This Row],[Revenue]]&lt;300000,"Small",
     clean_data[[#This Row],[Revenue]]&lt;700000,"Medium",
     TRUE,"Large")</f>
        <v>Large</v>
      </c>
      <c r="U400" t="str" cm="1">
        <f t="array" ref="U400">_xlfn.IFS(clean_data[[#This Row],[profit margin%]]&lt;0.5,"Low Profit",
     clean_data[[#This Row],[profit margin%]]&lt;0.6,"Medium Profit",
     TRUE,"High Profit")</f>
        <v>Low Profit</v>
      </c>
      <c r="V400" t="str">
        <f>TEXT(clean_data[[#This Row],[Date]],"mmm-yyyy")</f>
        <v>Nov-2023</v>
      </c>
      <c r="W400" s="8">
        <f>EOMONTH(clean_data[[#This Row],[Date]],-1)+1</f>
        <v>45231</v>
      </c>
    </row>
    <row r="401" spans="1:23" x14ac:dyDescent="0.3">
      <c r="A401" t="s">
        <v>473</v>
      </c>
      <c r="B401" s="1">
        <v>45603</v>
      </c>
      <c r="C401" t="s">
        <v>17</v>
      </c>
      <c r="D401" t="s">
        <v>42</v>
      </c>
      <c r="E401" t="s">
        <v>52</v>
      </c>
      <c r="F401" t="s">
        <v>28</v>
      </c>
      <c r="G401" t="s">
        <v>95</v>
      </c>
      <c r="H401">
        <v>33</v>
      </c>
      <c r="I401">
        <v>75000</v>
      </c>
      <c r="J401">
        <v>0</v>
      </c>
      <c r="K401">
        <v>2475000</v>
      </c>
      <c r="L401">
        <v>1361250</v>
      </c>
      <c r="M401">
        <v>1113750</v>
      </c>
      <c r="N401" t="s">
        <v>22</v>
      </c>
      <c r="O401" t="s">
        <v>23</v>
      </c>
      <c r="P401" t="s">
        <v>40</v>
      </c>
      <c r="Q401" t="str">
        <f>TEXT(clean_data[[#This Row],[Date]],"mmm")</f>
        <v>Nov</v>
      </c>
      <c r="R401">
        <f>YEAR(clean_data[[#This Row],[Date]])</f>
        <v>2024</v>
      </c>
      <c r="S401" s="2">
        <f>clean_data[[#This Row],[Profit]]/clean_data[[#This Row],[Revenue]]</f>
        <v>0.45</v>
      </c>
      <c r="T401" t="str" cm="1">
        <f t="array" ref="T401">_xlfn.IFS(clean_data[[#This Row],[Revenue]]&lt;300000,"Small",
     clean_data[[#This Row],[Revenue]]&lt;700000,"Medium",
     TRUE,"Large")</f>
        <v>Large</v>
      </c>
      <c r="U401" t="str" cm="1">
        <f t="array" ref="U401">_xlfn.IFS(clean_data[[#This Row],[profit margin%]]&lt;0.5,"Low Profit",
     clean_data[[#This Row],[profit margin%]]&lt;0.6,"Medium Profit",
     TRUE,"High Profit")</f>
        <v>Low Profit</v>
      </c>
      <c r="V401" t="str">
        <f>TEXT(clean_data[[#This Row],[Date]],"mmm-yyyy")</f>
        <v>Nov-2024</v>
      </c>
      <c r="W401" s="8">
        <f>EOMONTH(clean_data[[#This Row],[Date]],-1)+1</f>
        <v>45597</v>
      </c>
    </row>
    <row r="402" spans="1:23" x14ac:dyDescent="0.3">
      <c r="A402" t="s">
        <v>474</v>
      </c>
      <c r="B402" s="1">
        <v>44959</v>
      </c>
      <c r="C402" t="s">
        <v>17</v>
      </c>
      <c r="D402" t="s">
        <v>42</v>
      </c>
      <c r="E402" t="s">
        <v>111</v>
      </c>
      <c r="F402" t="s">
        <v>65</v>
      </c>
      <c r="G402" t="s">
        <v>104</v>
      </c>
      <c r="H402">
        <v>24</v>
      </c>
      <c r="I402">
        <v>3000</v>
      </c>
      <c r="J402">
        <v>15</v>
      </c>
      <c r="K402">
        <v>61200</v>
      </c>
      <c r="L402">
        <v>27540</v>
      </c>
      <c r="M402">
        <v>33660</v>
      </c>
      <c r="N402" t="s">
        <v>22</v>
      </c>
      <c r="O402" t="s">
        <v>50</v>
      </c>
      <c r="P402" t="s">
        <v>24</v>
      </c>
      <c r="Q402" t="str">
        <f>TEXT(clean_data[[#This Row],[Date]],"mmm")</f>
        <v>Feb</v>
      </c>
      <c r="R402">
        <f>YEAR(clean_data[[#This Row],[Date]])</f>
        <v>2023</v>
      </c>
      <c r="S402" s="2">
        <f>clean_data[[#This Row],[Profit]]/clean_data[[#This Row],[Revenue]]</f>
        <v>0.55000000000000004</v>
      </c>
      <c r="T402" t="str" cm="1">
        <f t="array" ref="T402">_xlfn.IFS(clean_data[[#This Row],[Revenue]]&lt;300000,"Small",
     clean_data[[#This Row],[Revenue]]&lt;700000,"Medium",
     TRUE,"Large")</f>
        <v>Small</v>
      </c>
      <c r="U402" t="str" cm="1">
        <f t="array" ref="U402">_xlfn.IFS(clean_data[[#This Row],[profit margin%]]&lt;0.5,"Low Profit",
     clean_data[[#This Row],[profit margin%]]&lt;0.6,"Medium Profit",
     TRUE,"High Profit")</f>
        <v>Medium Profit</v>
      </c>
      <c r="V402" t="str">
        <f>TEXT(clean_data[[#This Row],[Date]],"mmm-yyyy")</f>
        <v>Feb-2023</v>
      </c>
      <c r="W402" s="8">
        <f>EOMONTH(clean_data[[#This Row],[Date]],-1)+1</f>
        <v>44958</v>
      </c>
    </row>
    <row r="403" spans="1:23" x14ac:dyDescent="0.3">
      <c r="A403" t="s">
        <v>475</v>
      </c>
      <c r="B403" s="1">
        <v>44819</v>
      </c>
      <c r="C403" t="s">
        <v>26</v>
      </c>
      <c r="D403" t="s">
        <v>69</v>
      </c>
      <c r="E403" t="s">
        <v>70</v>
      </c>
      <c r="F403" t="s">
        <v>28</v>
      </c>
      <c r="G403" t="s">
        <v>87</v>
      </c>
      <c r="H403">
        <v>40</v>
      </c>
      <c r="I403">
        <v>45000</v>
      </c>
      <c r="J403">
        <v>5</v>
      </c>
      <c r="K403">
        <v>1710000</v>
      </c>
      <c r="L403">
        <v>940500</v>
      </c>
      <c r="M403">
        <v>769500</v>
      </c>
      <c r="N403" t="s">
        <v>30</v>
      </c>
      <c r="O403" t="s">
        <v>23</v>
      </c>
      <c r="P403" t="s">
        <v>40</v>
      </c>
      <c r="Q403" t="str">
        <f>TEXT(clean_data[[#This Row],[Date]],"mmm")</f>
        <v>Sep</v>
      </c>
      <c r="R403">
        <f>YEAR(clean_data[[#This Row],[Date]])</f>
        <v>2022</v>
      </c>
      <c r="S403" s="2">
        <f>clean_data[[#This Row],[Profit]]/clean_data[[#This Row],[Revenue]]</f>
        <v>0.45</v>
      </c>
      <c r="T403" t="str" cm="1">
        <f t="array" ref="T403">_xlfn.IFS(clean_data[[#This Row],[Revenue]]&lt;300000,"Small",
     clean_data[[#This Row],[Revenue]]&lt;700000,"Medium",
     TRUE,"Large")</f>
        <v>Large</v>
      </c>
      <c r="U403" t="str" cm="1">
        <f t="array" ref="U403">_xlfn.IFS(clean_data[[#This Row],[profit margin%]]&lt;0.5,"Low Profit",
     clean_data[[#This Row],[profit margin%]]&lt;0.6,"Medium Profit",
     TRUE,"High Profit")</f>
        <v>Low Profit</v>
      </c>
      <c r="V403" t="str">
        <f>TEXT(clean_data[[#This Row],[Date]],"mmm-yyyy")</f>
        <v>Sep-2022</v>
      </c>
      <c r="W403" s="8">
        <f>EOMONTH(clean_data[[#This Row],[Date]],-1)+1</f>
        <v>44805</v>
      </c>
    </row>
    <row r="404" spans="1:23" x14ac:dyDescent="0.3">
      <c r="A404" t="s">
        <v>476</v>
      </c>
      <c r="B404" s="1">
        <v>44871</v>
      </c>
      <c r="C404" t="s">
        <v>46</v>
      </c>
      <c r="D404" t="s">
        <v>55</v>
      </c>
      <c r="E404" t="s">
        <v>70</v>
      </c>
      <c r="F404" t="s">
        <v>28</v>
      </c>
      <c r="G404" t="s">
        <v>87</v>
      </c>
      <c r="H404">
        <v>49</v>
      </c>
      <c r="I404">
        <v>45000</v>
      </c>
      <c r="J404">
        <v>15</v>
      </c>
      <c r="K404">
        <v>1874250</v>
      </c>
      <c r="L404">
        <v>1030837.5</v>
      </c>
      <c r="M404">
        <v>843412.5</v>
      </c>
      <c r="N404" t="s">
        <v>30</v>
      </c>
      <c r="O404" t="s">
        <v>50</v>
      </c>
      <c r="P404" t="s">
        <v>24</v>
      </c>
      <c r="Q404" t="str">
        <f>TEXT(clean_data[[#This Row],[Date]],"mmm")</f>
        <v>Nov</v>
      </c>
      <c r="R404">
        <f>YEAR(clean_data[[#This Row],[Date]])</f>
        <v>2022</v>
      </c>
      <c r="S404" s="2">
        <f>clean_data[[#This Row],[Profit]]/clean_data[[#This Row],[Revenue]]</f>
        <v>0.45</v>
      </c>
      <c r="T404" t="str" cm="1">
        <f t="array" ref="T404">_xlfn.IFS(clean_data[[#This Row],[Revenue]]&lt;300000,"Small",
     clean_data[[#This Row],[Revenue]]&lt;700000,"Medium",
     TRUE,"Large")</f>
        <v>Large</v>
      </c>
      <c r="U404" t="str" cm="1">
        <f t="array" ref="U404">_xlfn.IFS(clean_data[[#This Row],[profit margin%]]&lt;0.5,"Low Profit",
     clean_data[[#This Row],[profit margin%]]&lt;0.6,"Medium Profit",
     TRUE,"High Profit")</f>
        <v>Low Profit</v>
      </c>
      <c r="V404" t="str">
        <f>TEXT(clean_data[[#This Row],[Date]],"mmm-yyyy")</f>
        <v>Nov-2022</v>
      </c>
      <c r="W404" s="8">
        <f>EOMONTH(clean_data[[#This Row],[Date]],-1)+1</f>
        <v>44866</v>
      </c>
    </row>
    <row r="405" spans="1:23" x14ac:dyDescent="0.3">
      <c r="A405" t="s">
        <v>477</v>
      </c>
      <c r="B405" s="1">
        <v>45268</v>
      </c>
      <c r="C405" t="s">
        <v>26</v>
      </c>
      <c r="D405" t="s">
        <v>27</v>
      </c>
      <c r="E405" t="s">
        <v>111</v>
      </c>
      <c r="F405" t="s">
        <v>33</v>
      </c>
      <c r="G405" t="s">
        <v>48</v>
      </c>
      <c r="H405">
        <v>31</v>
      </c>
      <c r="I405">
        <v>1500</v>
      </c>
      <c r="J405">
        <v>15</v>
      </c>
      <c r="K405">
        <v>39525</v>
      </c>
      <c r="L405">
        <v>19762.5</v>
      </c>
      <c r="M405">
        <v>19762.5</v>
      </c>
      <c r="N405" t="s">
        <v>30</v>
      </c>
      <c r="O405" t="s">
        <v>50</v>
      </c>
      <c r="P405" t="s">
        <v>24</v>
      </c>
      <c r="Q405" t="str">
        <f>TEXT(clean_data[[#This Row],[Date]],"mmm")</f>
        <v>Dec</v>
      </c>
      <c r="R405">
        <f>YEAR(clean_data[[#This Row],[Date]])</f>
        <v>2023</v>
      </c>
      <c r="S405" s="2">
        <f>clean_data[[#This Row],[Profit]]/clean_data[[#This Row],[Revenue]]</f>
        <v>0.5</v>
      </c>
      <c r="T405" t="str" cm="1">
        <f t="array" ref="T405">_xlfn.IFS(clean_data[[#This Row],[Revenue]]&lt;300000,"Small",
     clean_data[[#This Row],[Revenue]]&lt;700000,"Medium",
     TRUE,"Large")</f>
        <v>Small</v>
      </c>
      <c r="U405" t="str" cm="1">
        <f t="array" ref="U405">_xlfn.IFS(clean_data[[#This Row],[profit margin%]]&lt;0.5,"Low Profit",
     clean_data[[#This Row],[profit margin%]]&lt;0.6,"Medium Profit",
     TRUE,"High Profit")</f>
        <v>Medium Profit</v>
      </c>
      <c r="V405" t="str">
        <f>TEXT(clean_data[[#This Row],[Date]],"mmm-yyyy")</f>
        <v>Dec-2023</v>
      </c>
      <c r="W405" s="8">
        <f>EOMONTH(clean_data[[#This Row],[Date]],-1)+1</f>
        <v>45261</v>
      </c>
    </row>
    <row r="406" spans="1:23" x14ac:dyDescent="0.3">
      <c r="A406" t="s">
        <v>478</v>
      </c>
      <c r="B406" s="1">
        <v>44765</v>
      </c>
      <c r="C406" t="s">
        <v>17</v>
      </c>
      <c r="D406" t="s">
        <v>42</v>
      </c>
      <c r="E406" t="s">
        <v>73</v>
      </c>
      <c r="F406" t="s">
        <v>20</v>
      </c>
      <c r="G406" t="s">
        <v>115</v>
      </c>
      <c r="H406">
        <v>42</v>
      </c>
      <c r="I406">
        <v>2500</v>
      </c>
      <c r="J406">
        <v>15</v>
      </c>
      <c r="K406">
        <v>89250</v>
      </c>
      <c r="L406">
        <v>35700</v>
      </c>
      <c r="M406">
        <v>53550</v>
      </c>
      <c r="N406" t="s">
        <v>22</v>
      </c>
      <c r="O406" t="s">
        <v>35</v>
      </c>
      <c r="P406" t="s">
        <v>24</v>
      </c>
      <c r="Q406" t="str">
        <f>TEXT(clean_data[[#This Row],[Date]],"mmm")</f>
        <v>Jul</v>
      </c>
      <c r="R406">
        <f>YEAR(clean_data[[#This Row],[Date]])</f>
        <v>2022</v>
      </c>
      <c r="S406" s="2">
        <f>clean_data[[#This Row],[Profit]]/clean_data[[#This Row],[Revenue]]</f>
        <v>0.6</v>
      </c>
      <c r="T406" t="str" cm="1">
        <f t="array" ref="T406">_xlfn.IFS(clean_data[[#This Row],[Revenue]]&lt;300000,"Small",
     clean_data[[#This Row],[Revenue]]&lt;700000,"Medium",
     TRUE,"Large")</f>
        <v>Small</v>
      </c>
      <c r="U406" t="str" cm="1">
        <f t="array" ref="U406">_xlfn.IFS(clean_data[[#This Row],[profit margin%]]&lt;0.5,"Low Profit",
     clean_data[[#This Row],[profit margin%]]&lt;0.6,"Medium Profit",
     TRUE,"High Profit")</f>
        <v>High Profit</v>
      </c>
      <c r="V406" t="str">
        <f>TEXT(clean_data[[#This Row],[Date]],"mmm-yyyy")</f>
        <v>Jul-2022</v>
      </c>
      <c r="W406" s="8">
        <f>EOMONTH(clean_data[[#This Row],[Date]],-1)+1</f>
        <v>44743</v>
      </c>
    </row>
    <row r="407" spans="1:23" x14ac:dyDescent="0.3">
      <c r="A407" t="s">
        <v>479</v>
      </c>
      <c r="B407" s="1">
        <v>45574</v>
      </c>
      <c r="C407" t="s">
        <v>58</v>
      </c>
      <c r="D407" t="s">
        <v>84</v>
      </c>
      <c r="E407" t="s">
        <v>111</v>
      </c>
      <c r="F407" t="s">
        <v>65</v>
      </c>
      <c r="G407" t="s">
        <v>124</v>
      </c>
      <c r="H407">
        <v>23</v>
      </c>
      <c r="I407">
        <v>18000</v>
      </c>
      <c r="J407">
        <v>15</v>
      </c>
      <c r="K407">
        <v>351900</v>
      </c>
      <c r="L407">
        <v>158355</v>
      </c>
      <c r="M407">
        <v>193545</v>
      </c>
      <c r="N407" t="s">
        <v>22</v>
      </c>
      <c r="O407" t="s">
        <v>35</v>
      </c>
      <c r="P407" t="s">
        <v>24</v>
      </c>
      <c r="Q407" t="str">
        <f>TEXT(clean_data[[#This Row],[Date]],"mmm")</f>
        <v>Oct</v>
      </c>
      <c r="R407">
        <f>YEAR(clean_data[[#This Row],[Date]])</f>
        <v>2024</v>
      </c>
      <c r="S407" s="2">
        <f>clean_data[[#This Row],[Profit]]/clean_data[[#This Row],[Revenue]]</f>
        <v>0.55000000000000004</v>
      </c>
      <c r="T407" t="str" cm="1">
        <f t="array" ref="T407">_xlfn.IFS(clean_data[[#This Row],[Revenue]]&lt;300000,"Small",
     clean_data[[#This Row],[Revenue]]&lt;700000,"Medium",
     TRUE,"Large")</f>
        <v>Medium</v>
      </c>
      <c r="U407" t="str" cm="1">
        <f t="array" ref="U407">_xlfn.IFS(clean_data[[#This Row],[profit margin%]]&lt;0.5,"Low Profit",
     clean_data[[#This Row],[profit margin%]]&lt;0.6,"Medium Profit",
     TRUE,"High Profit")</f>
        <v>Medium Profit</v>
      </c>
      <c r="V407" t="str">
        <f>TEXT(clean_data[[#This Row],[Date]],"mmm-yyyy")</f>
        <v>Oct-2024</v>
      </c>
      <c r="W407" s="8">
        <f>EOMONTH(clean_data[[#This Row],[Date]],-1)+1</f>
        <v>45566</v>
      </c>
    </row>
    <row r="408" spans="1:23" x14ac:dyDescent="0.3">
      <c r="A408" t="s">
        <v>480</v>
      </c>
      <c r="B408" s="1">
        <v>45540</v>
      </c>
      <c r="C408" t="s">
        <v>58</v>
      </c>
      <c r="D408" t="s">
        <v>84</v>
      </c>
      <c r="E408" t="s">
        <v>19</v>
      </c>
      <c r="F408" t="s">
        <v>28</v>
      </c>
      <c r="G408" t="s">
        <v>29</v>
      </c>
      <c r="H408">
        <v>42</v>
      </c>
      <c r="I408">
        <v>15000</v>
      </c>
      <c r="J408">
        <v>10</v>
      </c>
      <c r="K408">
        <v>567000</v>
      </c>
      <c r="L408">
        <v>311850</v>
      </c>
      <c r="M408">
        <v>255150</v>
      </c>
      <c r="N408" t="s">
        <v>30</v>
      </c>
      <c r="O408" t="s">
        <v>44</v>
      </c>
      <c r="P408" t="s">
        <v>24</v>
      </c>
      <c r="Q408" t="str">
        <f>TEXT(clean_data[[#This Row],[Date]],"mmm")</f>
        <v>Sep</v>
      </c>
      <c r="R408">
        <f>YEAR(clean_data[[#This Row],[Date]])</f>
        <v>2024</v>
      </c>
      <c r="S408" s="2">
        <f>clean_data[[#This Row],[Profit]]/clean_data[[#This Row],[Revenue]]</f>
        <v>0.45</v>
      </c>
      <c r="T408" t="str" cm="1">
        <f t="array" ref="T408">_xlfn.IFS(clean_data[[#This Row],[Revenue]]&lt;300000,"Small",
     clean_data[[#This Row],[Revenue]]&lt;700000,"Medium",
     TRUE,"Large")</f>
        <v>Medium</v>
      </c>
      <c r="U408" t="str" cm="1">
        <f t="array" ref="U408">_xlfn.IFS(clean_data[[#This Row],[profit margin%]]&lt;0.5,"Low Profit",
     clean_data[[#This Row],[profit margin%]]&lt;0.6,"Medium Profit",
     TRUE,"High Profit")</f>
        <v>Low Profit</v>
      </c>
      <c r="V408" t="str">
        <f>TEXT(clean_data[[#This Row],[Date]],"mmm-yyyy")</f>
        <v>Sep-2024</v>
      </c>
      <c r="W408" s="8">
        <f>EOMONTH(clean_data[[#This Row],[Date]],-1)+1</f>
        <v>45536</v>
      </c>
    </row>
    <row r="409" spans="1:23" x14ac:dyDescent="0.3">
      <c r="A409" t="s">
        <v>481</v>
      </c>
      <c r="B409" s="1">
        <v>44877</v>
      </c>
      <c r="C409" t="s">
        <v>26</v>
      </c>
      <c r="D409" t="s">
        <v>27</v>
      </c>
      <c r="E409" t="s">
        <v>32</v>
      </c>
      <c r="F409" t="s">
        <v>33</v>
      </c>
      <c r="G409" t="s">
        <v>39</v>
      </c>
      <c r="H409">
        <v>31</v>
      </c>
      <c r="I409">
        <v>5000</v>
      </c>
      <c r="J409">
        <v>15</v>
      </c>
      <c r="K409">
        <v>131750</v>
      </c>
      <c r="L409">
        <v>65875</v>
      </c>
      <c r="M409">
        <v>65875</v>
      </c>
      <c r="N409" t="s">
        <v>30</v>
      </c>
      <c r="O409" t="s">
        <v>67</v>
      </c>
      <c r="P409" t="s">
        <v>24</v>
      </c>
      <c r="Q409" t="str">
        <f>TEXT(clean_data[[#This Row],[Date]],"mmm")</f>
        <v>Nov</v>
      </c>
      <c r="R409">
        <f>YEAR(clean_data[[#This Row],[Date]])</f>
        <v>2022</v>
      </c>
      <c r="S409" s="2">
        <f>clean_data[[#This Row],[Profit]]/clean_data[[#This Row],[Revenue]]</f>
        <v>0.5</v>
      </c>
      <c r="T409" t="str" cm="1">
        <f t="array" ref="T409">_xlfn.IFS(clean_data[[#This Row],[Revenue]]&lt;300000,"Small",
     clean_data[[#This Row],[Revenue]]&lt;700000,"Medium",
     TRUE,"Large")</f>
        <v>Small</v>
      </c>
      <c r="U409" t="str" cm="1">
        <f t="array" ref="U409">_xlfn.IFS(clean_data[[#This Row],[profit margin%]]&lt;0.5,"Low Profit",
     clean_data[[#This Row],[profit margin%]]&lt;0.6,"Medium Profit",
     TRUE,"High Profit")</f>
        <v>Medium Profit</v>
      </c>
      <c r="V409" t="str">
        <f>TEXT(clean_data[[#This Row],[Date]],"mmm-yyyy")</f>
        <v>Nov-2022</v>
      </c>
      <c r="W409" s="8">
        <f>EOMONTH(clean_data[[#This Row],[Date]],-1)+1</f>
        <v>44866</v>
      </c>
    </row>
    <row r="410" spans="1:23" x14ac:dyDescent="0.3">
      <c r="A410" t="s">
        <v>482</v>
      </c>
      <c r="B410" s="1">
        <v>44886</v>
      </c>
      <c r="C410" t="s">
        <v>58</v>
      </c>
      <c r="D410" t="s">
        <v>84</v>
      </c>
      <c r="E410" t="s">
        <v>19</v>
      </c>
      <c r="F410" t="s">
        <v>28</v>
      </c>
      <c r="G410" t="s">
        <v>87</v>
      </c>
      <c r="H410">
        <v>37</v>
      </c>
      <c r="I410">
        <v>45000</v>
      </c>
      <c r="J410">
        <v>20</v>
      </c>
      <c r="K410">
        <v>1332000</v>
      </c>
      <c r="L410">
        <v>732600</v>
      </c>
      <c r="M410">
        <v>599400</v>
      </c>
      <c r="N410" t="s">
        <v>30</v>
      </c>
      <c r="O410" t="s">
        <v>67</v>
      </c>
      <c r="P410" t="s">
        <v>24</v>
      </c>
      <c r="Q410" t="str">
        <f>TEXT(clean_data[[#This Row],[Date]],"mmm")</f>
        <v>Nov</v>
      </c>
      <c r="R410">
        <f>YEAR(clean_data[[#This Row],[Date]])</f>
        <v>2022</v>
      </c>
      <c r="S410" s="2">
        <f>clean_data[[#This Row],[Profit]]/clean_data[[#This Row],[Revenue]]</f>
        <v>0.45</v>
      </c>
      <c r="T410" t="str" cm="1">
        <f t="array" ref="T410">_xlfn.IFS(clean_data[[#This Row],[Revenue]]&lt;300000,"Small",
     clean_data[[#This Row],[Revenue]]&lt;700000,"Medium",
     TRUE,"Large")</f>
        <v>Large</v>
      </c>
      <c r="U410" t="str" cm="1">
        <f t="array" ref="U410">_xlfn.IFS(clean_data[[#This Row],[profit margin%]]&lt;0.5,"Low Profit",
     clean_data[[#This Row],[profit margin%]]&lt;0.6,"Medium Profit",
     TRUE,"High Profit")</f>
        <v>Low Profit</v>
      </c>
      <c r="V410" t="str">
        <f>TEXT(clean_data[[#This Row],[Date]],"mmm-yyyy")</f>
        <v>Nov-2022</v>
      </c>
      <c r="W410" s="8">
        <f>EOMONTH(clean_data[[#This Row],[Date]],-1)+1</f>
        <v>44866</v>
      </c>
    </row>
    <row r="411" spans="1:23" x14ac:dyDescent="0.3">
      <c r="A411" t="s">
        <v>483</v>
      </c>
      <c r="B411" s="1">
        <v>44639</v>
      </c>
      <c r="C411" t="s">
        <v>46</v>
      </c>
      <c r="D411" t="s">
        <v>47</v>
      </c>
      <c r="E411" t="s">
        <v>78</v>
      </c>
      <c r="F411" t="s">
        <v>33</v>
      </c>
      <c r="G411" t="s">
        <v>76</v>
      </c>
      <c r="H411">
        <v>34</v>
      </c>
      <c r="I411">
        <v>8500</v>
      </c>
      <c r="J411">
        <v>15</v>
      </c>
      <c r="K411">
        <v>245650</v>
      </c>
      <c r="L411">
        <v>122825</v>
      </c>
      <c r="M411">
        <v>122825</v>
      </c>
      <c r="N411" t="s">
        <v>22</v>
      </c>
      <c r="O411" t="s">
        <v>35</v>
      </c>
      <c r="P411" t="s">
        <v>40</v>
      </c>
      <c r="Q411" t="str">
        <f>TEXT(clean_data[[#This Row],[Date]],"mmm")</f>
        <v>Mar</v>
      </c>
      <c r="R411">
        <f>YEAR(clean_data[[#This Row],[Date]])</f>
        <v>2022</v>
      </c>
      <c r="S411" s="2">
        <f>clean_data[[#This Row],[Profit]]/clean_data[[#This Row],[Revenue]]</f>
        <v>0.5</v>
      </c>
      <c r="T411" t="str" cm="1">
        <f t="array" ref="T411">_xlfn.IFS(clean_data[[#This Row],[Revenue]]&lt;300000,"Small",
     clean_data[[#This Row],[Revenue]]&lt;700000,"Medium",
     TRUE,"Large")</f>
        <v>Small</v>
      </c>
      <c r="U411" t="str" cm="1">
        <f t="array" ref="U411">_xlfn.IFS(clean_data[[#This Row],[profit margin%]]&lt;0.5,"Low Profit",
     clean_data[[#This Row],[profit margin%]]&lt;0.6,"Medium Profit",
     TRUE,"High Profit")</f>
        <v>Medium Profit</v>
      </c>
      <c r="V411" t="str">
        <f>TEXT(clean_data[[#This Row],[Date]],"mmm-yyyy")</f>
        <v>Mar-2022</v>
      </c>
      <c r="W411" s="8">
        <f>EOMONTH(clean_data[[#This Row],[Date]],-1)+1</f>
        <v>44621</v>
      </c>
    </row>
    <row r="412" spans="1:23" x14ac:dyDescent="0.3">
      <c r="A412" t="s">
        <v>484</v>
      </c>
      <c r="B412" s="1">
        <v>45110</v>
      </c>
      <c r="C412" t="s">
        <v>46</v>
      </c>
      <c r="D412" t="s">
        <v>55</v>
      </c>
      <c r="E412" t="s">
        <v>38</v>
      </c>
      <c r="F412" t="s">
        <v>65</v>
      </c>
      <c r="G412" t="s">
        <v>66</v>
      </c>
      <c r="H412">
        <v>11</v>
      </c>
      <c r="I412">
        <v>5500</v>
      </c>
      <c r="J412">
        <v>5</v>
      </c>
      <c r="K412">
        <v>57475</v>
      </c>
      <c r="L412">
        <v>25863.75</v>
      </c>
      <c r="M412">
        <v>31611.25</v>
      </c>
      <c r="N412" t="s">
        <v>22</v>
      </c>
      <c r="O412" t="s">
        <v>44</v>
      </c>
      <c r="P412" t="s">
        <v>24</v>
      </c>
      <c r="Q412" t="str">
        <f>TEXT(clean_data[[#This Row],[Date]],"mmm")</f>
        <v>Jul</v>
      </c>
      <c r="R412">
        <f>YEAR(clean_data[[#This Row],[Date]])</f>
        <v>2023</v>
      </c>
      <c r="S412" s="2">
        <f>clean_data[[#This Row],[Profit]]/clean_data[[#This Row],[Revenue]]</f>
        <v>0.55000000000000004</v>
      </c>
      <c r="T412" t="str" cm="1">
        <f t="array" ref="T412">_xlfn.IFS(clean_data[[#This Row],[Revenue]]&lt;300000,"Small",
     clean_data[[#This Row],[Revenue]]&lt;700000,"Medium",
     TRUE,"Large")</f>
        <v>Small</v>
      </c>
      <c r="U412" t="str" cm="1">
        <f t="array" ref="U412">_xlfn.IFS(clean_data[[#This Row],[profit margin%]]&lt;0.5,"Low Profit",
     clean_data[[#This Row],[profit margin%]]&lt;0.6,"Medium Profit",
     TRUE,"High Profit")</f>
        <v>Medium Profit</v>
      </c>
      <c r="V412" t="str">
        <f>TEXT(clean_data[[#This Row],[Date]],"mmm-yyyy")</f>
        <v>Jul-2023</v>
      </c>
      <c r="W412" s="8">
        <f>EOMONTH(clean_data[[#This Row],[Date]],-1)+1</f>
        <v>45108</v>
      </c>
    </row>
    <row r="413" spans="1:23" x14ac:dyDescent="0.3">
      <c r="A413" t="s">
        <v>485</v>
      </c>
      <c r="B413" s="1">
        <v>44915</v>
      </c>
      <c r="C413" t="s">
        <v>17</v>
      </c>
      <c r="D413" t="s">
        <v>18</v>
      </c>
      <c r="E413" t="s">
        <v>70</v>
      </c>
      <c r="F413" t="s">
        <v>65</v>
      </c>
      <c r="G413" t="s">
        <v>79</v>
      </c>
      <c r="H413">
        <v>38</v>
      </c>
      <c r="I413">
        <v>900</v>
      </c>
      <c r="J413">
        <v>0</v>
      </c>
      <c r="K413">
        <v>34200</v>
      </c>
      <c r="L413">
        <v>15390</v>
      </c>
      <c r="M413">
        <v>18810</v>
      </c>
      <c r="N413" t="s">
        <v>49</v>
      </c>
      <c r="O413" t="s">
        <v>23</v>
      </c>
      <c r="P413" t="s">
        <v>24</v>
      </c>
      <c r="Q413" t="str">
        <f>TEXT(clean_data[[#This Row],[Date]],"mmm")</f>
        <v>Dec</v>
      </c>
      <c r="R413">
        <f>YEAR(clean_data[[#This Row],[Date]])</f>
        <v>2022</v>
      </c>
      <c r="S413" s="2">
        <f>clean_data[[#This Row],[Profit]]/clean_data[[#This Row],[Revenue]]</f>
        <v>0.55000000000000004</v>
      </c>
      <c r="T413" t="str" cm="1">
        <f t="array" ref="T413">_xlfn.IFS(clean_data[[#This Row],[Revenue]]&lt;300000,"Small",
     clean_data[[#This Row],[Revenue]]&lt;700000,"Medium",
     TRUE,"Large")</f>
        <v>Small</v>
      </c>
      <c r="U413" t="str" cm="1">
        <f t="array" ref="U413">_xlfn.IFS(clean_data[[#This Row],[profit margin%]]&lt;0.5,"Low Profit",
     clean_data[[#This Row],[profit margin%]]&lt;0.6,"Medium Profit",
     TRUE,"High Profit")</f>
        <v>Medium Profit</v>
      </c>
      <c r="V413" t="str">
        <f>TEXT(clean_data[[#This Row],[Date]],"mmm-yyyy")</f>
        <v>Dec-2022</v>
      </c>
      <c r="W413" s="8">
        <f>EOMONTH(clean_data[[#This Row],[Date]],-1)+1</f>
        <v>44896</v>
      </c>
    </row>
    <row r="414" spans="1:23" x14ac:dyDescent="0.3">
      <c r="A414" t="s">
        <v>486</v>
      </c>
      <c r="B414" s="1">
        <v>44808</v>
      </c>
      <c r="C414" t="s">
        <v>26</v>
      </c>
      <c r="D414" t="s">
        <v>27</v>
      </c>
      <c r="E414" t="s">
        <v>111</v>
      </c>
      <c r="F414" t="s">
        <v>65</v>
      </c>
      <c r="G414" t="s">
        <v>104</v>
      </c>
      <c r="H414">
        <v>39</v>
      </c>
      <c r="I414">
        <v>3000</v>
      </c>
      <c r="J414">
        <v>0</v>
      </c>
      <c r="K414">
        <v>117000</v>
      </c>
      <c r="L414">
        <v>52650</v>
      </c>
      <c r="M414">
        <v>64350</v>
      </c>
      <c r="N414" t="s">
        <v>49</v>
      </c>
      <c r="O414" t="s">
        <v>67</v>
      </c>
      <c r="P414" t="s">
        <v>24</v>
      </c>
      <c r="Q414" t="str">
        <f>TEXT(clean_data[[#This Row],[Date]],"mmm")</f>
        <v>Sep</v>
      </c>
      <c r="R414">
        <f>YEAR(clean_data[[#This Row],[Date]])</f>
        <v>2022</v>
      </c>
      <c r="S414" s="2">
        <f>clean_data[[#This Row],[Profit]]/clean_data[[#This Row],[Revenue]]</f>
        <v>0.55000000000000004</v>
      </c>
      <c r="T414" t="str" cm="1">
        <f t="array" ref="T414">_xlfn.IFS(clean_data[[#This Row],[Revenue]]&lt;300000,"Small",
     clean_data[[#This Row],[Revenue]]&lt;700000,"Medium",
     TRUE,"Large")</f>
        <v>Small</v>
      </c>
      <c r="U414" t="str" cm="1">
        <f t="array" ref="U414">_xlfn.IFS(clean_data[[#This Row],[profit margin%]]&lt;0.5,"Low Profit",
     clean_data[[#This Row],[profit margin%]]&lt;0.6,"Medium Profit",
     TRUE,"High Profit")</f>
        <v>Medium Profit</v>
      </c>
      <c r="V414" t="str">
        <f>TEXT(clean_data[[#This Row],[Date]],"mmm-yyyy")</f>
        <v>Sep-2022</v>
      </c>
      <c r="W414" s="8">
        <f>EOMONTH(clean_data[[#This Row],[Date]],-1)+1</f>
        <v>44805</v>
      </c>
    </row>
    <row r="415" spans="1:23" x14ac:dyDescent="0.3">
      <c r="A415" t="s">
        <v>487</v>
      </c>
      <c r="B415" s="1">
        <v>44646</v>
      </c>
      <c r="C415" t="s">
        <v>26</v>
      </c>
      <c r="D415" t="s">
        <v>27</v>
      </c>
      <c r="E415" t="s">
        <v>60</v>
      </c>
      <c r="F415" t="s">
        <v>20</v>
      </c>
      <c r="G415" t="s">
        <v>53</v>
      </c>
      <c r="H415">
        <v>35</v>
      </c>
      <c r="I415">
        <v>600</v>
      </c>
      <c r="J415">
        <v>0</v>
      </c>
      <c r="K415">
        <v>21000</v>
      </c>
      <c r="L415">
        <v>8400</v>
      </c>
      <c r="M415">
        <v>12600</v>
      </c>
      <c r="N415" t="s">
        <v>22</v>
      </c>
      <c r="O415" t="s">
        <v>23</v>
      </c>
      <c r="P415" t="s">
        <v>24</v>
      </c>
      <c r="Q415" t="str">
        <f>TEXT(clean_data[[#This Row],[Date]],"mmm")</f>
        <v>Mar</v>
      </c>
      <c r="R415">
        <f>YEAR(clean_data[[#This Row],[Date]])</f>
        <v>2022</v>
      </c>
      <c r="S415" s="2">
        <f>clean_data[[#This Row],[Profit]]/clean_data[[#This Row],[Revenue]]</f>
        <v>0.6</v>
      </c>
      <c r="T415" t="str" cm="1">
        <f t="array" ref="T415">_xlfn.IFS(clean_data[[#This Row],[Revenue]]&lt;300000,"Small",
     clean_data[[#This Row],[Revenue]]&lt;700000,"Medium",
     TRUE,"Large")</f>
        <v>Small</v>
      </c>
      <c r="U415" t="str" cm="1">
        <f t="array" ref="U415">_xlfn.IFS(clean_data[[#This Row],[profit margin%]]&lt;0.5,"Low Profit",
     clean_data[[#This Row],[profit margin%]]&lt;0.6,"Medium Profit",
     TRUE,"High Profit")</f>
        <v>High Profit</v>
      </c>
      <c r="V415" t="str">
        <f>TEXT(clean_data[[#This Row],[Date]],"mmm-yyyy")</f>
        <v>Mar-2022</v>
      </c>
      <c r="W415" s="8">
        <f>EOMONTH(clean_data[[#This Row],[Date]],-1)+1</f>
        <v>44621</v>
      </c>
    </row>
    <row r="416" spans="1:23" x14ac:dyDescent="0.3">
      <c r="A416" t="s">
        <v>488</v>
      </c>
      <c r="B416" s="1">
        <v>45288</v>
      </c>
      <c r="C416" t="s">
        <v>26</v>
      </c>
      <c r="D416" t="s">
        <v>69</v>
      </c>
      <c r="E416" t="s">
        <v>19</v>
      </c>
      <c r="F416" t="s">
        <v>65</v>
      </c>
      <c r="G416" t="s">
        <v>66</v>
      </c>
      <c r="H416">
        <v>23</v>
      </c>
      <c r="I416">
        <v>5500</v>
      </c>
      <c r="J416">
        <v>20</v>
      </c>
      <c r="K416">
        <v>101200</v>
      </c>
      <c r="L416">
        <v>45540</v>
      </c>
      <c r="M416">
        <v>55660</v>
      </c>
      <c r="N416" t="s">
        <v>30</v>
      </c>
      <c r="O416" t="s">
        <v>23</v>
      </c>
      <c r="P416" t="s">
        <v>40</v>
      </c>
      <c r="Q416" t="str">
        <f>TEXT(clean_data[[#This Row],[Date]],"mmm")</f>
        <v>Dec</v>
      </c>
      <c r="R416">
        <f>YEAR(clean_data[[#This Row],[Date]])</f>
        <v>2023</v>
      </c>
      <c r="S416" s="2">
        <f>clean_data[[#This Row],[Profit]]/clean_data[[#This Row],[Revenue]]</f>
        <v>0.55000000000000004</v>
      </c>
      <c r="T416" t="str" cm="1">
        <f t="array" ref="T416">_xlfn.IFS(clean_data[[#This Row],[Revenue]]&lt;300000,"Small",
     clean_data[[#This Row],[Revenue]]&lt;700000,"Medium",
     TRUE,"Large")</f>
        <v>Small</v>
      </c>
      <c r="U416" t="str" cm="1">
        <f t="array" ref="U416">_xlfn.IFS(clean_data[[#This Row],[profit margin%]]&lt;0.5,"Low Profit",
     clean_data[[#This Row],[profit margin%]]&lt;0.6,"Medium Profit",
     TRUE,"High Profit")</f>
        <v>Medium Profit</v>
      </c>
      <c r="V416" t="str">
        <f>TEXT(clean_data[[#This Row],[Date]],"mmm-yyyy")</f>
        <v>Dec-2023</v>
      </c>
      <c r="W416" s="8">
        <f>EOMONTH(clean_data[[#This Row],[Date]],-1)+1</f>
        <v>45261</v>
      </c>
    </row>
    <row r="417" spans="1:23" x14ac:dyDescent="0.3">
      <c r="A417" t="s">
        <v>489</v>
      </c>
      <c r="B417" s="1">
        <v>44813</v>
      </c>
      <c r="C417" t="s">
        <v>58</v>
      </c>
      <c r="D417" t="s">
        <v>84</v>
      </c>
      <c r="E417" t="s">
        <v>52</v>
      </c>
      <c r="F417" t="s">
        <v>33</v>
      </c>
      <c r="G417" t="s">
        <v>43</v>
      </c>
      <c r="H417">
        <v>35</v>
      </c>
      <c r="I417">
        <v>4000</v>
      </c>
      <c r="J417">
        <v>15</v>
      </c>
      <c r="K417">
        <v>119000</v>
      </c>
      <c r="L417">
        <v>59500</v>
      </c>
      <c r="M417">
        <v>59500</v>
      </c>
      <c r="N417" t="s">
        <v>30</v>
      </c>
      <c r="O417" t="s">
        <v>35</v>
      </c>
      <c r="P417" t="s">
        <v>24</v>
      </c>
      <c r="Q417" t="str">
        <f>TEXT(clean_data[[#This Row],[Date]],"mmm")</f>
        <v>Sep</v>
      </c>
      <c r="R417">
        <f>YEAR(clean_data[[#This Row],[Date]])</f>
        <v>2022</v>
      </c>
      <c r="S417" s="2">
        <f>clean_data[[#This Row],[Profit]]/clean_data[[#This Row],[Revenue]]</f>
        <v>0.5</v>
      </c>
      <c r="T417" t="str" cm="1">
        <f t="array" ref="T417">_xlfn.IFS(clean_data[[#This Row],[Revenue]]&lt;300000,"Small",
     clean_data[[#This Row],[Revenue]]&lt;700000,"Medium",
     TRUE,"Large")</f>
        <v>Small</v>
      </c>
      <c r="U417" t="str" cm="1">
        <f t="array" ref="U417">_xlfn.IFS(clean_data[[#This Row],[profit margin%]]&lt;0.5,"Low Profit",
     clean_data[[#This Row],[profit margin%]]&lt;0.6,"Medium Profit",
     TRUE,"High Profit")</f>
        <v>Medium Profit</v>
      </c>
      <c r="V417" t="str">
        <f>TEXT(clean_data[[#This Row],[Date]],"mmm-yyyy")</f>
        <v>Sep-2022</v>
      </c>
      <c r="W417" s="8">
        <f>EOMONTH(clean_data[[#This Row],[Date]],-1)+1</f>
        <v>44805</v>
      </c>
    </row>
    <row r="418" spans="1:23" x14ac:dyDescent="0.3">
      <c r="A418" t="s">
        <v>490</v>
      </c>
      <c r="B418" s="1">
        <v>44580</v>
      </c>
      <c r="C418" t="s">
        <v>26</v>
      </c>
      <c r="D418" t="s">
        <v>27</v>
      </c>
      <c r="E418" t="s">
        <v>32</v>
      </c>
      <c r="F418" t="s">
        <v>20</v>
      </c>
      <c r="G418" t="s">
        <v>61</v>
      </c>
      <c r="H418">
        <v>27</v>
      </c>
      <c r="I418">
        <v>800</v>
      </c>
      <c r="J418">
        <v>10</v>
      </c>
      <c r="K418">
        <v>19440</v>
      </c>
      <c r="L418">
        <v>7776</v>
      </c>
      <c r="M418">
        <v>11664</v>
      </c>
      <c r="N418" t="s">
        <v>30</v>
      </c>
      <c r="O418" t="s">
        <v>23</v>
      </c>
      <c r="P418" t="s">
        <v>24</v>
      </c>
      <c r="Q418" t="str">
        <f>TEXT(clean_data[[#This Row],[Date]],"mmm")</f>
        <v>Jan</v>
      </c>
      <c r="R418">
        <f>YEAR(clean_data[[#This Row],[Date]])</f>
        <v>2022</v>
      </c>
      <c r="S418" s="2">
        <f>clean_data[[#This Row],[Profit]]/clean_data[[#This Row],[Revenue]]</f>
        <v>0.6</v>
      </c>
      <c r="T418" t="str" cm="1">
        <f t="array" ref="T418">_xlfn.IFS(clean_data[[#This Row],[Revenue]]&lt;300000,"Small",
     clean_data[[#This Row],[Revenue]]&lt;700000,"Medium",
     TRUE,"Large")</f>
        <v>Small</v>
      </c>
      <c r="U418" t="str" cm="1">
        <f t="array" ref="U418">_xlfn.IFS(clean_data[[#This Row],[profit margin%]]&lt;0.5,"Low Profit",
     clean_data[[#This Row],[profit margin%]]&lt;0.6,"Medium Profit",
     TRUE,"High Profit")</f>
        <v>High Profit</v>
      </c>
      <c r="V418" t="str">
        <f>TEXT(clean_data[[#This Row],[Date]],"mmm-yyyy")</f>
        <v>Jan-2022</v>
      </c>
      <c r="W418" s="8">
        <f>EOMONTH(clean_data[[#This Row],[Date]],-1)+1</f>
        <v>44562</v>
      </c>
    </row>
    <row r="419" spans="1:23" x14ac:dyDescent="0.3">
      <c r="A419" t="s">
        <v>491</v>
      </c>
      <c r="B419" s="1">
        <v>45055</v>
      </c>
      <c r="C419" t="s">
        <v>58</v>
      </c>
      <c r="D419" t="s">
        <v>64</v>
      </c>
      <c r="E419" t="s">
        <v>70</v>
      </c>
      <c r="F419" t="s">
        <v>33</v>
      </c>
      <c r="G419" t="s">
        <v>48</v>
      </c>
      <c r="H419">
        <v>49</v>
      </c>
      <c r="I419">
        <v>1500</v>
      </c>
      <c r="J419">
        <v>5</v>
      </c>
      <c r="K419">
        <v>69825</v>
      </c>
      <c r="L419">
        <v>34912.5</v>
      </c>
      <c r="M419">
        <v>34912.5</v>
      </c>
      <c r="N419" t="s">
        <v>22</v>
      </c>
      <c r="O419" t="s">
        <v>67</v>
      </c>
      <c r="P419" t="s">
        <v>24</v>
      </c>
      <c r="Q419" t="str">
        <f>TEXT(clean_data[[#This Row],[Date]],"mmm")</f>
        <v>May</v>
      </c>
      <c r="R419">
        <f>YEAR(clean_data[[#This Row],[Date]])</f>
        <v>2023</v>
      </c>
      <c r="S419" s="2">
        <f>clean_data[[#This Row],[Profit]]/clean_data[[#This Row],[Revenue]]</f>
        <v>0.5</v>
      </c>
      <c r="T419" t="str" cm="1">
        <f t="array" ref="T419">_xlfn.IFS(clean_data[[#This Row],[Revenue]]&lt;300000,"Small",
     clean_data[[#This Row],[Revenue]]&lt;700000,"Medium",
     TRUE,"Large")</f>
        <v>Small</v>
      </c>
      <c r="U419" t="str" cm="1">
        <f t="array" ref="U419">_xlfn.IFS(clean_data[[#This Row],[profit margin%]]&lt;0.5,"Low Profit",
     clean_data[[#This Row],[profit margin%]]&lt;0.6,"Medium Profit",
     TRUE,"High Profit")</f>
        <v>Medium Profit</v>
      </c>
      <c r="V419" t="str">
        <f>TEXT(clean_data[[#This Row],[Date]],"mmm-yyyy")</f>
        <v>May-2023</v>
      </c>
      <c r="W419" s="8">
        <f>EOMONTH(clean_data[[#This Row],[Date]],-1)+1</f>
        <v>45047</v>
      </c>
    </row>
    <row r="420" spans="1:23" x14ac:dyDescent="0.3">
      <c r="A420" t="s">
        <v>492</v>
      </c>
      <c r="B420" s="1">
        <v>45479</v>
      </c>
      <c r="C420" t="s">
        <v>17</v>
      </c>
      <c r="D420" t="s">
        <v>42</v>
      </c>
      <c r="E420" t="s">
        <v>111</v>
      </c>
      <c r="F420" t="s">
        <v>65</v>
      </c>
      <c r="G420" t="s">
        <v>124</v>
      </c>
      <c r="H420">
        <v>20</v>
      </c>
      <c r="I420">
        <v>18000</v>
      </c>
      <c r="J420">
        <v>20</v>
      </c>
      <c r="K420">
        <v>288000</v>
      </c>
      <c r="L420">
        <v>129600</v>
      </c>
      <c r="M420">
        <v>158400</v>
      </c>
      <c r="N420" t="s">
        <v>22</v>
      </c>
      <c r="O420" t="s">
        <v>23</v>
      </c>
      <c r="P420" t="s">
        <v>24</v>
      </c>
      <c r="Q420" t="str">
        <f>TEXT(clean_data[[#This Row],[Date]],"mmm")</f>
        <v>Jul</v>
      </c>
      <c r="R420">
        <f>YEAR(clean_data[[#This Row],[Date]])</f>
        <v>2024</v>
      </c>
      <c r="S420" s="2">
        <f>clean_data[[#This Row],[Profit]]/clean_data[[#This Row],[Revenue]]</f>
        <v>0.55000000000000004</v>
      </c>
      <c r="T420" t="str" cm="1">
        <f t="array" ref="T420">_xlfn.IFS(clean_data[[#This Row],[Revenue]]&lt;300000,"Small",
     clean_data[[#This Row],[Revenue]]&lt;700000,"Medium",
     TRUE,"Large")</f>
        <v>Small</v>
      </c>
      <c r="U420" t="str" cm="1">
        <f t="array" ref="U420">_xlfn.IFS(clean_data[[#This Row],[profit margin%]]&lt;0.5,"Low Profit",
     clean_data[[#This Row],[profit margin%]]&lt;0.6,"Medium Profit",
     TRUE,"High Profit")</f>
        <v>Medium Profit</v>
      </c>
      <c r="V420" t="str">
        <f>TEXT(clean_data[[#This Row],[Date]],"mmm-yyyy")</f>
        <v>Jul-2024</v>
      </c>
      <c r="W420" s="8">
        <f>EOMONTH(clean_data[[#This Row],[Date]],-1)+1</f>
        <v>45474</v>
      </c>
    </row>
    <row r="421" spans="1:23" x14ac:dyDescent="0.3">
      <c r="A421" t="s">
        <v>493</v>
      </c>
      <c r="B421" s="1">
        <v>44832</v>
      </c>
      <c r="C421" t="s">
        <v>26</v>
      </c>
      <c r="D421" t="s">
        <v>27</v>
      </c>
      <c r="E421" t="s">
        <v>60</v>
      </c>
      <c r="F421" t="s">
        <v>20</v>
      </c>
      <c r="G421" t="s">
        <v>21</v>
      </c>
      <c r="H421">
        <v>14</v>
      </c>
      <c r="I421">
        <v>3500</v>
      </c>
      <c r="J421">
        <v>20</v>
      </c>
      <c r="K421">
        <v>39200</v>
      </c>
      <c r="L421">
        <v>15680</v>
      </c>
      <c r="M421">
        <v>23520</v>
      </c>
      <c r="N421" t="s">
        <v>49</v>
      </c>
      <c r="O421" t="s">
        <v>67</v>
      </c>
      <c r="P421" t="s">
        <v>24</v>
      </c>
      <c r="Q421" t="str">
        <f>TEXT(clean_data[[#This Row],[Date]],"mmm")</f>
        <v>Sep</v>
      </c>
      <c r="R421">
        <f>YEAR(clean_data[[#This Row],[Date]])</f>
        <v>2022</v>
      </c>
      <c r="S421" s="2">
        <f>clean_data[[#This Row],[Profit]]/clean_data[[#This Row],[Revenue]]</f>
        <v>0.6</v>
      </c>
      <c r="T421" t="str" cm="1">
        <f t="array" ref="T421">_xlfn.IFS(clean_data[[#This Row],[Revenue]]&lt;300000,"Small",
     clean_data[[#This Row],[Revenue]]&lt;700000,"Medium",
     TRUE,"Large")</f>
        <v>Small</v>
      </c>
      <c r="U421" t="str" cm="1">
        <f t="array" ref="U421">_xlfn.IFS(clean_data[[#This Row],[profit margin%]]&lt;0.5,"Low Profit",
     clean_data[[#This Row],[profit margin%]]&lt;0.6,"Medium Profit",
     TRUE,"High Profit")</f>
        <v>High Profit</v>
      </c>
      <c r="V421" t="str">
        <f>TEXT(clean_data[[#This Row],[Date]],"mmm-yyyy")</f>
        <v>Sep-2022</v>
      </c>
      <c r="W421" s="8">
        <f>EOMONTH(clean_data[[#This Row],[Date]],-1)+1</f>
        <v>44805</v>
      </c>
    </row>
    <row r="422" spans="1:23" x14ac:dyDescent="0.3">
      <c r="A422" t="s">
        <v>494</v>
      </c>
      <c r="B422" s="1">
        <v>44657</v>
      </c>
      <c r="C422" t="s">
        <v>58</v>
      </c>
      <c r="D422" t="s">
        <v>64</v>
      </c>
      <c r="E422" t="s">
        <v>56</v>
      </c>
      <c r="F422" t="s">
        <v>28</v>
      </c>
      <c r="G422" t="s">
        <v>87</v>
      </c>
      <c r="H422">
        <v>31</v>
      </c>
      <c r="I422">
        <v>45000</v>
      </c>
      <c r="J422">
        <v>20</v>
      </c>
      <c r="K422">
        <v>1116000</v>
      </c>
      <c r="L422">
        <v>613800</v>
      </c>
      <c r="M422">
        <v>502200</v>
      </c>
      <c r="N422" t="s">
        <v>30</v>
      </c>
      <c r="O422" t="s">
        <v>35</v>
      </c>
      <c r="P422" t="s">
        <v>24</v>
      </c>
      <c r="Q422" t="str">
        <f>TEXT(clean_data[[#This Row],[Date]],"mmm")</f>
        <v>Apr</v>
      </c>
      <c r="R422">
        <f>YEAR(clean_data[[#This Row],[Date]])</f>
        <v>2022</v>
      </c>
      <c r="S422" s="2">
        <f>clean_data[[#This Row],[Profit]]/clean_data[[#This Row],[Revenue]]</f>
        <v>0.45</v>
      </c>
      <c r="T422" t="str" cm="1">
        <f t="array" ref="T422">_xlfn.IFS(clean_data[[#This Row],[Revenue]]&lt;300000,"Small",
     clean_data[[#This Row],[Revenue]]&lt;700000,"Medium",
     TRUE,"Large")</f>
        <v>Large</v>
      </c>
      <c r="U422" t="str" cm="1">
        <f t="array" ref="U422">_xlfn.IFS(clean_data[[#This Row],[profit margin%]]&lt;0.5,"Low Profit",
     clean_data[[#This Row],[profit margin%]]&lt;0.6,"Medium Profit",
     TRUE,"High Profit")</f>
        <v>Low Profit</v>
      </c>
      <c r="V422" t="str">
        <f>TEXT(clean_data[[#This Row],[Date]],"mmm-yyyy")</f>
        <v>Apr-2022</v>
      </c>
      <c r="W422" s="8">
        <f>EOMONTH(clean_data[[#This Row],[Date]],-1)+1</f>
        <v>44652</v>
      </c>
    </row>
    <row r="423" spans="1:23" x14ac:dyDescent="0.3">
      <c r="A423" t="s">
        <v>495</v>
      </c>
      <c r="B423" s="1">
        <v>45054</v>
      </c>
      <c r="C423" t="s">
        <v>17</v>
      </c>
      <c r="D423" t="s">
        <v>18</v>
      </c>
      <c r="E423" t="s">
        <v>38</v>
      </c>
      <c r="F423" t="s">
        <v>28</v>
      </c>
      <c r="G423" t="s">
        <v>85</v>
      </c>
      <c r="H423">
        <v>26</v>
      </c>
      <c r="I423">
        <v>8000</v>
      </c>
      <c r="J423">
        <v>20</v>
      </c>
      <c r="K423">
        <v>166400</v>
      </c>
      <c r="L423">
        <v>91520</v>
      </c>
      <c r="M423">
        <v>74880</v>
      </c>
      <c r="N423" t="s">
        <v>49</v>
      </c>
      <c r="O423" t="s">
        <v>67</v>
      </c>
      <c r="P423" t="s">
        <v>40</v>
      </c>
      <c r="Q423" t="str">
        <f>TEXT(clean_data[[#This Row],[Date]],"mmm")</f>
        <v>May</v>
      </c>
      <c r="R423">
        <f>YEAR(clean_data[[#This Row],[Date]])</f>
        <v>2023</v>
      </c>
      <c r="S423" s="2">
        <f>clean_data[[#This Row],[Profit]]/clean_data[[#This Row],[Revenue]]</f>
        <v>0.45</v>
      </c>
      <c r="T423" t="str" cm="1">
        <f t="array" ref="T423">_xlfn.IFS(clean_data[[#This Row],[Revenue]]&lt;300000,"Small",
     clean_data[[#This Row],[Revenue]]&lt;700000,"Medium",
     TRUE,"Large")</f>
        <v>Small</v>
      </c>
      <c r="U423" t="str" cm="1">
        <f t="array" ref="U423">_xlfn.IFS(clean_data[[#This Row],[profit margin%]]&lt;0.5,"Low Profit",
     clean_data[[#This Row],[profit margin%]]&lt;0.6,"Medium Profit",
     TRUE,"High Profit")</f>
        <v>Low Profit</v>
      </c>
      <c r="V423" t="str">
        <f>TEXT(clean_data[[#This Row],[Date]],"mmm-yyyy")</f>
        <v>May-2023</v>
      </c>
      <c r="W423" s="8">
        <f>EOMONTH(clean_data[[#This Row],[Date]],-1)+1</f>
        <v>45047</v>
      </c>
    </row>
    <row r="424" spans="1:23" x14ac:dyDescent="0.3">
      <c r="A424" t="s">
        <v>496</v>
      </c>
      <c r="B424" s="1">
        <v>44676</v>
      </c>
      <c r="C424" t="s">
        <v>46</v>
      </c>
      <c r="D424" t="s">
        <v>55</v>
      </c>
      <c r="E424" t="s">
        <v>60</v>
      </c>
      <c r="F424" t="s">
        <v>28</v>
      </c>
      <c r="G424" t="s">
        <v>87</v>
      </c>
      <c r="H424">
        <v>43</v>
      </c>
      <c r="I424">
        <v>45000</v>
      </c>
      <c r="J424">
        <v>20</v>
      </c>
      <c r="K424">
        <v>1548000</v>
      </c>
      <c r="L424">
        <v>851400</v>
      </c>
      <c r="M424">
        <v>696600</v>
      </c>
      <c r="N424" t="s">
        <v>30</v>
      </c>
      <c r="O424" t="s">
        <v>35</v>
      </c>
      <c r="P424" t="s">
        <v>24</v>
      </c>
      <c r="Q424" t="str">
        <f>TEXT(clean_data[[#This Row],[Date]],"mmm")</f>
        <v>Apr</v>
      </c>
      <c r="R424">
        <f>YEAR(clean_data[[#This Row],[Date]])</f>
        <v>2022</v>
      </c>
      <c r="S424" s="2">
        <f>clean_data[[#This Row],[Profit]]/clean_data[[#This Row],[Revenue]]</f>
        <v>0.45</v>
      </c>
      <c r="T424" t="str" cm="1">
        <f t="array" ref="T424">_xlfn.IFS(clean_data[[#This Row],[Revenue]]&lt;300000,"Small",
     clean_data[[#This Row],[Revenue]]&lt;700000,"Medium",
     TRUE,"Large")</f>
        <v>Large</v>
      </c>
      <c r="U424" t="str" cm="1">
        <f t="array" ref="U424">_xlfn.IFS(clean_data[[#This Row],[profit margin%]]&lt;0.5,"Low Profit",
     clean_data[[#This Row],[profit margin%]]&lt;0.6,"Medium Profit",
     TRUE,"High Profit")</f>
        <v>Low Profit</v>
      </c>
      <c r="V424" t="str">
        <f>TEXT(clean_data[[#This Row],[Date]],"mmm-yyyy")</f>
        <v>Apr-2022</v>
      </c>
      <c r="W424" s="8">
        <f>EOMONTH(clean_data[[#This Row],[Date]],-1)+1</f>
        <v>44652</v>
      </c>
    </row>
    <row r="425" spans="1:23" x14ac:dyDescent="0.3">
      <c r="A425" t="s">
        <v>497</v>
      </c>
      <c r="B425" s="1">
        <v>45552</v>
      </c>
      <c r="C425" t="s">
        <v>46</v>
      </c>
      <c r="D425" t="s">
        <v>47</v>
      </c>
      <c r="E425" t="s">
        <v>56</v>
      </c>
      <c r="F425" t="s">
        <v>33</v>
      </c>
      <c r="G425" t="s">
        <v>76</v>
      </c>
      <c r="H425">
        <v>42</v>
      </c>
      <c r="I425">
        <v>8500</v>
      </c>
      <c r="J425">
        <v>0</v>
      </c>
      <c r="K425">
        <v>357000</v>
      </c>
      <c r="L425">
        <v>178500</v>
      </c>
      <c r="M425">
        <v>178500</v>
      </c>
      <c r="N425" t="s">
        <v>30</v>
      </c>
      <c r="O425" t="s">
        <v>50</v>
      </c>
      <c r="P425" t="s">
        <v>24</v>
      </c>
      <c r="Q425" t="str">
        <f>TEXT(clean_data[[#This Row],[Date]],"mmm")</f>
        <v>Sep</v>
      </c>
      <c r="R425">
        <f>YEAR(clean_data[[#This Row],[Date]])</f>
        <v>2024</v>
      </c>
      <c r="S425" s="2">
        <f>clean_data[[#This Row],[Profit]]/clean_data[[#This Row],[Revenue]]</f>
        <v>0.5</v>
      </c>
      <c r="T425" t="str" cm="1">
        <f t="array" ref="T425">_xlfn.IFS(clean_data[[#This Row],[Revenue]]&lt;300000,"Small",
     clean_data[[#This Row],[Revenue]]&lt;700000,"Medium",
     TRUE,"Large")</f>
        <v>Medium</v>
      </c>
      <c r="U425" t="str" cm="1">
        <f t="array" ref="U425">_xlfn.IFS(clean_data[[#This Row],[profit margin%]]&lt;0.5,"Low Profit",
     clean_data[[#This Row],[profit margin%]]&lt;0.6,"Medium Profit",
     TRUE,"High Profit")</f>
        <v>Medium Profit</v>
      </c>
      <c r="V425" t="str">
        <f>TEXT(clean_data[[#This Row],[Date]],"mmm-yyyy")</f>
        <v>Sep-2024</v>
      </c>
      <c r="W425" s="8">
        <f>EOMONTH(clean_data[[#This Row],[Date]],-1)+1</f>
        <v>45536</v>
      </c>
    </row>
    <row r="426" spans="1:23" x14ac:dyDescent="0.3">
      <c r="A426" t="s">
        <v>498</v>
      </c>
      <c r="B426" s="1">
        <v>45334</v>
      </c>
      <c r="C426" t="s">
        <v>58</v>
      </c>
      <c r="D426" t="s">
        <v>59</v>
      </c>
      <c r="E426" t="s">
        <v>38</v>
      </c>
      <c r="F426" t="s">
        <v>20</v>
      </c>
      <c r="G426" t="s">
        <v>53</v>
      </c>
      <c r="H426">
        <v>1</v>
      </c>
      <c r="I426">
        <v>600</v>
      </c>
      <c r="J426">
        <v>0</v>
      </c>
      <c r="K426">
        <v>600</v>
      </c>
      <c r="L426">
        <v>240</v>
      </c>
      <c r="M426">
        <v>360</v>
      </c>
      <c r="N426" t="s">
        <v>22</v>
      </c>
      <c r="O426" t="s">
        <v>50</v>
      </c>
      <c r="P426" t="s">
        <v>24</v>
      </c>
      <c r="Q426" t="str">
        <f>TEXT(clean_data[[#This Row],[Date]],"mmm")</f>
        <v>Feb</v>
      </c>
      <c r="R426">
        <f>YEAR(clean_data[[#This Row],[Date]])</f>
        <v>2024</v>
      </c>
      <c r="S426" s="2">
        <f>clean_data[[#This Row],[Profit]]/clean_data[[#This Row],[Revenue]]</f>
        <v>0.6</v>
      </c>
      <c r="T426" t="str" cm="1">
        <f t="array" ref="T426">_xlfn.IFS(clean_data[[#This Row],[Revenue]]&lt;300000,"Small",
     clean_data[[#This Row],[Revenue]]&lt;700000,"Medium",
     TRUE,"Large")</f>
        <v>Small</v>
      </c>
      <c r="U426" t="str" cm="1">
        <f t="array" ref="U426">_xlfn.IFS(clean_data[[#This Row],[profit margin%]]&lt;0.5,"Low Profit",
     clean_data[[#This Row],[profit margin%]]&lt;0.6,"Medium Profit",
     TRUE,"High Profit")</f>
        <v>High Profit</v>
      </c>
      <c r="V426" t="str">
        <f>TEXT(clean_data[[#This Row],[Date]],"mmm-yyyy")</f>
        <v>Feb-2024</v>
      </c>
      <c r="W426" s="8">
        <f>EOMONTH(clean_data[[#This Row],[Date]],-1)+1</f>
        <v>45323</v>
      </c>
    </row>
    <row r="427" spans="1:23" x14ac:dyDescent="0.3">
      <c r="A427" t="s">
        <v>499</v>
      </c>
      <c r="B427" s="1">
        <v>45645</v>
      </c>
      <c r="C427" t="s">
        <v>17</v>
      </c>
      <c r="D427" t="s">
        <v>37</v>
      </c>
      <c r="E427" t="s">
        <v>73</v>
      </c>
      <c r="F427" t="s">
        <v>20</v>
      </c>
      <c r="G427" t="s">
        <v>53</v>
      </c>
      <c r="H427">
        <v>13</v>
      </c>
      <c r="I427">
        <v>600</v>
      </c>
      <c r="J427">
        <v>15</v>
      </c>
      <c r="K427">
        <v>6630</v>
      </c>
      <c r="L427">
        <v>2652</v>
      </c>
      <c r="M427">
        <v>3978</v>
      </c>
      <c r="N427" t="s">
        <v>22</v>
      </c>
      <c r="O427" t="s">
        <v>35</v>
      </c>
      <c r="P427" t="s">
        <v>24</v>
      </c>
      <c r="Q427" t="str">
        <f>TEXT(clean_data[[#This Row],[Date]],"mmm")</f>
        <v>Dec</v>
      </c>
      <c r="R427">
        <f>YEAR(clean_data[[#This Row],[Date]])</f>
        <v>2024</v>
      </c>
      <c r="S427" s="2">
        <f>clean_data[[#This Row],[Profit]]/clean_data[[#This Row],[Revenue]]</f>
        <v>0.6</v>
      </c>
      <c r="T427" t="str" cm="1">
        <f t="array" ref="T427">_xlfn.IFS(clean_data[[#This Row],[Revenue]]&lt;300000,"Small",
     clean_data[[#This Row],[Revenue]]&lt;700000,"Medium",
     TRUE,"Large")</f>
        <v>Small</v>
      </c>
      <c r="U427" t="str" cm="1">
        <f t="array" ref="U427">_xlfn.IFS(clean_data[[#This Row],[profit margin%]]&lt;0.5,"Low Profit",
     clean_data[[#This Row],[profit margin%]]&lt;0.6,"Medium Profit",
     TRUE,"High Profit")</f>
        <v>High Profit</v>
      </c>
      <c r="V427" t="str">
        <f>TEXT(clean_data[[#This Row],[Date]],"mmm-yyyy")</f>
        <v>Dec-2024</v>
      </c>
      <c r="W427" s="8">
        <f>EOMONTH(clean_data[[#This Row],[Date]],-1)+1</f>
        <v>45627</v>
      </c>
    </row>
    <row r="428" spans="1:23" x14ac:dyDescent="0.3">
      <c r="A428" t="s">
        <v>500</v>
      </c>
      <c r="B428" s="1">
        <v>45052</v>
      </c>
      <c r="C428" t="s">
        <v>58</v>
      </c>
      <c r="D428" t="s">
        <v>64</v>
      </c>
      <c r="E428" t="s">
        <v>52</v>
      </c>
      <c r="F428" t="s">
        <v>28</v>
      </c>
      <c r="G428" t="s">
        <v>29</v>
      </c>
      <c r="H428">
        <v>19</v>
      </c>
      <c r="I428">
        <v>15000</v>
      </c>
      <c r="J428">
        <v>10</v>
      </c>
      <c r="K428">
        <v>256500</v>
      </c>
      <c r="L428">
        <v>141075</v>
      </c>
      <c r="M428">
        <v>115425</v>
      </c>
      <c r="N428" t="s">
        <v>22</v>
      </c>
      <c r="O428" t="s">
        <v>50</v>
      </c>
      <c r="P428" t="s">
        <v>24</v>
      </c>
      <c r="Q428" t="str">
        <f>TEXT(clean_data[[#This Row],[Date]],"mmm")</f>
        <v>May</v>
      </c>
      <c r="R428">
        <f>YEAR(clean_data[[#This Row],[Date]])</f>
        <v>2023</v>
      </c>
      <c r="S428" s="2">
        <f>clean_data[[#This Row],[Profit]]/clean_data[[#This Row],[Revenue]]</f>
        <v>0.45</v>
      </c>
      <c r="T428" t="str" cm="1">
        <f t="array" ref="T428">_xlfn.IFS(clean_data[[#This Row],[Revenue]]&lt;300000,"Small",
     clean_data[[#This Row],[Revenue]]&lt;700000,"Medium",
     TRUE,"Large")</f>
        <v>Small</v>
      </c>
      <c r="U428" t="str" cm="1">
        <f t="array" ref="U428">_xlfn.IFS(clean_data[[#This Row],[profit margin%]]&lt;0.5,"Low Profit",
     clean_data[[#This Row],[profit margin%]]&lt;0.6,"Medium Profit",
     TRUE,"High Profit")</f>
        <v>Low Profit</v>
      </c>
      <c r="V428" t="str">
        <f>TEXT(clean_data[[#This Row],[Date]],"mmm-yyyy")</f>
        <v>May-2023</v>
      </c>
      <c r="W428" s="8">
        <f>EOMONTH(clean_data[[#This Row],[Date]],-1)+1</f>
        <v>45047</v>
      </c>
    </row>
    <row r="429" spans="1:23" x14ac:dyDescent="0.3">
      <c r="A429" t="s">
        <v>501</v>
      </c>
      <c r="B429" s="1">
        <v>45623</v>
      </c>
      <c r="C429" t="s">
        <v>17</v>
      </c>
      <c r="D429" t="s">
        <v>42</v>
      </c>
      <c r="E429" t="s">
        <v>60</v>
      </c>
      <c r="F429" t="s">
        <v>65</v>
      </c>
      <c r="G429" t="s">
        <v>79</v>
      </c>
      <c r="H429">
        <v>31</v>
      </c>
      <c r="I429">
        <v>900</v>
      </c>
      <c r="J429">
        <v>5</v>
      </c>
      <c r="K429">
        <v>26505</v>
      </c>
      <c r="L429">
        <v>11927.25</v>
      </c>
      <c r="M429">
        <v>14577.75</v>
      </c>
      <c r="N429" t="s">
        <v>49</v>
      </c>
      <c r="O429" t="s">
        <v>23</v>
      </c>
      <c r="P429" t="s">
        <v>24</v>
      </c>
      <c r="Q429" t="str">
        <f>TEXT(clean_data[[#This Row],[Date]],"mmm")</f>
        <v>Nov</v>
      </c>
      <c r="R429">
        <f>YEAR(clean_data[[#This Row],[Date]])</f>
        <v>2024</v>
      </c>
      <c r="S429" s="2">
        <f>clean_data[[#This Row],[Profit]]/clean_data[[#This Row],[Revenue]]</f>
        <v>0.55000000000000004</v>
      </c>
      <c r="T429" t="str" cm="1">
        <f t="array" ref="T429">_xlfn.IFS(clean_data[[#This Row],[Revenue]]&lt;300000,"Small",
     clean_data[[#This Row],[Revenue]]&lt;700000,"Medium",
     TRUE,"Large")</f>
        <v>Small</v>
      </c>
      <c r="U429" t="str" cm="1">
        <f t="array" ref="U429">_xlfn.IFS(clean_data[[#This Row],[profit margin%]]&lt;0.5,"Low Profit",
     clean_data[[#This Row],[profit margin%]]&lt;0.6,"Medium Profit",
     TRUE,"High Profit")</f>
        <v>Medium Profit</v>
      </c>
      <c r="V429" t="str">
        <f>TEXT(clean_data[[#This Row],[Date]],"mmm-yyyy")</f>
        <v>Nov-2024</v>
      </c>
      <c r="W429" s="8">
        <f>EOMONTH(clean_data[[#This Row],[Date]],-1)+1</f>
        <v>45597</v>
      </c>
    </row>
    <row r="430" spans="1:23" x14ac:dyDescent="0.3">
      <c r="A430" t="s">
        <v>502</v>
      </c>
      <c r="B430" s="1">
        <v>44608</v>
      </c>
      <c r="C430" t="s">
        <v>26</v>
      </c>
      <c r="D430" t="s">
        <v>69</v>
      </c>
      <c r="E430" t="s">
        <v>52</v>
      </c>
      <c r="F430" t="s">
        <v>65</v>
      </c>
      <c r="G430" t="s">
        <v>104</v>
      </c>
      <c r="H430">
        <v>44</v>
      </c>
      <c r="I430">
        <v>3000</v>
      </c>
      <c r="J430">
        <v>5</v>
      </c>
      <c r="K430">
        <v>125400</v>
      </c>
      <c r="L430">
        <v>56430</v>
      </c>
      <c r="M430">
        <v>68970</v>
      </c>
      <c r="N430" t="s">
        <v>49</v>
      </c>
      <c r="O430" t="s">
        <v>50</v>
      </c>
      <c r="P430" t="s">
        <v>24</v>
      </c>
      <c r="Q430" t="str">
        <f>TEXT(clean_data[[#This Row],[Date]],"mmm")</f>
        <v>Feb</v>
      </c>
      <c r="R430">
        <f>YEAR(clean_data[[#This Row],[Date]])</f>
        <v>2022</v>
      </c>
      <c r="S430" s="2">
        <f>clean_data[[#This Row],[Profit]]/clean_data[[#This Row],[Revenue]]</f>
        <v>0.55000000000000004</v>
      </c>
      <c r="T430" t="str" cm="1">
        <f t="array" ref="T430">_xlfn.IFS(clean_data[[#This Row],[Revenue]]&lt;300000,"Small",
     clean_data[[#This Row],[Revenue]]&lt;700000,"Medium",
     TRUE,"Large")</f>
        <v>Small</v>
      </c>
      <c r="U430" t="str" cm="1">
        <f t="array" ref="U430">_xlfn.IFS(clean_data[[#This Row],[profit margin%]]&lt;0.5,"Low Profit",
     clean_data[[#This Row],[profit margin%]]&lt;0.6,"Medium Profit",
     TRUE,"High Profit")</f>
        <v>Medium Profit</v>
      </c>
      <c r="V430" t="str">
        <f>TEXT(clean_data[[#This Row],[Date]],"mmm-yyyy")</f>
        <v>Feb-2022</v>
      </c>
      <c r="W430" s="8">
        <f>EOMONTH(clean_data[[#This Row],[Date]],-1)+1</f>
        <v>44593</v>
      </c>
    </row>
    <row r="431" spans="1:23" x14ac:dyDescent="0.3">
      <c r="A431" t="s">
        <v>503</v>
      </c>
      <c r="B431" s="1">
        <v>45583</v>
      </c>
      <c r="C431" t="s">
        <v>26</v>
      </c>
      <c r="D431" t="s">
        <v>69</v>
      </c>
      <c r="E431" t="s">
        <v>19</v>
      </c>
      <c r="F431" t="s">
        <v>33</v>
      </c>
      <c r="G431" t="s">
        <v>39</v>
      </c>
      <c r="H431">
        <v>26</v>
      </c>
      <c r="I431">
        <v>5000</v>
      </c>
      <c r="J431">
        <v>10</v>
      </c>
      <c r="K431">
        <v>117000</v>
      </c>
      <c r="L431">
        <v>58500</v>
      </c>
      <c r="M431">
        <v>58500</v>
      </c>
      <c r="N431" t="s">
        <v>22</v>
      </c>
      <c r="O431" t="s">
        <v>44</v>
      </c>
      <c r="P431" t="s">
        <v>24</v>
      </c>
      <c r="Q431" t="str">
        <f>TEXT(clean_data[[#This Row],[Date]],"mmm")</f>
        <v>Oct</v>
      </c>
      <c r="R431">
        <f>YEAR(clean_data[[#This Row],[Date]])</f>
        <v>2024</v>
      </c>
      <c r="S431" s="2">
        <f>clean_data[[#This Row],[Profit]]/clean_data[[#This Row],[Revenue]]</f>
        <v>0.5</v>
      </c>
      <c r="T431" t="str" cm="1">
        <f t="array" ref="T431">_xlfn.IFS(clean_data[[#This Row],[Revenue]]&lt;300000,"Small",
     clean_data[[#This Row],[Revenue]]&lt;700000,"Medium",
     TRUE,"Large")</f>
        <v>Small</v>
      </c>
      <c r="U431" t="str" cm="1">
        <f t="array" ref="U431">_xlfn.IFS(clean_data[[#This Row],[profit margin%]]&lt;0.5,"Low Profit",
     clean_data[[#This Row],[profit margin%]]&lt;0.6,"Medium Profit",
     TRUE,"High Profit")</f>
        <v>Medium Profit</v>
      </c>
      <c r="V431" t="str">
        <f>TEXT(clean_data[[#This Row],[Date]],"mmm-yyyy")</f>
        <v>Oct-2024</v>
      </c>
      <c r="W431" s="8">
        <f>EOMONTH(clean_data[[#This Row],[Date]],-1)+1</f>
        <v>45566</v>
      </c>
    </row>
    <row r="432" spans="1:23" x14ac:dyDescent="0.3">
      <c r="A432" t="s">
        <v>504</v>
      </c>
      <c r="B432" s="1">
        <v>45484</v>
      </c>
      <c r="C432" t="s">
        <v>17</v>
      </c>
      <c r="D432" t="s">
        <v>18</v>
      </c>
      <c r="E432" t="s">
        <v>38</v>
      </c>
      <c r="F432" t="s">
        <v>33</v>
      </c>
      <c r="G432" t="s">
        <v>76</v>
      </c>
      <c r="H432">
        <v>48</v>
      </c>
      <c r="I432">
        <v>8500</v>
      </c>
      <c r="J432">
        <v>5</v>
      </c>
      <c r="K432">
        <v>387600</v>
      </c>
      <c r="L432">
        <v>193800</v>
      </c>
      <c r="M432">
        <v>193800</v>
      </c>
      <c r="N432" t="s">
        <v>22</v>
      </c>
      <c r="O432" t="s">
        <v>44</v>
      </c>
      <c r="P432" t="s">
        <v>24</v>
      </c>
      <c r="Q432" t="str">
        <f>TEXT(clean_data[[#This Row],[Date]],"mmm")</f>
        <v>Jul</v>
      </c>
      <c r="R432">
        <f>YEAR(clean_data[[#This Row],[Date]])</f>
        <v>2024</v>
      </c>
      <c r="S432" s="2">
        <f>clean_data[[#This Row],[Profit]]/clean_data[[#This Row],[Revenue]]</f>
        <v>0.5</v>
      </c>
      <c r="T432" t="str" cm="1">
        <f t="array" ref="T432">_xlfn.IFS(clean_data[[#This Row],[Revenue]]&lt;300000,"Small",
     clean_data[[#This Row],[Revenue]]&lt;700000,"Medium",
     TRUE,"Large")</f>
        <v>Medium</v>
      </c>
      <c r="U432" t="str" cm="1">
        <f t="array" ref="U432">_xlfn.IFS(clean_data[[#This Row],[profit margin%]]&lt;0.5,"Low Profit",
     clean_data[[#This Row],[profit margin%]]&lt;0.6,"Medium Profit",
     TRUE,"High Profit")</f>
        <v>Medium Profit</v>
      </c>
      <c r="V432" t="str">
        <f>TEXT(clean_data[[#This Row],[Date]],"mmm-yyyy")</f>
        <v>Jul-2024</v>
      </c>
      <c r="W432" s="8">
        <f>EOMONTH(clean_data[[#This Row],[Date]],-1)+1</f>
        <v>45474</v>
      </c>
    </row>
    <row r="433" spans="1:23" x14ac:dyDescent="0.3">
      <c r="A433" t="s">
        <v>505</v>
      </c>
      <c r="B433" s="1">
        <v>45040</v>
      </c>
      <c r="C433" t="s">
        <v>46</v>
      </c>
      <c r="D433" t="s">
        <v>55</v>
      </c>
      <c r="E433" t="s">
        <v>19</v>
      </c>
      <c r="F433" t="s">
        <v>20</v>
      </c>
      <c r="G433" t="s">
        <v>74</v>
      </c>
      <c r="H433">
        <v>16</v>
      </c>
      <c r="I433">
        <v>4200</v>
      </c>
      <c r="J433">
        <v>20</v>
      </c>
      <c r="K433">
        <v>53760</v>
      </c>
      <c r="L433">
        <v>21504</v>
      </c>
      <c r="M433">
        <v>32256</v>
      </c>
      <c r="N433" t="s">
        <v>30</v>
      </c>
      <c r="O433" t="s">
        <v>35</v>
      </c>
      <c r="P433" t="s">
        <v>24</v>
      </c>
      <c r="Q433" t="str">
        <f>TEXT(clean_data[[#This Row],[Date]],"mmm")</f>
        <v>Apr</v>
      </c>
      <c r="R433">
        <f>YEAR(clean_data[[#This Row],[Date]])</f>
        <v>2023</v>
      </c>
      <c r="S433" s="2">
        <f>clean_data[[#This Row],[Profit]]/clean_data[[#This Row],[Revenue]]</f>
        <v>0.6</v>
      </c>
      <c r="T433" t="str" cm="1">
        <f t="array" ref="T433">_xlfn.IFS(clean_data[[#This Row],[Revenue]]&lt;300000,"Small",
     clean_data[[#This Row],[Revenue]]&lt;700000,"Medium",
     TRUE,"Large")</f>
        <v>Small</v>
      </c>
      <c r="U433" t="str" cm="1">
        <f t="array" ref="U433">_xlfn.IFS(clean_data[[#This Row],[profit margin%]]&lt;0.5,"Low Profit",
     clean_data[[#This Row],[profit margin%]]&lt;0.6,"Medium Profit",
     TRUE,"High Profit")</f>
        <v>High Profit</v>
      </c>
      <c r="V433" t="str">
        <f>TEXT(clean_data[[#This Row],[Date]],"mmm-yyyy")</f>
        <v>Apr-2023</v>
      </c>
      <c r="W433" s="8">
        <f>EOMONTH(clean_data[[#This Row],[Date]],-1)+1</f>
        <v>45017</v>
      </c>
    </row>
    <row r="434" spans="1:23" x14ac:dyDescent="0.3">
      <c r="A434" t="s">
        <v>506</v>
      </c>
      <c r="B434" s="1">
        <v>44776</v>
      </c>
      <c r="C434" t="s">
        <v>58</v>
      </c>
      <c r="D434" t="s">
        <v>64</v>
      </c>
      <c r="E434" t="s">
        <v>56</v>
      </c>
      <c r="F434" t="s">
        <v>28</v>
      </c>
      <c r="G434" t="s">
        <v>85</v>
      </c>
      <c r="H434">
        <v>24</v>
      </c>
      <c r="I434">
        <v>8000</v>
      </c>
      <c r="J434">
        <v>20</v>
      </c>
      <c r="K434">
        <v>153600</v>
      </c>
      <c r="L434">
        <v>84480</v>
      </c>
      <c r="M434">
        <v>69120</v>
      </c>
      <c r="N434" t="s">
        <v>49</v>
      </c>
      <c r="O434" t="s">
        <v>67</v>
      </c>
      <c r="P434" t="s">
        <v>24</v>
      </c>
      <c r="Q434" t="str">
        <f>TEXT(clean_data[[#This Row],[Date]],"mmm")</f>
        <v>Aug</v>
      </c>
      <c r="R434">
        <f>YEAR(clean_data[[#This Row],[Date]])</f>
        <v>2022</v>
      </c>
      <c r="S434" s="2">
        <f>clean_data[[#This Row],[Profit]]/clean_data[[#This Row],[Revenue]]</f>
        <v>0.45</v>
      </c>
      <c r="T434" t="str" cm="1">
        <f t="array" ref="T434">_xlfn.IFS(clean_data[[#This Row],[Revenue]]&lt;300000,"Small",
     clean_data[[#This Row],[Revenue]]&lt;700000,"Medium",
     TRUE,"Large")</f>
        <v>Small</v>
      </c>
      <c r="U434" t="str" cm="1">
        <f t="array" ref="U434">_xlfn.IFS(clean_data[[#This Row],[profit margin%]]&lt;0.5,"Low Profit",
     clean_data[[#This Row],[profit margin%]]&lt;0.6,"Medium Profit",
     TRUE,"High Profit")</f>
        <v>Low Profit</v>
      </c>
      <c r="V434" t="str">
        <f>TEXT(clean_data[[#This Row],[Date]],"mmm-yyyy")</f>
        <v>Aug-2022</v>
      </c>
      <c r="W434" s="8">
        <f>EOMONTH(clean_data[[#This Row],[Date]],-1)+1</f>
        <v>44774</v>
      </c>
    </row>
    <row r="435" spans="1:23" x14ac:dyDescent="0.3">
      <c r="A435" t="s">
        <v>507</v>
      </c>
      <c r="B435" s="1">
        <v>45093</v>
      </c>
      <c r="C435" t="s">
        <v>46</v>
      </c>
      <c r="D435" t="s">
        <v>55</v>
      </c>
      <c r="E435" t="s">
        <v>32</v>
      </c>
      <c r="F435" t="s">
        <v>20</v>
      </c>
      <c r="G435" t="s">
        <v>53</v>
      </c>
      <c r="H435">
        <v>9</v>
      </c>
      <c r="I435">
        <v>600</v>
      </c>
      <c r="J435">
        <v>0</v>
      </c>
      <c r="K435">
        <v>5400</v>
      </c>
      <c r="L435">
        <v>2160</v>
      </c>
      <c r="M435">
        <v>3240</v>
      </c>
      <c r="N435" t="s">
        <v>49</v>
      </c>
      <c r="O435" t="s">
        <v>23</v>
      </c>
      <c r="P435" t="s">
        <v>40</v>
      </c>
      <c r="Q435" t="str">
        <f>TEXT(clean_data[[#This Row],[Date]],"mmm")</f>
        <v>Jun</v>
      </c>
      <c r="R435">
        <f>YEAR(clean_data[[#This Row],[Date]])</f>
        <v>2023</v>
      </c>
      <c r="S435" s="2">
        <f>clean_data[[#This Row],[Profit]]/clean_data[[#This Row],[Revenue]]</f>
        <v>0.6</v>
      </c>
      <c r="T435" t="str" cm="1">
        <f t="array" ref="T435">_xlfn.IFS(clean_data[[#This Row],[Revenue]]&lt;300000,"Small",
     clean_data[[#This Row],[Revenue]]&lt;700000,"Medium",
     TRUE,"Large")</f>
        <v>Small</v>
      </c>
      <c r="U435" t="str" cm="1">
        <f t="array" ref="U435">_xlfn.IFS(clean_data[[#This Row],[profit margin%]]&lt;0.5,"Low Profit",
     clean_data[[#This Row],[profit margin%]]&lt;0.6,"Medium Profit",
     TRUE,"High Profit")</f>
        <v>High Profit</v>
      </c>
      <c r="V435" t="str">
        <f>TEXT(clean_data[[#This Row],[Date]],"mmm-yyyy")</f>
        <v>Jun-2023</v>
      </c>
      <c r="W435" s="8">
        <f>EOMONTH(clean_data[[#This Row],[Date]],-1)+1</f>
        <v>45078</v>
      </c>
    </row>
    <row r="436" spans="1:23" x14ac:dyDescent="0.3">
      <c r="A436" t="s">
        <v>508</v>
      </c>
      <c r="B436" s="1">
        <v>45598</v>
      </c>
      <c r="C436" t="s">
        <v>17</v>
      </c>
      <c r="D436" t="s">
        <v>37</v>
      </c>
      <c r="E436" t="s">
        <v>78</v>
      </c>
      <c r="F436" t="s">
        <v>65</v>
      </c>
      <c r="G436" t="s">
        <v>117</v>
      </c>
      <c r="H436">
        <v>45</v>
      </c>
      <c r="I436">
        <v>1200</v>
      </c>
      <c r="J436">
        <v>20</v>
      </c>
      <c r="K436">
        <v>43200</v>
      </c>
      <c r="L436">
        <v>19440</v>
      </c>
      <c r="M436">
        <v>23760</v>
      </c>
      <c r="N436" t="s">
        <v>49</v>
      </c>
      <c r="O436" t="s">
        <v>35</v>
      </c>
      <c r="P436" t="s">
        <v>24</v>
      </c>
      <c r="Q436" t="str">
        <f>TEXT(clean_data[[#This Row],[Date]],"mmm")</f>
        <v>Nov</v>
      </c>
      <c r="R436">
        <f>YEAR(clean_data[[#This Row],[Date]])</f>
        <v>2024</v>
      </c>
      <c r="S436" s="2">
        <f>clean_data[[#This Row],[Profit]]/clean_data[[#This Row],[Revenue]]</f>
        <v>0.55000000000000004</v>
      </c>
      <c r="T436" t="str" cm="1">
        <f t="array" ref="T436">_xlfn.IFS(clean_data[[#This Row],[Revenue]]&lt;300000,"Small",
     clean_data[[#This Row],[Revenue]]&lt;700000,"Medium",
     TRUE,"Large")</f>
        <v>Small</v>
      </c>
      <c r="U436" t="str" cm="1">
        <f t="array" ref="U436">_xlfn.IFS(clean_data[[#This Row],[profit margin%]]&lt;0.5,"Low Profit",
     clean_data[[#This Row],[profit margin%]]&lt;0.6,"Medium Profit",
     TRUE,"High Profit")</f>
        <v>Medium Profit</v>
      </c>
      <c r="V436" t="str">
        <f>TEXT(clean_data[[#This Row],[Date]],"mmm-yyyy")</f>
        <v>Nov-2024</v>
      </c>
      <c r="W436" s="8">
        <f>EOMONTH(clean_data[[#This Row],[Date]],-1)+1</f>
        <v>45597</v>
      </c>
    </row>
    <row r="437" spans="1:23" x14ac:dyDescent="0.3">
      <c r="A437" t="s">
        <v>509</v>
      </c>
      <c r="B437" s="1">
        <v>44583</v>
      </c>
      <c r="C437" t="s">
        <v>46</v>
      </c>
      <c r="D437" t="s">
        <v>55</v>
      </c>
      <c r="E437" t="s">
        <v>38</v>
      </c>
      <c r="F437" t="s">
        <v>28</v>
      </c>
      <c r="G437" t="s">
        <v>71</v>
      </c>
      <c r="H437">
        <v>24</v>
      </c>
      <c r="I437">
        <v>35000</v>
      </c>
      <c r="J437">
        <v>20</v>
      </c>
      <c r="K437">
        <v>672000</v>
      </c>
      <c r="L437">
        <v>369600</v>
      </c>
      <c r="M437">
        <v>302400</v>
      </c>
      <c r="N437" t="s">
        <v>30</v>
      </c>
      <c r="O437" t="s">
        <v>67</v>
      </c>
      <c r="P437" t="s">
        <v>24</v>
      </c>
      <c r="Q437" t="str">
        <f>TEXT(clean_data[[#This Row],[Date]],"mmm")</f>
        <v>Jan</v>
      </c>
      <c r="R437">
        <f>YEAR(clean_data[[#This Row],[Date]])</f>
        <v>2022</v>
      </c>
      <c r="S437" s="2">
        <f>clean_data[[#This Row],[Profit]]/clean_data[[#This Row],[Revenue]]</f>
        <v>0.45</v>
      </c>
      <c r="T437" t="str" cm="1">
        <f t="array" ref="T437">_xlfn.IFS(clean_data[[#This Row],[Revenue]]&lt;300000,"Small",
     clean_data[[#This Row],[Revenue]]&lt;700000,"Medium",
     TRUE,"Large")</f>
        <v>Medium</v>
      </c>
      <c r="U437" t="str" cm="1">
        <f t="array" ref="U437">_xlfn.IFS(clean_data[[#This Row],[profit margin%]]&lt;0.5,"Low Profit",
     clean_data[[#This Row],[profit margin%]]&lt;0.6,"Medium Profit",
     TRUE,"High Profit")</f>
        <v>Low Profit</v>
      </c>
      <c r="V437" t="str">
        <f>TEXT(clean_data[[#This Row],[Date]],"mmm-yyyy")</f>
        <v>Jan-2022</v>
      </c>
      <c r="W437" s="8">
        <f>EOMONTH(clean_data[[#This Row],[Date]],-1)+1</f>
        <v>44562</v>
      </c>
    </row>
    <row r="438" spans="1:23" x14ac:dyDescent="0.3">
      <c r="A438" t="s">
        <v>510</v>
      </c>
      <c r="B438" s="1">
        <v>45054</v>
      </c>
      <c r="C438" t="s">
        <v>17</v>
      </c>
      <c r="D438" t="s">
        <v>37</v>
      </c>
      <c r="E438" t="s">
        <v>38</v>
      </c>
      <c r="F438" t="s">
        <v>33</v>
      </c>
      <c r="G438" t="s">
        <v>34</v>
      </c>
      <c r="H438">
        <v>12</v>
      </c>
      <c r="I438">
        <v>25000</v>
      </c>
      <c r="J438">
        <v>15</v>
      </c>
      <c r="K438">
        <v>255000</v>
      </c>
      <c r="L438">
        <v>127500</v>
      </c>
      <c r="M438">
        <v>127500</v>
      </c>
      <c r="N438" t="s">
        <v>30</v>
      </c>
      <c r="O438" t="s">
        <v>23</v>
      </c>
      <c r="P438" t="s">
        <v>24</v>
      </c>
      <c r="Q438" t="str">
        <f>TEXT(clean_data[[#This Row],[Date]],"mmm")</f>
        <v>May</v>
      </c>
      <c r="R438">
        <f>YEAR(clean_data[[#This Row],[Date]])</f>
        <v>2023</v>
      </c>
      <c r="S438" s="2">
        <f>clean_data[[#This Row],[Profit]]/clean_data[[#This Row],[Revenue]]</f>
        <v>0.5</v>
      </c>
      <c r="T438" t="str" cm="1">
        <f t="array" ref="T438">_xlfn.IFS(clean_data[[#This Row],[Revenue]]&lt;300000,"Small",
     clean_data[[#This Row],[Revenue]]&lt;700000,"Medium",
     TRUE,"Large")</f>
        <v>Small</v>
      </c>
      <c r="U438" t="str" cm="1">
        <f t="array" ref="U438">_xlfn.IFS(clean_data[[#This Row],[profit margin%]]&lt;0.5,"Low Profit",
     clean_data[[#This Row],[profit margin%]]&lt;0.6,"Medium Profit",
     TRUE,"High Profit")</f>
        <v>Medium Profit</v>
      </c>
      <c r="V438" t="str">
        <f>TEXT(clean_data[[#This Row],[Date]],"mmm-yyyy")</f>
        <v>May-2023</v>
      </c>
      <c r="W438" s="8">
        <f>EOMONTH(clean_data[[#This Row],[Date]],-1)+1</f>
        <v>45047</v>
      </c>
    </row>
    <row r="439" spans="1:23" x14ac:dyDescent="0.3">
      <c r="A439" t="s">
        <v>511</v>
      </c>
      <c r="B439" s="1">
        <v>45272</v>
      </c>
      <c r="C439" t="s">
        <v>58</v>
      </c>
      <c r="D439" t="s">
        <v>59</v>
      </c>
      <c r="E439" t="s">
        <v>60</v>
      </c>
      <c r="F439" t="s">
        <v>20</v>
      </c>
      <c r="G439" t="s">
        <v>53</v>
      </c>
      <c r="H439">
        <v>9</v>
      </c>
      <c r="I439">
        <v>600</v>
      </c>
      <c r="J439">
        <v>20</v>
      </c>
      <c r="K439">
        <v>4320</v>
      </c>
      <c r="L439">
        <v>1728</v>
      </c>
      <c r="M439">
        <v>2592</v>
      </c>
      <c r="N439" t="s">
        <v>30</v>
      </c>
      <c r="O439" t="s">
        <v>50</v>
      </c>
      <c r="P439" t="s">
        <v>24</v>
      </c>
      <c r="Q439" t="str">
        <f>TEXT(clean_data[[#This Row],[Date]],"mmm")</f>
        <v>Dec</v>
      </c>
      <c r="R439">
        <f>YEAR(clean_data[[#This Row],[Date]])</f>
        <v>2023</v>
      </c>
      <c r="S439" s="2">
        <f>clean_data[[#This Row],[Profit]]/clean_data[[#This Row],[Revenue]]</f>
        <v>0.6</v>
      </c>
      <c r="T439" t="str" cm="1">
        <f t="array" ref="T439">_xlfn.IFS(clean_data[[#This Row],[Revenue]]&lt;300000,"Small",
     clean_data[[#This Row],[Revenue]]&lt;700000,"Medium",
     TRUE,"Large")</f>
        <v>Small</v>
      </c>
      <c r="U439" t="str" cm="1">
        <f t="array" ref="U439">_xlfn.IFS(clean_data[[#This Row],[profit margin%]]&lt;0.5,"Low Profit",
     clean_data[[#This Row],[profit margin%]]&lt;0.6,"Medium Profit",
     TRUE,"High Profit")</f>
        <v>High Profit</v>
      </c>
      <c r="V439" t="str">
        <f>TEXT(clean_data[[#This Row],[Date]],"mmm-yyyy")</f>
        <v>Dec-2023</v>
      </c>
      <c r="W439" s="8">
        <f>EOMONTH(clean_data[[#This Row],[Date]],-1)+1</f>
        <v>45261</v>
      </c>
    </row>
    <row r="440" spans="1:23" x14ac:dyDescent="0.3">
      <c r="A440" t="s">
        <v>512</v>
      </c>
      <c r="B440" s="1">
        <v>45034</v>
      </c>
      <c r="C440" t="s">
        <v>58</v>
      </c>
      <c r="D440" t="s">
        <v>59</v>
      </c>
      <c r="E440" t="s">
        <v>19</v>
      </c>
      <c r="F440" t="s">
        <v>20</v>
      </c>
      <c r="G440" t="s">
        <v>74</v>
      </c>
      <c r="H440">
        <v>31</v>
      </c>
      <c r="I440">
        <v>4200</v>
      </c>
      <c r="J440">
        <v>0</v>
      </c>
      <c r="K440">
        <v>130200</v>
      </c>
      <c r="L440">
        <v>52080</v>
      </c>
      <c r="M440">
        <v>78120</v>
      </c>
      <c r="N440" t="s">
        <v>49</v>
      </c>
      <c r="O440" t="s">
        <v>23</v>
      </c>
      <c r="P440" t="s">
        <v>24</v>
      </c>
      <c r="Q440" t="str">
        <f>TEXT(clean_data[[#This Row],[Date]],"mmm")</f>
        <v>Apr</v>
      </c>
      <c r="R440">
        <f>YEAR(clean_data[[#This Row],[Date]])</f>
        <v>2023</v>
      </c>
      <c r="S440" s="2">
        <f>clean_data[[#This Row],[Profit]]/clean_data[[#This Row],[Revenue]]</f>
        <v>0.6</v>
      </c>
      <c r="T440" t="str" cm="1">
        <f t="array" ref="T440">_xlfn.IFS(clean_data[[#This Row],[Revenue]]&lt;300000,"Small",
     clean_data[[#This Row],[Revenue]]&lt;700000,"Medium",
     TRUE,"Large")</f>
        <v>Small</v>
      </c>
      <c r="U440" t="str" cm="1">
        <f t="array" ref="U440">_xlfn.IFS(clean_data[[#This Row],[profit margin%]]&lt;0.5,"Low Profit",
     clean_data[[#This Row],[profit margin%]]&lt;0.6,"Medium Profit",
     TRUE,"High Profit")</f>
        <v>High Profit</v>
      </c>
      <c r="V440" t="str">
        <f>TEXT(clean_data[[#This Row],[Date]],"mmm-yyyy")</f>
        <v>Apr-2023</v>
      </c>
      <c r="W440" s="8">
        <f>EOMONTH(clean_data[[#This Row],[Date]],-1)+1</f>
        <v>45017</v>
      </c>
    </row>
    <row r="441" spans="1:23" x14ac:dyDescent="0.3">
      <c r="A441" t="s">
        <v>513</v>
      </c>
      <c r="B441" s="1">
        <v>44832</v>
      </c>
      <c r="C441" t="s">
        <v>17</v>
      </c>
      <c r="D441" t="s">
        <v>37</v>
      </c>
      <c r="E441" t="s">
        <v>73</v>
      </c>
      <c r="F441" t="s">
        <v>33</v>
      </c>
      <c r="G441" t="s">
        <v>43</v>
      </c>
      <c r="H441">
        <v>37</v>
      </c>
      <c r="I441">
        <v>4000</v>
      </c>
      <c r="J441">
        <v>0</v>
      </c>
      <c r="K441">
        <v>148000</v>
      </c>
      <c r="L441">
        <v>74000</v>
      </c>
      <c r="M441">
        <v>74000</v>
      </c>
      <c r="N441" t="s">
        <v>30</v>
      </c>
      <c r="O441" t="s">
        <v>44</v>
      </c>
      <c r="P441" t="s">
        <v>24</v>
      </c>
      <c r="Q441" t="str">
        <f>TEXT(clean_data[[#This Row],[Date]],"mmm")</f>
        <v>Sep</v>
      </c>
      <c r="R441">
        <f>YEAR(clean_data[[#This Row],[Date]])</f>
        <v>2022</v>
      </c>
      <c r="S441" s="2">
        <f>clean_data[[#This Row],[Profit]]/clean_data[[#This Row],[Revenue]]</f>
        <v>0.5</v>
      </c>
      <c r="T441" t="str" cm="1">
        <f t="array" ref="T441">_xlfn.IFS(clean_data[[#This Row],[Revenue]]&lt;300000,"Small",
     clean_data[[#This Row],[Revenue]]&lt;700000,"Medium",
     TRUE,"Large")</f>
        <v>Small</v>
      </c>
      <c r="U441" t="str" cm="1">
        <f t="array" ref="U441">_xlfn.IFS(clean_data[[#This Row],[profit margin%]]&lt;0.5,"Low Profit",
     clean_data[[#This Row],[profit margin%]]&lt;0.6,"Medium Profit",
     TRUE,"High Profit")</f>
        <v>Medium Profit</v>
      </c>
      <c r="V441" t="str">
        <f>TEXT(clean_data[[#This Row],[Date]],"mmm-yyyy")</f>
        <v>Sep-2022</v>
      </c>
      <c r="W441" s="8">
        <f>EOMONTH(clean_data[[#This Row],[Date]],-1)+1</f>
        <v>44805</v>
      </c>
    </row>
    <row r="442" spans="1:23" x14ac:dyDescent="0.3">
      <c r="A442" t="s">
        <v>514</v>
      </c>
      <c r="B442" s="1">
        <v>44658</v>
      </c>
      <c r="C442" t="s">
        <v>17</v>
      </c>
      <c r="D442" t="s">
        <v>37</v>
      </c>
      <c r="E442" t="s">
        <v>52</v>
      </c>
      <c r="F442" t="s">
        <v>65</v>
      </c>
      <c r="G442" t="s">
        <v>124</v>
      </c>
      <c r="H442">
        <v>17</v>
      </c>
      <c r="I442">
        <v>18000</v>
      </c>
      <c r="J442">
        <v>10</v>
      </c>
      <c r="K442">
        <v>275400</v>
      </c>
      <c r="L442">
        <v>123930</v>
      </c>
      <c r="M442">
        <v>151470</v>
      </c>
      <c r="N442" t="s">
        <v>22</v>
      </c>
      <c r="O442" t="s">
        <v>67</v>
      </c>
      <c r="P442" t="s">
        <v>24</v>
      </c>
      <c r="Q442" t="str">
        <f>TEXT(clean_data[[#This Row],[Date]],"mmm")</f>
        <v>Apr</v>
      </c>
      <c r="R442">
        <f>YEAR(clean_data[[#This Row],[Date]])</f>
        <v>2022</v>
      </c>
      <c r="S442" s="2">
        <f>clean_data[[#This Row],[Profit]]/clean_data[[#This Row],[Revenue]]</f>
        <v>0.55000000000000004</v>
      </c>
      <c r="T442" t="str" cm="1">
        <f t="array" ref="T442">_xlfn.IFS(clean_data[[#This Row],[Revenue]]&lt;300000,"Small",
     clean_data[[#This Row],[Revenue]]&lt;700000,"Medium",
     TRUE,"Large")</f>
        <v>Small</v>
      </c>
      <c r="U442" t="str" cm="1">
        <f t="array" ref="U442">_xlfn.IFS(clean_data[[#This Row],[profit margin%]]&lt;0.5,"Low Profit",
     clean_data[[#This Row],[profit margin%]]&lt;0.6,"Medium Profit",
     TRUE,"High Profit")</f>
        <v>Medium Profit</v>
      </c>
      <c r="V442" t="str">
        <f>TEXT(clean_data[[#This Row],[Date]],"mmm-yyyy")</f>
        <v>Apr-2022</v>
      </c>
      <c r="W442" s="8">
        <f>EOMONTH(clean_data[[#This Row],[Date]],-1)+1</f>
        <v>44652</v>
      </c>
    </row>
    <row r="443" spans="1:23" x14ac:dyDescent="0.3">
      <c r="A443" t="s">
        <v>515</v>
      </c>
      <c r="B443" s="1">
        <v>45058</v>
      </c>
      <c r="C443" t="s">
        <v>26</v>
      </c>
      <c r="D443" t="s">
        <v>69</v>
      </c>
      <c r="E443" t="s">
        <v>52</v>
      </c>
      <c r="F443" t="s">
        <v>33</v>
      </c>
      <c r="G443" t="s">
        <v>43</v>
      </c>
      <c r="H443">
        <v>13</v>
      </c>
      <c r="I443">
        <v>4000</v>
      </c>
      <c r="J443">
        <v>20</v>
      </c>
      <c r="K443">
        <v>41600</v>
      </c>
      <c r="L443">
        <v>20800</v>
      </c>
      <c r="M443">
        <v>20800</v>
      </c>
      <c r="N443" t="s">
        <v>22</v>
      </c>
      <c r="O443" t="s">
        <v>67</v>
      </c>
      <c r="P443" t="s">
        <v>40</v>
      </c>
      <c r="Q443" t="str">
        <f>TEXT(clean_data[[#This Row],[Date]],"mmm")</f>
        <v>May</v>
      </c>
      <c r="R443">
        <f>YEAR(clean_data[[#This Row],[Date]])</f>
        <v>2023</v>
      </c>
      <c r="S443" s="2">
        <f>clean_data[[#This Row],[Profit]]/clean_data[[#This Row],[Revenue]]</f>
        <v>0.5</v>
      </c>
      <c r="T443" t="str" cm="1">
        <f t="array" ref="T443">_xlfn.IFS(clean_data[[#This Row],[Revenue]]&lt;300000,"Small",
     clean_data[[#This Row],[Revenue]]&lt;700000,"Medium",
     TRUE,"Large")</f>
        <v>Small</v>
      </c>
      <c r="U443" t="str" cm="1">
        <f t="array" ref="U443">_xlfn.IFS(clean_data[[#This Row],[profit margin%]]&lt;0.5,"Low Profit",
     clean_data[[#This Row],[profit margin%]]&lt;0.6,"Medium Profit",
     TRUE,"High Profit")</f>
        <v>Medium Profit</v>
      </c>
      <c r="V443" t="str">
        <f>TEXT(clean_data[[#This Row],[Date]],"mmm-yyyy")</f>
        <v>May-2023</v>
      </c>
      <c r="W443" s="8">
        <f>EOMONTH(clean_data[[#This Row],[Date]],-1)+1</f>
        <v>45047</v>
      </c>
    </row>
    <row r="444" spans="1:23" x14ac:dyDescent="0.3">
      <c r="A444" t="s">
        <v>516</v>
      </c>
      <c r="B444" s="1">
        <v>44920</v>
      </c>
      <c r="C444" t="s">
        <v>17</v>
      </c>
      <c r="D444" t="s">
        <v>37</v>
      </c>
      <c r="E444" t="s">
        <v>70</v>
      </c>
      <c r="F444" t="s">
        <v>65</v>
      </c>
      <c r="G444" t="s">
        <v>66</v>
      </c>
      <c r="H444">
        <v>6</v>
      </c>
      <c r="I444">
        <v>5500</v>
      </c>
      <c r="J444">
        <v>15</v>
      </c>
      <c r="K444">
        <v>28050</v>
      </c>
      <c r="L444">
        <v>12622.5</v>
      </c>
      <c r="M444">
        <v>15427.5</v>
      </c>
      <c r="N444" t="s">
        <v>49</v>
      </c>
      <c r="O444" t="s">
        <v>23</v>
      </c>
      <c r="P444" t="s">
        <v>40</v>
      </c>
      <c r="Q444" t="str">
        <f>TEXT(clean_data[[#This Row],[Date]],"mmm")</f>
        <v>Dec</v>
      </c>
      <c r="R444">
        <f>YEAR(clean_data[[#This Row],[Date]])</f>
        <v>2022</v>
      </c>
      <c r="S444" s="2">
        <f>clean_data[[#This Row],[Profit]]/clean_data[[#This Row],[Revenue]]</f>
        <v>0.55000000000000004</v>
      </c>
      <c r="T444" t="str" cm="1">
        <f t="array" ref="T444">_xlfn.IFS(clean_data[[#This Row],[Revenue]]&lt;300000,"Small",
     clean_data[[#This Row],[Revenue]]&lt;700000,"Medium",
     TRUE,"Large")</f>
        <v>Small</v>
      </c>
      <c r="U444" t="str" cm="1">
        <f t="array" ref="U444">_xlfn.IFS(clean_data[[#This Row],[profit margin%]]&lt;0.5,"Low Profit",
     clean_data[[#This Row],[profit margin%]]&lt;0.6,"Medium Profit",
     TRUE,"High Profit")</f>
        <v>Medium Profit</v>
      </c>
      <c r="V444" t="str">
        <f>TEXT(clean_data[[#This Row],[Date]],"mmm-yyyy")</f>
        <v>Dec-2022</v>
      </c>
      <c r="W444" s="8">
        <f>EOMONTH(clean_data[[#This Row],[Date]],-1)+1</f>
        <v>44896</v>
      </c>
    </row>
    <row r="445" spans="1:23" x14ac:dyDescent="0.3">
      <c r="A445" t="s">
        <v>517</v>
      </c>
      <c r="B445" s="1">
        <v>44862</v>
      </c>
      <c r="C445" t="s">
        <v>46</v>
      </c>
      <c r="D445" t="s">
        <v>55</v>
      </c>
      <c r="E445" t="s">
        <v>32</v>
      </c>
      <c r="F445" t="s">
        <v>65</v>
      </c>
      <c r="G445" t="s">
        <v>117</v>
      </c>
      <c r="H445">
        <v>6</v>
      </c>
      <c r="I445">
        <v>1200</v>
      </c>
      <c r="J445">
        <v>5</v>
      </c>
      <c r="K445">
        <v>6840</v>
      </c>
      <c r="L445">
        <v>3078</v>
      </c>
      <c r="M445">
        <v>3762</v>
      </c>
      <c r="N445" t="s">
        <v>30</v>
      </c>
      <c r="O445" t="s">
        <v>50</v>
      </c>
      <c r="P445" t="s">
        <v>24</v>
      </c>
      <c r="Q445" t="str">
        <f>TEXT(clean_data[[#This Row],[Date]],"mmm")</f>
        <v>Oct</v>
      </c>
      <c r="R445">
        <f>YEAR(clean_data[[#This Row],[Date]])</f>
        <v>2022</v>
      </c>
      <c r="S445" s="2">
        <f>clean_data[[#This Row],[Profit]]/clean_data[[#This Row],[Revenue]]</f>
        <v>0.55000000000000004</v>
      </c>
      <c r="T445" t="str" cm="1">
        <f t="array" ref="T445">_xlfn.IFS(clean_data[[#This Row],[Revenue]]&lt;300000,"Small",
     clean_data[[#This Row],[Revenue]]&lt;700000,"Medium",
     TRUE,"Large")</f>
        <v>Small</v>
      </c>
      <c r="U445" t="str" cm="1">
        <f t="array" ref="U445">_xlfn.IFS(clean_data[[#This Row],[profit margin%]]&lt;0.5,"Low Profit",
     clean_data[[#This Row],[profit margin%]]&lt;0.6,"Medium Profit",
     TRUE,"High Profit")</f>
        <v>Medium Profit</v>
      </c>
      <c r="V445" t="str">
        <f>TEXT(clean_data[[#This Row],[Date]],"mmm-yyyy")</f>
        <v>Oct-2022</v>
      </c>
      <c r="W445" s="8">
        <f>EOMONTH(clean_data[[#This Row],[Date]],-1)+1</f>
        <v>44835</v>
      </c>
    </row>
    <row r="446" spans="1:23" x14ac:dyDescent="0.3">
      <c r="A446" t="s">
        <v>518</v>
      </c>
      <c r="B446" s="1">
        <v>45190</v>
      </c>
      <c r="C446" t="s">
        <v>17</v>
      </c>
      <c r="D446" t="s">
        <v>42</v>
      </c>
      <c r="E446" t="s">
        <v>73</v>
      </c>
      <c r="F446" t="s">
        <v>65</v>
      </c>
      <c r="G446" t="s">
        <v>124</v>
      </c>
      <c r="H446">
        <v>29</v>
      </c>
      <c r="I446">
        <v>18000</v>
      </c>
      <c r="J446">
        <v>10</v>
      </c>
      <c r="K446">
        <v>469800</v>
      </c>
      <c r="L446">
        <v>211410</v>
      </c>
      <c r="M446">
        <v>258390</v>
      </c>
      <c r="N446" t="s">
        <v>22</v>
      </c>
      <c r="O446" t="s">
        <v>23</v>
      </c>
      <c r="P446" t="s">
        <v>40</v>
      </c>
      <c r="Q446" t="str">
        <f>TEXT(clean_data[[#This Row],[Date]],"mmm")</f>
        <v>Sep</v>
      </c>
      <c r="R446">
        <f>YEAR(clean_data[[#This Row],[Date]])</f>
        <v>2023</v>
      </c>
      <c r="S446" s="2">
        <f>clean_data[[#This Row],[Profit]]/clean_data[[#This Row],[Revenue]]</f>
        <v>0.55000000000000004</v>
      </c>
      <c r="T446" t="str" cm="1">
        <f t="array" ref="T446">_xlfn.IFS(clean_data[[#This Row],[Revenue]]&lt;300000,"Small",
     clean_data[[#This Row],[Revenue]]&lt;700000,"Medium",
     TRUE,"Large")</f>
        <v>Medium</v>
      </c>
      <c r="U446" t="str" cm="1">
        <f t="array" ref="U446">_xlfn.IFS(clean_data[[#This Row],[profit margin%]]&lt;0.5,"Low Profit",
     clean_data[[#This Row],[profit margin%]]&lt;0.6,"Medium Profit",
     TRUE,"High Profit")</f>
        <v>Medium Profit</v>
      </c>
      <c r="V446" t="str">
        <f>TEXT(clean_data[[#This Row],[Date]],"mmm-yyyy")</f>
        <v>Sep-2023</v>
      </c>
      <c r="W446" s="8">
        <f>EOMONTH(clean_data[[#This Row],[Date]],-1)+1</f>
        <v>45170</v>
      </c>
    </row>
    <row r="447" spans="1:23" x14ac:dyDescent="0.3">
      <c r="A447" t="s">
        <v>519</v>
      </c>
      <c r="B447" s="1">
        <v>45357</v>
      </c>
      <c r="C447" t="s">
        <v>46</v>
      </c>
      <c r="D447" t="s">
        <v>47</v>
      </c>
      <c r="E447" t="s">
        <v>78</v>
      </c>
      <c r="F447" t="s">
        <v>20</v>
      </c>
      <c r="G447" t="s">
        <v>61</v>
      </c>
      <c r="H447">
        <v>48</v>
      </c>
      <c r="I447">
        <v>800</v>
      </c>
      <c r="J447">
        <v>0</v>
      </c>
      <c r="K447">
        <v>38400</v>
      </c>
      <c r="L447">
        <v>15360</v>
      </c>
      <c r="M447">
        <v>23040</v>
      </c>
      <c r="N447" t="s">
        <v>30</v>
      </c>
      <c r="O447" t="s">
        <v>23</v>
      </c>
      <c r="P447" t="s">
        <v>24</v>
      </c>
      <c r="Q447" t="str">
        <f>TEXT(clean_data[[#This Row],[Date]],"mmm")</f>
        <v>Mar</v>
      </c>
      <c r="R447">
        <f>YEAR(clean_data[[#This Row],[Date]])</f>
        <v>2024</v>
      </c>
      <c r="S447" s="2">
        <f>clean_data[[#This Row],[Profit]]/clean_data[[#This Row],[Revenue]]</f>
        <v>0.6</v>
      </c>
      <c r="T447" t="str" cm="1">
        <f t="array" ref="T447">_xlfn.IFS(clean_data[[#This Row],[Revenue]]&lt;300000,"Small",
     clean_data[[#This Row],[Revenue]]&lt;700000,"Medium",
     TRUE,"Large")</f>
        <v>Small</v>
      </c>
      <c r="U447" t="str" cm="1">
        <f t="array" ref="U447">_xlfn.IFS(clean_data[[#This Row],[profit margin%]]&lt;0.5,"Low Profit",
     clean_data[[#This Row],[profit margin%]]&lt;0.6,"Medium Profit",
     TRUE,"High Profit")</f>
        <v>High Profit</v>
      </c>
      <c r="V447" t="str">
        <f>TEXT(clean_data[[#This Row],[Date]],"mmm-yyyy")</f>
        <v>Mar-2024</v>
      </c>
      <c r="W447" s="8">
        <f>EOMONTH(clean_data[[#This Row],[Date]],-1)+1</f>
        <v>45352</v>
      </c>
    </row>
    <row r="448" spans="1:23" x14ac:dyDescent="0.3">
      <c r="A448" t="s">
        <v>520</v>
      </c>
      <c r="B448" s="1">
        <v>44746</v>
      </c>
      <c r="C448" t="s">
        <v>26</v>
      </c>
      <c r="D448" t="s">
        <v>69</v>
      </c>
      <c r="E448" t="s">
        <v>111</v>
      </c>
      <c r="F448" t="s">
        <v>28</v>
      </c>
      <c r="G448" t="s">
        <v>95</v>
      </c>
      <c r="H448">
        <v>50</v>
      </c>
      <c r="I448">
        <v>75000</v>
      </c>
      <c r="J448">
        <v>15</v>
      </c>
      <c r="K448">
        <v>3187500</v>
      </c>
      <c r="L448">
        <v>1753125</v>
      </c>
      <c r="M448">
        <v>1434375</v>
      </c>
      <c r="N448" t="s">
        <v>30</v>
      </c>
      <c r="O448" t="s">
        <v>35</v>
      </c>
      <c r="P448" t="s">
        <v>40</v>
      </c>
      <c r="Q448" t="str">
        <f>TEXT(clean_data[[#This Row],[Date]],"mmm")</f>
        <v>Jul</v>
      </c>
      <c r="R448">
        <f>YEAR(clean_data[[#This Row],[Date]])</f>
        <v>2022</v>
      </c>
      <c r="S448" s="2">
        <f>clean_data[[#This Row],[Profit]]/clean_data[[#This Row],[Revenue]]</f>
        <v>0.45</v>
      </c>
      <c r="T448" t="str" cm="1">
        <f t="array" ref="T448">_xlfn.IFS(clean_data[[#This Row],[Revenue]]&lt;300000,"Small",
     clean_data[[#This Row],[Revenue]]&lt;700000,"Medium",
     TRUE,"Large")</f>
        <v>Large</v>
      </c>
      <c r="U448" t="str" cm="1">
        <f t="array" ref="U448">_xlfn.IFS(clean_data[[#This Row],[profit margin%]]&lt;0.5,"Low Profit",
     clean_data[[#This Row],[profit margin%]]&lt;0.6,"Medium Profit",
     TRUE,"High Profit")</f>
        <v>Low Profit</v>
      </c>
      <c r="V448" t="str">
        <f>TEXT(clean_data[[#This Row],[Date]],"mmm-yyyy")</f>
        <v>Jul-2022</v>
      </c>
      <c r="W448" s="8">
        <f>EOMONTH(clean_data[[#This Row],[Date]],-1)+1</f>
        <v>44743</v>
      </c>
    </row>
    <row r="449" spans="1:23" x14ac:dyDescent="0.3">
      <c r="A449" t="s">
        <v>521</v>
      </c>
      <c r="B449" s="1">
        <v>45066</v>
      </c>
      <c r="C449" t="s">
        <v>46</v>
      </c>
      <c r="D449" t="s">
        <v>47</v>
      </c>
      <c r="E449" t="s">
        <v>32</v>
      </c>
      <c r="F449" t="s">
        <v>33</v>
      </c>
      <c r="G449" t="s">
        <v>76</v>
      </c>
      <c r="H449">
        <v>16</v>
      </c>
      <c r="I449">
        <v>8500</v>
      </c>
      <c r="J449">
        <v>10</v>
      </c>
      <c r="K449">
        <v>122400</v>
      </c>
      <c r="L449">
        <v>61200</v>
      </c>
      <c r="M449">
        <v>61200</v>
      </c>
      <c r="N449" t="s">
        <v>22</v>
      </c>
      <c r="O449" t="s">
        <v>44</v>
      </c>
      <c r="P449" t="s">
        <v>24</v>
      </c>
      <c r="Q449" t="str">
        <f>TEXT(clean_data[[#This Row],[Date]],"mmm")</f>
        <v>May</v>
      </c>
      <c r="R449">
        <f>YEAR(clean_data[[#This Row],[Date]])</f>
        <v>2023</v>
      </c>
      <c r="S449" s="2">
        <f>clean_data[[#This Row],[Profit]]/clean_data[[#This Row],[Revenue]]</f>
        <v>0.5</v>
      </c>
      <c r="T449" t="str" cm="1">
        <f t="array" ref="T449">_xlfn.IFS(clean_data[[#This Row],[Revenue]]&lt;300000,"Small",
     clean_data[[#This Row],[Revenue]]&lt;700000,"Medium",
     TRUE,"Large")</f>
        <v>Small</v>
      </c>
      <c r="U449" t="str" cm="1">
        <f t="array" ref="U449">_xlfn.IFS(clean_data[[#This Row],[profit margin%]]&lt;0.5,"Low Profit",
     clean_data[[#This Row],[profit margin%]]&lt;0.6,"Medium Profit",
     TRUE,"High Profit")</f>
        <v>Medium Profit</v>
      </c>
      <c r="V449" t="str">
        <f>TEXT(clean_data[[#This Row],[Date]],"mmm-yyyy")</f>
        <v>May-2023</v>
      </c>
      <c r="W449" s="8">
        <f>EOMONTH(clean_data[[#This Row],[Date]],-1)+1</f>
        <v>45047</v>
      </c>
    </row>
    <row r="450" spans="1:23" x14ac:dyDescent="0.3">
      <c r="A450" t="s">
        <v>522</v>
      </c>
      <c r="B450" s="1">
        <v>44821</v>
      </c>
      <c r="C450" t="s">
        <v>46</v>
      </c>
      <c r="D450" t="s">
        <v>47</v>
      </c>
      <c r="E450" t="s">
        <v>56</v>
      </c>
      <c r="F450" t="s">
        <v>33</v>
      </c>
      <c r="G450" t="s">
        <v>34</v>
      </c>
      <c r="H450">
        <v>31</v>
      </c>
      <c r="I450">
        <v>25000</v>
      </c>
      <c r="J450">
        <v>15</v>
      </c>
      <c r="K450">
        <v>658750</v>
      </c>
      <c r="L450">
        <v>329375</v>
      </c>
      <c r="M450">
        <v>329375</v>
      </c>
      <c r="N450" t="s">
        <v>49</v>
      </c>
      <c r="O450" t="s">
        <v>67</v>
      </c>
      <c r="P450" t="s">
        <v>40</v>
      </c>
      <c r="Q450" t="str">
        <f>TEXT(clean_data[[#This Row],[Date]],"mmm")</f>
        <v>Sep</v>
      </c>
      <c r="R450">
        <f>YEAR(clean_data[[#This Row],[Date]])</f>
        <v>2022</v>
      </c>
      <c r="S450" s="2">
        <f>clean_data[[#This Row],[Profit]]/clean_data[[#This Row],[Revenue]]</f>
        <v>0.5</v>
      </c>
      <c r="T450" t="str" cm="1">
        <f t="array" ref="T450">_xlfn.IFS(clean_data[[#This Row],[Revenue]]&lt;300000,"Small",
     clean_data[[#This Row],[Revenue]]&lt;700000,"Medium",
     TRUE,"Large")</f>
        <v>Medium</v>
      </c>
      <c r="U450" t="str" cm="1">
        <f t="array" ref="U450">_xlfn.IFS(clean_data[[#This Row],[profit margin%]]&lt;0.5,"Low Profit",
     clean_data[[#This Row],[profit margin%]]&lt;0.6,"Medium Profit",
     TRUE,"High Profit")</f>
        <v>Medium Profit</v>
      </c>
      <c r="V450" t="str">
        <f>TEXT(clean_data[[#This Row],[Date]],"mmm-yyyy")</f>
        <v>Sep-2022</v>
      </c>
      <c r="W450" s="8">
        <f>EOMONTH(clean_data[[#This Row],[Date]],-1)+1</f>
        <v>44805</v>
      </c>
    </row>
    <row r="451" spans="1:23" x14ac:dyDescent="0.3">
      <c r="A451" t="s">
        <v>523</v>
      </c>
      <c r="B451" s="1">
        <v>45417</v>
      </c>
      <c r="C451" t="s">
        <v>46</v>
      </c>
      <c r="D451" t="s">
        <v>55</v>
      </c>
      <c r="E451" t="s">
        <v>38</v>
      </c>
      <c r="F451" t="s">
        <v>65</v>
      </c>
      <c r="G451" t="s">
        <v>79</v>
      </c>
      <c r="H451">
        <v>41</v>
      </c>
      <c r="I451">
        <v>900</v>
      </c>
      <c r="J451">
        <v>20</v>
      </c>
      <c r="K451">
        <v>29520</v>
      </c>
      <c r="L451">
        <v>13284</v>
      </c>
      <c r="M451">
        <v>16236</v>
      </c>
      <c r="N451" t="s">
        <v>49</v>
      </c>
      <c r="O451" t="s">
        <v>23</v>
      </c>
      <c r="P451" t="s">
        <v>24</v>
      </c>
      <c r="Q451" t="str">
        <f>TEXT(clean_data[[#This Row],[Date]],"mmm")</f>
        <v>May</v>
      </c>
      <c r="R451">
        <f>YEAR(clean_data[[#This Row],[Date]])</f>
        <v>2024</v>
      </c>
      <c r="S451" s="2">
        <f>clean_data[[#This Row],[Profit]]/clean_data[[#This Row],[Revenue]]</f>
        <v>0.55000000000000004</v>
      </c>
      <c r="T451" t="str" cm="1">
        <f t="array" ref="T451">_xlfn.IFS(clean_data[[#This Row],[Revenue]]&lt;300000,"Small",
     clean_data[[#This Row],[Revenue]]&lt;700000,"Medium",
     TRUE,"Large")</f>
        <v>Small</v>
      </c>
      <c r="U451" t="str" cm="1">
        <f t="array" ref="U451">_xlfn.IFS(clean_data[[#This Row],[profit margin%]]&lt;0.5,"Low Profit",
     clean_data[[#This Row],[profit margin%]]&lt;0.6,"Medium Profit",
     TRUE,"High Profit")</f>
        <v>Medium Profit</v>
      </c>
      <c r="V451" t="str">
        <f>TEXT(clean_data[[#This Row],[Date]],"mmm-yyyy")</f>
        <v>May-2024</v>
      </c>
      <c r="W451" s="8">
        <f>EOMONTH(clean_data[[#This Row],[Date]],-1)+1</f>
        <v>45413</v>
      </c>
    </row>
    <row r="452" spans="1:23" x14ac:dyDescent="0.3">
      <c r="A452" t="s">
        <v>524</v>
      </c>
      <c r="B452" s="1">
        <v>45604</v>
      </c>
      <c r="C452" t="s">
        <v>26</v>
      </c>
      <c r="D452" t="s">
        <v>69</v>
      </c>
      <c r="E452" t="s">
        <v>73</v>
      </c>
      <c r="F452" t="s">
        <v>33</v>
      </c>
      <c r="G452" t="s">
        <v>48</v>
      </c>
      <c r="H452">
        <v>17</v>
      </c>
      <c r="I452">
        <v>1500</v>
      </c>
      <c r="J452">
        <v>5</v>
      </c>
      <c r="K452">
        <v>24225</v>
      </c>
      <c r="L452">
        <v>12112.5</v>
      </c>
      <c r="M452">
        <v>12112.5</v>
      </c>
      <c r="N452" t="s">
        <v>30</v>
      </c>
      <c r="O452" t="s">
        <v>35</v>
      </c>
      <c r="P452" t="s">
        <v>24</v>
      </c>
      <c r="Q452" t="str">
        <f>TEXT(clean_data[[#This Row],[Date]],"mmm")</f>
        <v>Nov</v>
      </c>
      <c r="R452">
        <f>YEAR(clean_data[[#This Row],[Date]])</f>
        <v>2024</v>
      </c>
      <c r="S452" s="2">
        <f>clean_data[[#This Row],[Profit]]/clean_data[[#This Row],[Revenue]]</f>
        <v>0.5</v>
      </c>
      <c r="T452" t="str" cm="1">
        <f t="array" ref="T452">_xlfn.IFS(clean_data[[#This Row],[Revenue]]&lt;300000,"Small",
     clean_data[[#This Row],[Revenue]]&lt;700000,"Medium",
     TRUE,"Large")</f>
        <v>Small</v>
      </c>
      <c r="U452" t="str" cm="1">
        <f t="array" ref="U452">_xlfn.IFS(clean_data[[#This Row],[profit margin%]]&lt;0.5,"Low Profit",
     clean_data[[#This Row],[profit margin%]]&lt;0.6,"Medium Profit",
     TRUE,"High Profit")</f>
        <v>Medium Profit</v>
      </c>
      <c r="V452" t="str">
        <f>TEXT(clean_data[[#This Row],[Date]],"mmm-yyyy")</f>
        <v>Nov-2024</v>
      </c>
      <c r="W452" s="8">
        <f>EOMONTH(clean_data[[#This Row],[Date]],-1)+1</f>
        <v>45597</v>
      </c>
    </row>
    <row r="453" spans="1:23" x14ac:dyDescent="0.3">
      <c r="A453" t="s">
        <v>525</v>
      </c>
      <c r="B453" s="1">
        <v>45592</v>
      </c>
      <c r="C453" t="s">
        <v>46</v>
      </c>
      <c r="D453" t="s">
        <v>55</v>
      </c>
      <c r="E453" t="s">
        <v>73</v>
      </c>
      <c r="F453" t="s">
        <v>65</v>
      </c>
      <c r="G453" t="s">
        <v>79</v>
      </c>
      <c r="H453">
        <v>1</v>
      </c>
      <c r="I453">
        <v>900</v>
      </c>
      <c r="J453">
        <v>15</v>
      </c>
      <c r="K453">
        <v>765</v>
      </c>
      <c r="L453">
        <v>344.25</v>
      </c>
      <c r="M453">
        <v>420.75</v>
      </c>
      <c r="N453" t="s">
        <v>49</v>
      </c>
      <c r="O453" t="s">
        <v>35</v>
      </c>
      <c r="P453" t="s">
        <v>24</v>
      </c>
      <c r="Q453" t="str">
        <f>TEXT(clean_data[[#This Row],[Date]],"mmm")</f>
        <v>Oct</v>
      </c>
      <c r="R453">
        <f>YEAR(clean_data[[#This Row],[Date]])</f>
        <v>2024</v>
      </c>
      <c r="S453" s="2">
        <f>clean_data[[#This Row],[Profit]]/clean_data[[#This Row],[Revenue]]</f>
        <v>0.55000000000000004</v>
      </c>
      <c r="T453" t="str" cm="1">
        <f t="array" ref="T453">_xlfn.IFS(clean_data[[#This Row],[Revenue]]&lt;300000,"Small",
     clean_data[[#This Row],[Revenue]]&lt;700000,"Medium",
     TRUE,"Large")</f>
        <v>Small</v>
      </c>
      <c r="U453" t="str" cm="1">
        <f t="array" ref="U453">_xlfn.IFS(clean_data[[#This Row],[profit margin%]]&lt;0.5,"Low Profit",
     clean_data[[#This Row],[profit margin%]]&lt;0.6,"Medium Profit",
     TRUE,"High Profit")</f>
        <v>Medium Profit</v>
      </c>
      <c r="V453" t="str">
        <f>TEXT(clean_data[[#This Row],[Date]],"mmm-yyyy")</f>
        <v>Oct-2024</v>
      </c>
      <c r="W453" s="8">
        <f>EOMONTH(clean_data[[#This Row],[Date]],-1)+1</f>
        <v>45566</v>
      </c>
    </row>
    <row r="454" spans="1:23" x14ac:dyDescent="0.3">
      <c r="A454" t="s">
        <v>526</v>
      </c>
      <c r="B454" s="1">
        <v>45408</v>
      </c>
      <c r="C454" t="s">
        <v>17</v>
      </c>
      <c r="D454" t="s">
        <v>42</v>
      </c>
      <c r="E454" t="s">
        <v>19</v>
      </c>
      <c r="F454" t="s">
        <v>28</v>
      </c>
      <c r="G454" t="s">
        <v>29</v>
      </c>
      <c r="H454">
        <v>24</v>
      </c>
      <c r="I454">
        <v>15000</v>
      </c>
      <c r="J454">
        <v>5</v>
      </c>
      <c r="K454">
        <v>342000</v>
      </c>
      <c r="L454">
        <v>188100</v>
      </c>
      <c r="M454">
        <v>153900</v>
      </c>
      <c r="N454" t="s">
        <v>22</v>
      </c>
      <c r="O454" t="s">
        <v>23</v>
      </c>
      <c r="P454" t="s">
        <v>24</v>
      </c>
      <c r="Q454" t="str">
        <f>TEXT(clean_data[[#This Row],[Date]],"mmm")</f>
        <v>Apr</v>
      </c>
      <c r="R454">
        <f>YEAR(clean_data[[#This Row],[Date]])</f>
        <v>2024</v>
      </c>
      <c r="S454" s="2">
        <f>clean_data[[#This Row],[Profit]]/clean_data[[#This Row],[Revenue]]</f>
        <v>0.45</v>
      </c>
      <c r="T454" t="str" cm="1">
        <f t="array" ref="T454">_xlfn.IFS(clean_data[[#This Row],[Revenue]]&lt;300000,"Small",
     clean_data[[#This Row],[Revenue]]&lt;700000,"Medium",
     TRUE,"Large")</f>
        <v>Medium</v>
      </c>
      <c r="U454" t="str" cm="1">
        <f t="array" ref="U454">_xlfn.IFS(clean_data[[#This Row],[profit margin%]]&lt;0.5,"Low Profit",
     clean_data[[#This Row],[profit margin%]]&lt;0.6,"Medium Profit",
     TRUE,"High Profit")</f>
        <v>Low Profit</v>
      </c>
      <c r="V454" t="str">
        <f>TEXT(clean_data[[#This Row],[Date]],"mmm-yyyy")</f>
        <v>Apr-2024</v>
      </c>
      <c r="W454" s="8">
        <f>EOMONTH(clean_data[[#This Row],[Date]],-1)+1</f>
        <v>45383</v>
      </c>
    </row>
    <row r="455" spans="1:23" x14ac:dyDescent="0.3">
      <c r="A455" t="s">
        <v>527</v>
      </c>
      <c r="B455" s="1">
        <v>45330</v>
      </c>
      <c r="C455" t="s">
        <v>46</v>
      </c>
      <c r="D455" t="s">
        <v>55</v>
      </c>
      <c r="E455" t="s">
        <v>32</v>
      </c>
      <c r="F455" t="s">
        <v>20</v>
      </c>
      <c r="G455" t="s">
        <v>61</v>
      </c>
      <c r="H455">
        <v>6</v>
      </c>
      <c r="I455">
        <v>800</v>
      </c>
      <c r="J455">
        <v>15</v>
      </c>
      <c r="K455">
        <v>4080</v>
      </c>
      <c r="L455">
        <v>1632</v>
      </c>
      <c r="M455">
        <v>2448</v>
      </c>
      <c r="N455" t="s">
        <v>22</v>
      </c>
      <c r="O455" t="s">
        <v>67</v>
      </c>
      <c r="P455" t="s">
        <v>24</v>
      </c>
      <c r="Q455" t="str">
        <f>TEXT(clean_data[[#This Row],[Date]],"mmm")</f>
        <v>Feb</v>
      </c>
      <c r="R455">
        <f>YEAR(clean_data[[#This Row],[Date]])</f>
        <v>2024</v>
      </c>
      <c r="S455" s="2">
        <f>clean_data[[#This Row],[Profit]]/clean_data[[#This Row],[Revenue]]</f>
        <v>0.6</v>
      </c>
      <c r="T455" t="str" cm="1">
        <f t="array" ref="T455">_xlfn.IFS(clean_data[[#This Row],[Revenue]]&lt;300000,"Small",
     clean_data[[#This Row],[Revenue]]&lt;700000,"Medium",
     TRUE,"Large")</f>
        <v>Small</v>
      </c>
      <c r="U455" t="str" cm="1">
        <f t="array" ref="U455">_xlfn.IFS(clean_data[[#This Row],[profit margin%]]&lt;0.5,"Low Profit",
     clean_data[[#This Row],[profit margin%]]&lt;0.6,"Medium Profit",
     TRUE,"High Profit")</f>
        <v>High Profit</v>
      </c>
      <c r="V455" t="str">
        <f>TEXT(clean_data[[#This Row],[Date]],"mmm-yyyy")</f>
        <v>Feb-2024</v>
      </c>
      <c r="W455" s="8">
        <f>EOMONTH(clean_data[[#This Row],[Date]],-1)+1</f>
        <v>45323</v>
      </c>
    </row>
    <row r="456" spans="1:23" x14ac:dyDescent="0.3">
      <c r="A456" t="s">
        <v>528</v>
      </c>
      <c r="B456" s="1">
        <v>45087</v>
      </c>
      <c r="C456" t="s">
        <v>17</v>
      </c>
      <c r="D456" t="s">
        <v>37</v>
      </c>
      <c r="E456" t="s">
        <v>19</v>
      </c>
      <c r="F456" t="s">
        <v>28</v>
      </c>
      <c r="G456" t="s">
        <v>87</v>
      </c>
      <c r="H456">
        <v>9</v>
      </c>
      <c r="I456">
        <v>45000</v>
      </c>
      <c r="J456">
        <v>10</v>
      </c>
      <c r="K456">
        <v>364500</v>
      </c>
      <c r="L456">
        <v>200475</v>
      </c>
      <c r="M456">
        <v>164025</v>
      </c>
      <c r="N456" t="s">
        <v>22</v>
      </c>
      <c r="O456" t="s">
        <v>23</v>
      </c>
      <c r="P456" t="s">
        <v>24</v>
      </c>
      <c r="Q456" t="str">
        <f>TEXT(clean_data[[#This Row],[Date]],"mmm")</f>
        <v>Jun</v>
      </c>
      <c r="R456">
        <f>YEAR(clean_data[[#This Row],[Date]])</f>
        <v>2023</v>
      </c>
      <c r="S456" s="2">
        <f>clean_data[[#This Row],[Profit]]/clean_data[[#This Row],[Revenue]]</f>
        <v>0.45</v>
      </c>
      <c r="T456" t="str" cm="1">
        <f t="array" ref="T456">_xlfn.IFS(clean_data[[#This Row],[Revenue]]&lt;300000,"Small",
     clean_data[[#This Row],[Revenue]]&lt;700000,"Medium",
     TRUE,"Large")</f>
        <v>Medium</v>
      </c>
      <c r="U456" t="str" cm="1">
        <f t="array" ref="U456">_xlfn.IFS(clean_data[[#This Row],[profit margin%]]&lt;0.5,"Low Profit",
     clean_data[[#This Row],[profit margin%]]&lt;0.6,"Medium Profit",
     TRUE,"High Profit")</f>
        <v>Low Profit</v>
      </c>
      <c r="V456" t="str">
        <f>TEXT(clean_data[[#This Row],[Date]],"mmm-yyyy")</f>
        <v>Jun-2023</v>
      </c>
      <c r="W456" s="8">
        <f>EOMONTH(clean_data[[#This Row],[Date]],-1)+1</f>
        <v>45078</v>
      </c>
    </row>
    <row r="457" spans="1:23" x14ac:dyDescent="0.3">
      <c r="A457" t="s">
        <v>529</v>
      </c>
      <c r="B457" s="1">
        <v>45421</v>
      </c>
      <c r="C457" t="s">
        <v>58</v>
      </c>
      <c r="D457" t="s">
        <v>84</v>
      </c>
      <c r="E457" t="s">
        <v>70</v>
      </c>
      <c r="F457" t="s">
        <v>28</v>
      </c>
      <c r="G457" t="s">
        <v>87</v>
      </c>
      <c r="H457">
        <v>4</v>
      </c>
      <c r="I457">
        <v>45000</v>
      </c>
      <c r="J457">
        <v>20</v>
      </c>
      <c r="K457">
        <v>144000</v>
      </c>
      <c r="L457">
        <v>79200</v>
      </c>
      <c r="M457">
        <v>64800</v>
      </c>
      <c r="N457" t="s">
        <v>30</v>
      </c>
      <c r="O457" t="s">
        <v>35</v>
      </c>
      <c r="P457" t="s">
        <v>24</v>
      </c>
      <c r="Q457" t="str">
        <f>TEXT(clean_data[[#This Row],[Date]],"mmm")</f>
        <v>May</v>
      </c>
      <c r="R457">
        <f>YEAR(clean_data[[#This Row],[Date]])</f>
        <v>2024</v>
      </c>
      <c r="S457" s="2">
        <f>clean_data[[#This Row],[Profit]]/clean_data[[#This Row],[Revenue]]</f>
        <v>0.45</v>
      </c>
      <c r="T457" t="str" cm="1">
        <f t="array" ref="T457">_xlfn.IFS(clean_data[[#This Row],[Revenue]]&lt;300000,"Small",
     clean_data[[#This Row],[Revenue]]&lt;700000,"Medium",
     TRUE,"Large")</f>
        <v>Small</v>
      </c>
      <c r="U457" t="str" cm="1">
        <f t="array" ref="U457">_xlfn.IFS(clean_data[[#This Row],[profit margin%]]&lt;0.5,"Low Profit",
     clean_data[[#This Row],[profit margin%]]&lt;0.6,"Medium Profit",
     TRUE,"High Profit")</f>
        <v>Low Profit</v>
      </c>
      <c r="V457" t="str">
        <f>TEXT(clean_data[[#This Row],[Date]],"mmm-yyyy")</f>
        <v>May-2024</v>
      </c>
      <c r="W457" s="8">
        <f>EOMONTH(clean_data[[#This Row],[Date]],-1)+1</f>
        <v>45413</v>
      </c>
    </row>
    <row r="458" spans="1:23" x14ac:dyDescent="0.3">
      <c r="A458" t="s">
        <v>530</v>
      </c>
      <c r="B458" s="1">
        <v>45116</v>
      </c>
      <c r="C458" t="s">
        <v>46</v>
      </c>
      <c r="D458" t="s">
        <v>55</v>
      </c>
      <c r="E458" t="s">
        <v>56</v>
      </c>
      <c r="F458" t="s">
        <v>20</v>
      </c>
      <c r="G458" t="s">
        <v>21</v>
      </c>
      <c r="H458">
        <v>10</v>
      </c>
      <c r="I458">
        <v>3500</v>
      </c>
      <c r="J458">
        <v>0</v>
      </c>
      <c r="K458">
        <v>35000</v>
      </c>
      <c r="L458">
        <v>14000</v>
      </c>
      <c r="M458">
        <v>21000</v>
      </c>
      <c r="N458" t="s">
        <v>30</v>
      </c>
      <c r="O458" t="s">
        <v>50</v>
      </c>
      <c r="P458" t="s">
        <v>24</v>
      </c>
      <c r="Q458" t="str">
        <f>TEXT(clean_data[[#This Row],[Date]],"mmm")</f>
        <v>Jul</v>
      </c>
      <c r="R458">
        <f>YEAR(clean_data[[#This Row],[Date]])</f>
        <v>2023</v>
      </c>
      <c r="S458" s="2">
        <f>clean_data[[#This Row],[Profit]]/clean_data[[#This Row],[Revenue]]</f>
        <v>0.6</v>
      </c>
      <c r="T458" t="str" cm="1">
        <f t="array" ref="T458">_xlfn.IFS(clean_data[[#This Row],[Revenue]]&lt;300000,"Small",
     clean_data[[#This Row],[Revenue]]&lt;700000,"Medium",
     TRUE,"Large")</f>
        <v>Small</v>
      </c>
      <c r="U458" t="str" cm="1">
        <f t="array" ref="U458">_xlfn.IFS(clean_data[[#This Row],[profit margin%]]&lt;0.5,"Low Profit",
     clean_data[[#This Row],[profit margin%]]&lt;0.6,"Medium Profit",
     TRUE,"High Profit")</f>
        <v>High Profit</v>
      </c>
      <c r="V458" t="str">
        <f>TEXT(clean_data[[#This Row],[Date]],"mmm-yyyy")</f>
        <v>Jul-2023</v>
      </c>
      <c r="W458" s="8">
        <f>EOMONTH(clean_data[[#This Row],[Date]],-1)+1</f>
        <v>45108</v>
      </c>
    </row>
    <row r="459" spans="1:23" x14ac:dyDescent="0.3">
      <c r="A459" t="s">
        <v>531</v>
      </c>
      <c r="B459" s="1">
        <v>45361</v>
      </c>
      <c r="C459" t="s">
        <v>58</v>
      </c>
      <c r="D459" t="s">
        <v>59</v>
      </c>
      <c r="E459" t="s">
        <v>60</v>
      </c>
      <c r="F459" t="s">
        <v>28</v>
      </c>
      <c r="G459" t="s">
        <v>71</v>
      </c>
      <c r="H459">
        <v>6</v>
      </c>
      <c r="I459">
        <v>35000</v>
      </c>
      <c r="J459">
        <v>5</v>
      </c>
      <c r="K459">
        <v>199500</v>
      </c>
      <c r="L459">
        <v>109725</v>
      </c>
      <c r="M459">
        <v>89775</v>
      </c>
      <c r="N459" t="s">
        <v>49</v>
      </c>
      <c r="O459" t="s">
        <v>23</v>
      </c>
      <c r="P459" t="s">
        <v>24</v>
      </c>
      <c r="Q459" t="str">
        <f>TEXT(clean_data[[#This Row],[Date]],"mmm")</f>
        <v>Mar</v>
      </c>
      <c r="R459">
        <f>YEAR(clean_data[[#This Row],[Date]])</f>
        <v>2024</v>
      </c>
      <c r="S459" s="2">
        <f>clean_data[[#This Row],[Profit]]/clean_data[[#This Row],[Revenue]]</f>
        <v>0.45</v>
      </c>
      <c r="T459" t="str" cm="1">
        <f t="array" ref="T459">_xlfn.IFS(clean_data[[#This Row],[Revenue]]&lt;300000,"Small",
     clean_data[[#This Row],[Revenue]]&lt;700000,"Medium",
     TRUE,"Large")</f>
        <v>Small</v>
      </c>
      <c r="U459" t="str" cm="1">
        <f t="array" ref="U459">_xlfn.IFS(clean_data[[#This Row],[profit margin%]]&lt;0.5,"Low Profit",
     clean_data[[#This Row],[profit margin%]]&lt;0.6,"Medium Profit",
     TRUE,"High Profit")</f>
        <v>Low Profit</v>
      </c>
      <c r="V459" t="str">
        <f>TEXT(clean_data[[#This Row],[Date]],"mmm-yyyy")</f>
        <v>Mar-2024</v>
      </c>
      <c r="W459" s="8">
        <f>EOMONTH(clean_data[[#This Row],[Date]],-1)+1</f>
        <v>45352</v>
      </c>
    </row>
    <row r="460" spans="1:23" x14ac:dyDescent="0.3">
      <c r="A460" t="s">
        <v>532</v>
      </c>
      <c r="B460" s="1">
        <v>44699</v>
      </c>
      <c r="C460" t="s">
        <v>58</v>
      </c>
      <c r="D460" t="s">
        <v>84</v>
      </c>
      <c r="E460" t="s">
        <v>19</v>
      </c>
      <c r="F460" t="s">
        <v>33</v>
      </c>
      <c r="G460" t="s">
        <v>48</v>
      </c>
      <c r="H460">
        <v>1</v>
      </c>
      <c r="I460">
        <v>1500</v>
      </c>
      <c r="J460">
        <v>0</v>
      </c>
      <c r="K460">
        <v>1500</v>
      </c>
      <c r="L460">
        <v>750</v>
      </c>
      <c r="M460">
        <v>750</v>
      </c>
      <c r="N460" t="s">
        <v>49</v>
      </c>
      <c r="O460" t="s">
        <v>23</v>
      </c>
      <c r="P460" t="s">
        <v>24</v>
      </c>
      <c r="Q460" t="str">
        <f>TEXT(clean_data[[#This Row],[Date]],"mmm")</f>
        <v>May</v>
      </c>
      <c r="R460">
        <f>YEAR(clean_data[[#This Row],[Date]])</f>
        <v>2022</v>
      </c>
      <c r="S460" s="2">
        <f>clean_data[[#This Row],[Profit]]/clean_data[[#This Row],[Revenue]]</f>
        <v>0.5</v>
      </c>
      <c r="T460" t="str" cm="1">
        <f t="array" ref="T460">_xlfn.IFS(clean_data[[#This Row],[Revenue]]&lt;300000,"Small",
     clean_data[[#This Row],[Revenue]]&lt;700000,"Medium",
     TRUE,"Large")</f>
        <v>Small</v>
      </c>
      <c r="U460" t="str" cm="1">
        <f t="array" ref="U460">_xlfn.IFS(clean_data[[#This Row],[profit margin%]]&lt;0.5,"Low Profit",
     clean_data[[#This Row],[profit margin%]]&lt;0.6,"Medium Profit",
     TRUE,"High Profit")</f>
        <v>Medium Profit</v>
      </c>
      <c r="V460" t="str">
        <f>TEXT(clean_data[[#This Row],[Date]],"mmm-yyyy")</f>
        <v>May-2022</v>
      </c>
      <c r="W460" s="8">
        <f>EOMONTH(clean_data[[#This Row],[Date]],-1)+1</f>
        <v>44682</v>
      </c>
    </row>
    <row r="461" spans="1:23" x14ac:dyDescent="0.3">
      <c r="A461" t="s">
        <v>533</v>
      </c>
      <c r="B461" s="1">
        <v>45040</v>
      </c>
      <c r="C461" t="s">
        <v>26</v>
      </c>
      <c r="D461" t="s">
        <v>27</v>
      </c>
      <c r="E461" t="s">
        <v>60</v>
      </c>
      <c r="F461" t="s">
        <v>28</v>
      </c>
      <c r="G461" t="s">
        <v>29</v>
      </c>
      <c r="H461">
        <v>43</v>
      </c>
      <c r="I461">
        <v>15000</v>
      </c>
      <c r="J461">
        <v>5</v>
      </c>
      <c r="K461">
        <v>612750</v>
      </c>
      <c r="L461">
        <v>337012.5</v>
      </c>
      <c r="M461">
        <v>275737.5</v>
      </c>
      <c r="N461" t="s">
        <v>49</v>
      </c>
      <c r="O461" t="s">
        <v>50</v>
      </c>
      <c r="P461" t="s">
        <v>24</v>
      </c>
      <c r="Q461" t="str">
        <f>TEXT(clean_data[[#This Row],[Date]],"mmm")</f>
        <v>Apr</v>
      </c>
      <c r="R461">
        <f>YEAR(clean_data[[#This Row],[Date]])</f>
        <v>2023</v>
      </c>
      <c r="S461" s="2">
        <f>clean_data[[#This Row],[Profit]]/clean_data[[#This Row],[Revenue]]</f>
        <v>0.45</v>
      </c>
      <c r="T461" t="str" cm="1">
        <f t="array" ref="T461">_xlfn.IFS(clean_data[[#This Row],[Revenue]]&lt;300000,"Small",
     clean_data[[#This Row],[Revenue]]&lt;700000,"Medium",
     TRUE,"Large")</f>
        <v>Medium</v>
      </c>
      <c r="U461" t="str" cm="1">
        <f t="array" ref="U461">_xlfn.IFS(clean_data[[#This Row],[profit margin%]]&lt;0.5,"Low Profit",
     clean_data[[#This Row],[profit margin%]]&lt;0.6,"Medium Profit",
     TRUE,"High Profit")</f>
        <v>Low Profit</v>
      </c>
      <c r="V461" t="str">
        <f>TEXT(clean_data[[#This Row],[Date]],"mmm-yyyy")</f>
        <v>Apr-2023</v>
      </c>
      <c r="W461" s="8">
        <f>EOMONTH(clean_data[[#This Row],[Date]],-1)+1</f>
        <v>45017</v>
      </c>
    </row>
    <row r="462" spans="1:23" x14ac:dyDescent="0.3">
      <c r="A462" t="s">
        <v>534</v>
      </c>
      <c r="B462" s="1">
        <v>45175</v>
      </c>
      <c r="C462" t="s">
        <v>26</v>
      </c>
      <c r="D462" t="s">
        <v>27</v>
      </c>
      <c r="E462" t="s">
        <v>73</v>
      </c>
      <c r="F462" t="s">
        <v>65</v>
      </c>
      <c r="G462" t="s">
        <v>124</v>
      </c>
      <c r="H462">
        <v>13</v>
      </c>
      <c r="I462">
        <v>18000</v>
      </c>
      <c r="J462">
        <v>10</v>
      </c>
      <c r="K462">
        <v>210600</v>
      </c>
      <c r="L462">
        <v>94770</v>
      </c>
      <c r="M462">
        <v>115830</v>
      </c>
      <c r="N462" t="s">
        <v>22</v>
      </c>
      <c r="O462" t="s">
        <v>44</v>
      </c>
      <c r="P462" t="s">
        <v>24</v>
      </c>
      <c r="Q462" t="str">
        <f>TEXT(clean_data[[#This Row],[Date]],"mmm")</f>
        <v>Sep</v>
      </c>
      <c r="R462">
        <f>YEAR(clean_data[[#This Row],[Date]])</f>
        <v>2023</v>
      </c>
      <c r="S462" s="2">
        <f>clean_data[[#This Row],[Profit]]/clean_data[[#This Row],[Revenue]]</f>
        <v>0.55000000000000004</v>
      </c>
      <c r="T462" t="str" cm="1">
        <f t="array" ref="T462">_xlfn.IFS(clean_data[[#This Row],[Revenue]]&lt;300000,"Small",
     clean_data[[#This Row],[Revenue]]&lt;700000,"Medium",
     TRUE,"Large")</f>
        <v>Small</v>
      </c>
      <c r="U462" t="str" cm="1">
        <f t="array" ref="U462">_xlfn.IFS(clean_data[[#This Row],[profit margin%]]&lt;0.5,"Low Profit",
     clean_data[[#This Row],[profit margin%]]&lt;0.6,"Medium Profit",
     TRUE,"High Profit")</f>
        <v>Medium Profit</v>
      </c>
      <c r="V462" t="str">
        <f>TEXT(clean_data[[#This Row],[Date]],"mmm-yyyy")</f>
        <v>Sep-2023</v>
      </c>
      <c r="W462" s="8">
        <f>EOMONTH(clean_data[[#This Row],[Date]],-1)+1</f>
        <v>45170</v>
      </c>
    </row>
    <row r="463" spans="1:23" x14ac:dyDescent="0.3">
      <c r="A463" t="s">
        <v>535</v>
      </c>
      <c r="B463" s="1">
        <v>44781</v>
      </c>
      <c r="C463" t="s">
        <v>58</v>
      </c>
      <c r="D463" t="s">
        <v>59</v>
      </c>
      <c r="E463" t="s">
        <v>56</v>
      </c>
      <c r="F463" t="s">
        <v>20</v>
      </c>
      <c r="G463" t="s">
        <v>61</v>
      </c>
      <c r="H463">
        <v>38</v>
      </c>
      <c r="I463">
        <v>800</v>
      </c>
      <c r="J463">
        <v>0</v>
      </c>
      <c r="K463">
        <v>30400</v>
      </c>
      <c r="L463">
        <v>12160</v>
      </c>
      <c r="M463">
        <v>18240</v>
      </c>
      <c r="N463" t="s">
        <v>30</v>
      </c>
      <c r="O463" t="s">
        <v>35</v>
      </c>
      <c r="P463" t="s">
        <v>24</v>
      </c>
      <c r="Q463" t="str">
        <f>TEXT(clean_data[[#This Row],[Date]],"mmm")</f>
        <v>Aug</v>
      </c>
      <c r="R463">
        <f>YEAR(clean_data[[#This Row],[Date]])</f>
        <v>2022</v>
      </c>
      <c r="S463" s="2">
        <f>clean_data[[#This Row],[Profit]]/clean_data[[#This Row],[Revenue]]</f>
        <v>0.6</v>
      </c>
      <c r="T463" t="str" cm="1">
        <f t="array" ref="T463">_xlfn.IFS(clean_data[[#This Row],[Revenue]]&lt;300000,"Small",
     clean_data[[#This Row],[Revenue]]&lt;700000,"Medium",
     TRUE,"Large")</f>
        <v>Small</v>
      </c>
      <c r="U463" t="str" cm="1">
        <f t="array" ref="U463">_xlfn.IFS(clean_data[[#This Row],[profit margin%]]&lt;0.5,"Low Profit",
     clean_data[[#This Row],[profit margin%]]&lt;0.6,"Medium Profit",
     TRUE,"High Profit")</f>
        <v>High Profit</v>
      </c>
      <c r="V463" t="str">
        <f>TEXT(clean_data[[#This Row],[Date]],"mmm-yyyy")</f>
        <v>Aug-2022</v>
      </c>
      <c r="W463" s="8">
        <f>EOMONTH(clean_data[[#This Row],[Date]],-1)+1</f>
        <v>44774</v>
      </c>
    </row>
    <row r="464" spans="1:23" x14ac:dyDescent="0.3">
      <c r="A464" t="s">
        <v>536</v>
      </c>
      <c r="B464" s="1">
        <v>44639</v>
      </c>
      <c r="C464" t="s">
        <v>58</v>
      </c>
      <c r="D464" t="s">
        <v>64</v>
      </c>
      <c r="E464" t="s">
        <v>38</v>
      </c>
      <c r="F464" t="s">
        <v>20</v>
      </c>
      <c r="G464" t="s">
        <v>61</v>
      </c>
      <c r="H464">
        <v>50</v>
      </c>
      <c r="I464">
        <v>800</v>
      </c>
      <c r="J464">
        <v>0</v>
      </c>
      <c r="K464">
        <v>40000</v>
      </c>
      <c r="L464">
        <v>16000</v>
      </c>
      <c r="M464">
        <v>24000</v>
      </c>
      <c r="N464" t="s">
        <v>30</v>
      </c>
      <c r="O464" t="s">
        <v>23</v>
      </c>
      <c r="P464" t="s">
        <v>24</v>
      </c>
      <c r="Q464" t="str">
        <f>TEXT(clean_data[[#This Row],[Date]],"mmm")</f>
        <v>Mar</v>
      </c>
      <c r="R464">
        <f>YEAR(clean_data[[#This Row],[Date]])</f>
        <v>2022</v>
      </c>
      <c r="S464" s="2">
        <f>clean_data[[#This Row],[Profit]]/clean_data[[#This Row],[Revenue]]</f>
        <v>0.6</v>
      </c>
      <c r="T464" t="str" cm="1">
        <f t="array" ref="T464">_xlfn.IFS(clean_data[[#This Row],[Revenue]]&lt;300000,"Small",
     clean_data[[#This Row],[Revenue]]&lt;700000,"Medium",
     TRUE,"Large")</f>
        <v>Small</v>
      </c>
      <c r="U464" t="str" cm="1">
        <f t="array" ref="U464">_xlfn.IFS(clean_data[[#This Row],[profit margin%]]&lt;0.5,"Low Profit",
     clean_data[[#This Row],[profit margin%]]&lt;0.6,"Medium Profit",
     TRUE,"High Profit")</f>
        <v>High Profit</v>
      </c>
      <c r="V464" t="str">
        <f>TEXT(clean_data[[#This Row],[Date]],"mmm-yyyy")</f>
        <v>Mar-2022</v>
      </c>
      <c r="W464" s="8">
        <f>EOMONTH(clean_data[[#This Row],[Date]],-1)+1</f>
        <v>44621</v>
      </c>
    </row>
    <row r="465" spans="1:23" x14ac:dyDescent="0.3">
      <c r="A465" t="s">
        <v>537</v>
      </c>
      <c r="B465" s="1">
        <v>44734</v>
      </c>
      <c r="C465" t="s">
        <v>17</v>
      </c>
      <c r="D465" t="s">
        <v>42</v>
      </c>
      <c r="E465" t="s">
        <v>56</v>
      </c>
      <c r="F465" t="s">
        <v>28</v>
      </c>
      <c r="G465" t="s">
        <v>71</v>
      </c>
      <c r="H465">
        <v>42</v>
      </c>
      <c r="I465">
        <v>35000</v>
      </c>
      <c r="J465">
        <v>5</v>
      </c>
      <c r="K465">
        <v>1396500</v>
      </c>
      <c r="L465">
        <v>768075</v>
      </c>
      <c r="M465">
        <v>628425</v>
      </c>
      <c r="N465" t="s">
        <v>30</v>
      </c>
      <c r="O465" t="s">
        <v>44</v>
      </c>
      <c r="P465" t="s">
        <v>40</v>
      </c>
      <c r="Q465" t="str">
        <f>TEXT(clean_data[[#This Row],[Date]],"mmm")</f>
        <v>Jun</v>
      </c>
      <c r="R465">
        <f>YEAR(clean_data[[#This Row],[Date]])</f>
        <v>2022</v>
      </c>
      <c r="S465" s="2">
        <f>clean_data[[#This Row],[Profit]]/clean_data[[#This Row],[Revenue]]</f>
        <v>0.45</v>
      </c>
      <c r="T465" t="str" cm="1">
        <f t="array" ref="T465">_xlfn.IFS(clean_data[[#This Row],[Revenue]]&lt;300000,"Small",
     clean_data[[#This Row],[Revenue]]&lt;700000,"Medium",
     TRUE,"Large")</f>
        <v>Large</v>
      </c>
      <c r="U465" t="str" cm="1">
        <f t="array" ref="U465">_xlfn.IFS(clean_data[[#This Row],[profit margin%]]&lt;0.5,"Low Profit",
     clean_data[[#This Row],[profit margin%]]&lt;0.6,"Medium Profit",
     TRUE,"High Profit")</f>
        <v>Low Profit</v>
      </c>
      <c r="V465" t="str">
        <f>TEXT(clean_data[[#This Row],[Date]],"mmm-yyyy")</f>
        <v>Jun-2022</v>
      </c>
      <c r="W465" s="8">
        <f>EOMONTH(clean_data[[#This Row],[Date]],-1)+1</f>
        <v>44713</v>
      </c>
    </row>
    <row r="466" spans="1:23" x14ac:dyDescent="0.3">
      <c r="A466" t="s">
        <v>538</v>
      </c>
      <c r="B466" s="1">
        <v>45512</v>
      </c>
      <c r="C466" t="s">
        <v>17</v>
      </c>
      <c r="D466" t="s">
        <v>42</v>
      </c>
      <c r="E466" t="s">
        <v>70</v>
      </c>
      <c r="F466" t="s">
        <v>65</v>
      </c>
      <c r="G466" t="s">
        <v>104</v>
      </c>
      <c r="H466">
        <v>2</v>
      </c>
      <c r="I466">
        <v>3000</v>
      </c>
      <c r="J466">
        <v>15</v>
      </c>
      <c r="K466">
        <v>5100</v>
      </c>
      <c r="L466">
        <v>2295</v>
      </c>
      <c r="M466">
        <v>2805</v>
      </c>
      <c r="N466" t="s">
        <v>22</v>
      </c>
      <c r="O466" t="s">
        <v>44</v>
      </c>
      <c r="P466" t="s">
        <v>24</v>
      </c>
      <c r="Q466" t="str">
        <f>TEXT(clean_data[[#This Row],[Date]],"mmm")</f>
        <v>Aug</v>
      </c>
      <c r="R466">
        <f>YEAR(clean_data[[#This Row],[Date]])</f>
        <v>2024</v>
      </c>
      <c r="S466" s="2">
        <f>clean_data[[#This Row],[Profit]]/clean_data[[#This Row],[Revenue]]</f>
        <v>0.55000000000000004</v>
      </c>
      <c r="T466" t="str" cm="1">
        <f t="array" ref="T466">_xlfn.IFS(clean_data[[#This Row],[Revenue]]&lt;300000,"Small",
     clean_data[[#This Row],[Revenue]]&lt;700000,"Medium",
     TRUE,"Large")</f>
        <v>Small</v>
      </c>
      <c r="U466" t="str" cm="1">
        <f t="array" ref="U466">_xlfn.IFS(clean_data[[#This Row],[profit margin%]]&lt;0.5,"Low Profit",
     clean_data[[#This Row],[profit margin%]]&lt;0.6,"Medium Profit",
     TRUE,"High Profit")</f>
        <v>Medium Profit</v>
      </c>
      <c r="V466" t="str">
        <f>TEXT(clean_data[[#This Row],[Date]],"mmm-yyyy")</f>
        <v>Aug-2024</v>
      </c>
      <c r="W466" s="8">
        <f>EOMONTH(clean_data[[#This Row],[Date]],-1)+1</f>
        <v>45505</v>
      </c>
    </row>
    <row r="467" spans="1:23" x14ac:dyDescent="0.3">
      <c r="A467" t="s">
        <v>539</v>
      </c>
      <c r="B467" s="1">
        <v>45048</v>
      </c>
      <c r="C467" t="s">
        <v>58</v>
      </c>
      <c r="D467" t="s">
        <v>64</v>
      </c>
      <c r="E467" t="s">
        <v>60</v>
      </c>
      <c r="F467" t="s">
        <v>33</v>
      </c>
      <c r="G467" t="s">
        <v>43</v>
      </c>
      <c r="H467">
        <v>45</v>
      </c>
      <c r="I467">
        <v>4000</v>
      </c>
      <c r="J467">
        <v>15</v>
      </c>
      <c r="K467">
        <v>153000</v>
      </c>
      <c r="L467">
        <v>76500</v>
      </c>
      <c r="M467">
        <v>76500</v>
      </c>
      <c r="N467" t="s">
        <v>22</v>
      </c>
      <c r="O467" t="s">
        <v>44</v>
      </c>
      <c r="P467" t="s">
        <v>24</v>
      </c>
      <c r="Q467" t="str">
        <f>TEXT(clean_data[[#This Row],[Date]],"mmm")</f>
        <v>May</v>
      </c>
      <c r="R467">
        <f>YEAR(clean_data[[#This Row],[Date]])</f>
        <v>2023</v>
      </c>
      <c r="S467" s="2">
        <f>clean_data[[#This Row],[Profit]]/clean_data[[#This Row],[Revenue]]</f>
        <v>0.5</v>
      </c>
      <c r="T467" t="str" cm="1">
        <f t="array" ref="T467">_xlfn.IFS(clean_data[[#This Row],[Revenue]]&lt;300000,"Small",
     clean_data[[#This Row],[Revenue]]&lt;700000,"Medium",
     TRUE,"Large")</f>
        <v>Small</v>
      </c>
      <c r="U467" t="str" cm="1">
        <f t="array" ref="U467">_xlfn.IFS(clean_data[[#This Row],[profit margin%]]&lt;0.5,"Low Profit",
     clean_data[[#This Row],[profit margin%]]&lt;0.6,"Medium Profit",
     TRUE,"High Profit")</f>
        <v>Medium Profit</v>
      </c>
      <c r="V467" t="str">
        <f>TEXT(clean_data[[#This Row],[Date]],"mmm-yyyy")</f>
        <v>May-2023</v>
      </c>
      <c r="W467" s="8">
        <f>EOMONTH(clean_data[[#This Row],[Date]],-1)+1</f>
        <v>45047</v>
      </c>
    </row>
    <row r="468" spans="1:23" x14ac:dyDescent="0.3">
      <c r="A468" t="s">
        <v>540</v>
      </c>
      <c r="B468" s="1">
        <v>45608</v>
      </c>
      <c r="C468" t="s">
        <v>17</v>
      </c>
      <c r="D468" t="s">
        <v>42</v>
      </c>
      <c r="E468" t="s">
        <v>60</v>
      </c>
      <c r="F468" t="s">
        <v>33</v>
      </c>
      <c r="G468" t="s">
        <v>43</v>
      </c>
      <c r="H468">
        <v>36</v>
      </c>
      <c r="I468">
        <v>4000</v>
      </c>
      <c r="J468">
        <v>5</v>
      </c>
      <c r="K468">
        <v>136800</v>
      </c>
      <c r="L468">
        <v>68400</v>
      </c>
      <c r="M468">
        <v>68400</v>
      </c>
      <c r="N468" t="s">
        <v>22</v>
      </c>
      <c r="O468" t="s">
        <v>44</v>
      </c>
      <c r="P468" t="s">
        <v>24</v>
      </c>
      <c r="Q468" t="str">
        <f>TEXT(clean_data[[#This Row],[Date]],"mmm")</f>
        <v>Nov</v>
      </c>
      <c r="R468">
        <f>YEAR(clean_data[[#This Row],[Date]])</f>
        <v>2024</v>
      </c>
      <c r="S468" s="2">
        <f>clean_data[[#This Row],[Profit]]/clean_data[[#This Row],[Revenue]]</f>
        <v>0.5</v>
      </c>
      <c r="T468" t="str" cm="1">
        <f t="array" ref="T468">_xlfn.IFS(clean_data[[#This Row],[Revenue]]&lt;300000,"Small",
     clean_data[[#This Row],[Revenue]]&lt;700000,"Medium",
     TRUE,"Large")</f>
        <v>Small</v>
      </c>
      <c r="U468" t="str" cm="1">
        <f t="array" ref="U468">_xlfn.IFS(clean_data[[#This Row],[profit margin%]]&lt;0.5,"Low Profit",
     clean_data[[#This Row],[profit margin%]]&lt;0.6,"Medium Profit",
     TRUE,"High Profit")</f>
        <v>Medium Profit</v>
      </c>
      <c r="V468" t="str">
        <f>TEXT(clean_data[[#This Row],[Date]],"mmm-yyyy")</f>
        <v>Nov-2024</v>
      </c>
      <c r="W468" s="8">
        <f>EOMONTH(clean_data[[#This Row],[Date]],-1)+1</f>
        <v>45597</v>
      </c>
    </row>
    <row r="469" spans="1:23" x14ac:dyDescent="0.3">
      <c r="A469" t="s">
        <v>541</v>
      </c>
      <c r="B469" s="1">
        <v>45422</v>
      </c>
      <c r="C469" t="s">
        <v>17</v>
      </c>
      <c r="D469" t="s">
        <v>42</v>
      </c>
      <c r="E469" t="s">
        <v>70</v>
      </c>
      <c r="F469" t="s">
        <v>65</v>
      </c>
      <c r="G469" t="s">
        <v>117</v>
      </c>
      <c r="H469">
        <v>50</v>
      </c>
      <c r="I469">
        <v>1200</v>
      </c>
      <c r="J469">
        <v>20</v>
      </c>
      <c r="K469">
        <v>48000</v>
      </c>
      <c r="L469">
        <v>21600</v>
      </c>
      <c r="M469">
        <v>26400</v>
      </c>
      <c r="N469" t="s">
        <v>22</v>
      </c>
      <c r="O469" t="s">
        <v>44</v>
      </c>
      <c r="P469" t="s">
        <v>24</v>
      </c>
      <c r="Q469" t="str">
        <f>TEXT(clean_data[[#This Row],[Date]],"mmm")</f>
        <v>May</v>
      </c>
      <c r="R469">
        <f>YEAR(clean_data[[#This Row],[Date]])</f>
        <v>2024</v>
      </c>
      <c r="S469" s="2">
        <f>clean_data[[#This Row],[Profit]]/clean_data[[#This Row],[Revenue]]</f>
        <v>0.55000000000000004</v>
      </c>
      <c r="T469" t="str" cm="1">
        <f t="array" ref="T469">_xlfn.IFS(clean_data[[#This Row],[Revenue]]&lt;300000,"Small",
     clean_data[[#This Row],[Revenue]]&lt;700000,"Medium",
     TRUE,"Large")</f>
        <v>Small</v>
      </c>
      <c r="U469" t="str" cm="1">
        <f t="array" ref="U469">_xlfn.IFS(clean_data[[#This Row],[profit margin%]]&lt;0.5,"Low Profit",
     clean_data[[#This Row],[profit margin%]]&lt;0.6,"Medium Profit",
     TRUE,"High Profit")</f>
        <v>Medium Profit</v>
      </c>
      <c r="V469" t="str">
        <f>TEXT(clean_data[[#This Row],[Date]],"mmm-yyyy")</f>
        <v>May-2024</v>
      </c>
      <c r="W469" s="8">
        <f>EOMONTH(clean_data[[#This Row],[Date]],-1)+1</f>
        <v>45413</v>
      </c>
    </row>
    <row r="470" spans="1:23" x14ac:dyDescent="0.3">
      <c r="A470" t="s">
        <v>542</v>
      </c>
      <c r="B470" s="1">
        <v>44612</v>
      </c>
      <c r="C470" t="s">
        <v>17</v>
      </c>
      <c r="D470" t="s">
        <v>42</v>
      </c>
      <c r="E470" t="s">
        <v>19</v>
      </c>
      <c r="F470" t="s">
        <v>33</v>
      </c>
      <c r="G470" t="s">
        <v>39</v>
      </c>
      <c r="H470">
        <v>43</v>
      </c>
      <c r="I470">
        <v>5000</v>
      </c>
      <c r="J470">
        <v>20</v>
      </c>
      <c r="K470">
        <v>172000</v>
      </c>
      <c r="L470">
        <v>86000</v>
      </c>
      <c r="M470">
        <v>86000</v>
      </c>
      <c r="N470" t="s">
        <v>30</v>
      </c>
      <c r="O470" t="s">
        <v>67</v>
      </c>
      <c r="P470" t="s">
        <v>24</v>
      </c>
      <c r="Q470" t="str">
        <f>TEXT(clean_data[[#This Row],[Date]],"mmm")</f>
        <v>Feb</v>
      </c>
      <c r="R470">
        <f>YEAR(clean_data[[#This Row],[Date]])</f>
        <v>2022</v>
      </c>
      <c r="S470" s="2">
        <f>clean_data[[#This Row],[Profit]]/clean_data[[#This Row],[Revenue]]</f>
        <v>0.5</v>
      </c>
      <c r="T470" t="str" cm="1">
        <f t="array" ref="T470">_xlfn.IFS(clean_data[[#This Row],[Revenue]]&lt;300000,"Small",
     clean_data[[#This Row],[Revenue]]&lt;700000,"Medium",
     TRUE,"Large")</f>
        <v>Small</v>
      </c>
      <c r="U470" t="str" cm="1">
        <f t="array" ref="U470">_xlfn.IFS(clean_data[[#This Row],[profit margin%]]&lt;0.5,"Low Profit",
     clean_data[[#This Row],[profit margin%]]&lt;0.6,"Medium Profit",
     TRUE,"High Profit")</f>
        <v>Medium Profit</v>
      </c>
      <c r="V470" t="str">
        <f>TEXT(clean_data[[#This Row],[Date]],"mmm-yyyy")</f>
        <v>Feb-2022</v>
      </c>
      <c r="W470" s="8">
        <f>EOMONTH(clean_data[[#This Row],[Date]],-1)+1</f>
        <v>44593</v>
      </c>
    </row>
    <row r="471" spans="1:23" x14ac:dyDescent="0.3">
      <c r="A471" t="s">
        <v>543</v>
      </c>
      <c r="B471" s="1">
        <v>45529</v>
      </c>
      <c r="C471" t="s">
        <v>46</v>
      </c>
      <c r="D471" t="s">
        <v>55</v>
      </c>
      <c r="E471" t="s">
        <v>70</v>
      </c>
      <c r="F471" t="s">
        <v>65</v>
      </c>
      <c r="G471" t="s">
        <v>124</v>
      </c>
      <c r="H471">
        <v>8</v>
      </c>
      <c r="I471">
        <v>18000</v>
      </c>
      <c r="J471">
        <v>0</v>
      </c>
      <c r="K471">
        <v>144000</v>
      </c>
      <c r="L471">
        <v>64800</v>
      </c>
      <c r="M471">
        <v>79200</v>
      </c>
      <c r="N471" t="s">
        <v>22</v>
      </c>
      <c r="O471" t="s">
        <v>35</v>
      </c>
      <c r="P471" t="s">
        <v>40</v>
      </c>
      <c r="Q471" t="str">
        <f>TEXT(clean_data[[#This Row],[Date]],"mmm")</f>
        <v>Aug</v>
      </c>
      <c r="R471">
        <f>YEAR(clean_data[[#This Row],[Date]])</f>
        <v>2024</v>
      </c>
      <c r="S471" s="2">
        <f>clean_data[[#This Row],[Profit]]/clean_data[[#This Row],[Revenue]]</f>
        <v>0.55000000000000004</v>
      </c>
      <c r="T471" t="str" cm="1">
        <f t="array" ref="T471">_xlfn.IFS(clean_data[[#This Row],[Revenue]]&lt;300000,"Small",
     clean_data[[#This Row],[Revenue]]&lt;700000,"Medium",
     TRUE,"Large")</f>
        <v>Small</v>
      </c>
      <c r="U471" t="str" cm="1">
        <f t="array" ref="U471">_xlfn.IFS(clean_data[[#This Row],[profit margin%]]&lt;0.5,"Low Profit",
     clean_data[[#This Row],[profit margin%]]&lt;0.6,"Medium Profit",
     TRUE,"High Profit")</f>
        <v>Medium Profit</v>
      </c>
      <c r="V471" t="str">
        <f>TEXT(clean_data[[#This Row],[Date]],"mmm-yyyy")</f>
        <v>Aug-2024</v>
      </c>
      <c r="W471" s="8">
        <f>EOMONTH(clean_data[[#This Row],[Date]],-1)+1</f>
        <v>45505</v>
      </c>
    </row>
    <row r="472" spans="1:23" x14ac:dyDescent="0.3">
      <c r="A472" t="s">
        <v>544</v>
      </c>
      <c r="B472" s="1">
        <v>44647</v>
      </c>
      <c r="C472" t="s">
        <v>46</v>
      </c>
      <c r="D472" t="s">
        <v>47</v>
      </c>
      <c r="E472" t="s">
        <v>56</v>
      </c>
      <c r="F472" t="s">
        <v>20</v>
      </c>
      <c r="G472" t="s">
        <v>21</v>
      </c>
      <c r="H472">
        <v>32</v>
      </c>
      <c r="I472">
        <v>3500</v>
      </c>
      <c r="J472">
        <v>5</v>
      </c>
      <c r="K472">
        <v>106400</v>
      </c>
      <c r="L472">
        <v>42560</v>
      </c>
      <c r="M472">
        <v>63840</v>
      </c>
      <c r="N472" t="s">
        <v>30</v>
      </c>
      <c r="O472" t="s">
        <v>67</v>
      </c>
      <c r="P472" t="s">
        <v>24</v>
      </c>
      <c r="Q472" t="str">
        <f>TEXT(clean_data[[#This Row],[Date]],"mmm")</f>
        <v>Mar</v>
      </c>
      <c r="R472">
        <f>YEAR(clean_data[[#This Row],[Date]])</f>
        <v>2022</v>
      </c>
      <c r="S472" s="2">
        <f>clean_data[[#This Row],[Profit]]/clean_data[[#This Row],[Revenue]]</f>
        <v>0.6</v>
      </c>
      <c r="T472" t="str" cm="1">
        <f t="array" ref="T472">_xlfn.IFS(clean_data[[#This Row],[Revenue]]&lt;300000,"Small",
     clean_data[[#This Row],[Revenue]]&lt;700000,"Medium",
     TRUE,"Large")</f>
        <v>Small</v>
      </c>
      <c r="U472" t="str" cm="1">
        <f t="array" ref="U472">_xlfn.IFS(clean_data[[#This Row],[profit margin%]]&lt;0.5,"Low Profit",
     clean_data[[#This Row],[profit margin%]]&lt;0.6,"Medium Profit",
     TRUE,"High Profit")</f>
        <v>High Profit</v>
      </c>
      <c r="V472" t="str">
        <f>TEXT(clean_data[[#This Row],[Date]],"mmm-yyyy")</f>
        <v>Mar-2022</v>
      </c>
      <c r="W472" s="8">
        <f>EOMONTH(clean_data[[#This Row],[Date]],-1)+1</f>
        <v>44621</v>
      </c>
    </row>
    <row r="473" spans="1:23" x14ac:dyDescent="0.3">
      <c r="A473" t="s">
        <v>545</v>
      </c>
      <c r="B473" s="1">
        <v>45313</v>
      </c>
      <c r="C473" t="s">
        <v>58</v>
      </c>
      <c r="D473" t="s">
        <v>64</v>
      </c>
      <c r="E473" t="s">
        <v>38</v>
      </c>
      <c r="F473" t="s">
        <v>33</v>
      </c>
      <c r="G473" t="s">
        <v>39</v>
      </c>
      <c r="H473">
        <v>24</v>
      </c>
      <c r="I473">
        <v>5000</v>
      </c>
      <c r="J473">
        <v>5</v>
      </c>
      <c r="K473">
        <v>114000</v>
      </c>
      <c r="L473">
        <v>57000</v>
      </c>
      <c r="M473">
        <v>57000</v>
      </c>
      <c r="N473" t="s">
        <v>22</v>
      </c>
      <c r="O473" t="s">
        <v>35</v>
      </c>
      <c r="P473" t="s">
        <v>40</v>
      </c>
      <c r="Q473" t="str">
        <f>TEXT(clean_data[[#This Row],[Date]],"mmm")</f>
        <v>Jan</v>
      </c>
      <c r="R473">
        <f>YEAR(clean_data[[#This Row],[Date]])</f>
        <v>2024</v>
      </c>
      <c r="S473" s="2">
        <f>clean_data[[#This Row],[Profit]]/clean_data[[#This Row],[Revenue]]</f>
        <v>0.5</v>
      </c>
      <c r="T473" t="str" cm="1">
        <f t="array" ref="T473">_xlfn.IFS(clean_data[[#This Row],[Revenue]]&lt;300000,"Small",
     clean_data[[#This Row],[Revenue]]&lt;700000,"Medium",
     TRUE,"Large")</f>
        <v>Small</v>
      </c>
      <c r="U473" t="str" cm="1">
        <f t="array" ref="U473">_xlfn.IFS(clean_data[[#This Row],[profit margin%]]&lt;0.5,"Low Profit",
     clean_data[[#This Row],[profit margin%]]&lt;0.6,"Medium Profit",
     TRUE,"High Profit")</f>
        <v>Medium Profit</v>
      </c>
      <c r="V473" t="str">
        <f>TEXT(clean_data[[#This Row],[Date]],"mmm-yyyy")</f>
        <v>Jan-2024</v>
      </c>
      <c r="W473" s="8">
        <f>EOMONTH(clean_data[[#This Row],[Date]],-1)+1</f>
        <v>45292</v>
      </c>
    </row>
    <row r="474" spans="1:23" x14ac:dyDescent="0.3">
      <c r="A474" t="s">
        <v>546</v>
      </c>
      <c r="B474" s="1">
        <v>44568</v>
      </c>
      <c r="C474" t="s">
        <v>58</v>
      </c>
      <c r="D474" t="s">
        <v>84</v>
      </c>
      <c r="E474" t="s">
        <v>60</v>
      </c>
      <c r="F474" t="s">
        <v>28</v>
      </c>
      <c r="G474" t="s">
        <v>71</v>
      </c>
      <c r="H474">
        <v>36</v>
      </c>
      <c r="I474">
        <v>35000</v>
      </c>
      <c r="J474">
        <v>15</v>
      </c>
      <c r="K474">
        <v>1071000</v>
      </c>
      <c r="L474">
        <v>589050</v>
      </c>
      <c r="M474">
        <v>481950</v>
      </c>
      <c r="N474" t="s">
        <v>22</v>
      </c>
      <c r="O474" t="s">
        <v>35</v>
      </c>
      <c r="P474" t="s">
        <v>24</v>
      </c>
      <c r="Q474" t="str">
        <f>TEXT(clean_data[[#This Row],[Date]],"mmm")</f>
        <v>Jan</v>
      </c>
      <c r="R474">
        <f>YEAR(clean_data[[#This Row],[Date]])</f>
        <v>2022</v>
      </c>
      <c r="S474" s="2">
        <f>clean_data[[#This Row],[Profit]]/clean_data[[#This Row],[Revenue]]</f>
        <v>0.45</v>
      </c>
      <c r="T474" t="str" cm="1">
        <f t="array" ref="T474">_xlfn.IFS(clean_data[[#This Row],[Revenue]]&lt;300000,"Small",
     clean_data[[#This Row],[Revenue]]&lt;700000,"Medium",
     TRUE,"Large")</f>
        <v>Large</v>
      </c>
      <c r="U474" t="str" cm="1">
        <f t="array" ref="U474">_xlfn.IFS(clean_data[[#This Row],[profit margin%]]&lt;0.5,"Low Profit",
     clean_data[[#This Row],[profit margin%]]&lt;0.6,"Medium Profit",
     TRUE,"High Profit")</f>
        <v>Low Profit</v>
      </c>
      <c r="V474" t="str">
        <f>TEXT(clean_data[[#This Row],[Date]],"mmm-yyyy")</f>
        <v>Jan-2022</v>
      </c>
      <c r="W474" s="8">
        <f>EOMONTH(clean_data[[#This Row],[Date]],-1)+1</f>
        <v>44562</v>
      </c>
    </row>
    <row r="475" spans="1:23" x14ac:dyDescent="0.3">
      <c r="A475" t="s">
        <v>547</v>
      </c>
      <c r="B475" s="1">
        <v>45094</v>
      </c>
      <c r="C475" t="s">
        <v>26</v>
      </c>
      <c r="D475" t="s">
        <v>27</v>
      </c>
      <c r="E475" t="s">
        <v>73</v>
      </c>
      <c r="F475" t="s">
        <v>28</v>
      </c>
      <c r="G475" t="s">
        <v>87</v>
      </c>
      <c r="H475">
        <v>34</v>
      </c>
      <c r="I475">
        <v>45000</v>
      </c>
      <c r="J475">
        <v>0</v>
      </c>
      <c r="K475">
        <v>1530000</v>
      </c>
      <c r="L475">
        <v>841500</v>
      </c>
      <c r="M475">
        <v>688500</v>
      </c>
      <c r="N475" t="s">
        <v>22</v>
      </c>
      <c r="O475" t="s">
        <v>44</v>
      </c>
      <c r="P475" t="s">
        <v>24</v>
      </c>
      <c r="Q475" t="str">
        <f>TEXT(clean_data[[#This Row],[Date]],"mmm")</f>
        <v>Jun</v>
      </c>
      <c r="R475">
        <f>YEAR(clean_data[[#This Row],[Date]])</f>
        <v>2023</v>
      </c>
      <c r="S475" s="2">
        <f>clean_data[[#This Row],[Profit]]/clean_data[[#This Row],[Revenue]]</f>
        <v>0.45</v>
      </c>
      <c r="T475" t="str" cm="1">
        <f t="array" ref="T475">_xlfn.IFS(clean_data[[#This Row],[Revenue]]&lt;300000,"Small",
     clean_data[[#This Row],[Revenue]]&lt;700000,"Medium",
     TRUE,"Large")</f>
        <v>Large</v>
      </c>
      <c r="U475" t="str" cm="1">
        <f t="array" ref="U475">_xlfn.IFS(clean_data[[#This Row],[profit margin%]]&lt;0.5,"Low Profit",
     clean_data[[#This Row],[profit margin%]]&lt;0.6,"Medium Profit",
     TRUE,"High Profit")</f>
        <v>Low Profit</v>
      </c>
      <c r="V475" t="str">
        <f>TEXT(clean_data[[#This Row],[Date]],"mmm-yyyy")</f>
        <v>Jun-2023</v>
      </c>
      <c r="W475" s="8">
        <f>EOMONTH(clean_data[[#This Row],[Date]],-1)+1</f>
        <v>45078</v>
      </c>
    </row>
    <row r="476" spans="1:23" x14ac:dyDescent="0.3">
      <c r="A476" t="s">
        <v>548</v>
      </c>
      <c r="B476" s="1">
        <v>45609</v>
      </c>
      <c r="C476" t="s">
        <v>46</v>
      </c>
      <c r="D476" t="s">
        <v>47</v>
      </c>
      <c r="E476" t="s">
        <v>111</v>
      </c>
      <c r="F476" t="s">
        <v>20</v>
      </c>
      <c r="G476" t="s">
        <v>53</v>
      </c>
      <c r="H476">
        <v>41</v>
      </c>
      <c r="I476">
        <v>600</v>
      </c>
      <c r="J476">
        <v>5</v>
      </c>
      <c r="K476">
        <v>23370</v>
      </c>
      <c r="L476">
        <v>9348</v>
      </c>
      <c r="M476">
        <v>14022</v>
      </c>
      <c r="N476" t="s">
        <v>22</v>
      </c>
      <c r="O476" t="s">
        <v>67</v>
      </c>
      <c r="P476" t="s">
        <v>40</v>
      </c>
      <c r="Q476" t="str">
        <f>TEXT(clean_data[[#This Row],[Date]],"mmm")</f>
        <v>Nov</v>
      </c>
      <c r="R476">
        <f>YEAR(clean_data[[#This Row],[Date]])</f>
        <v>2024</v>
      </c>
      <c r="S476" s="2">
        <f>clean_data[[#This Row],[Profit]]/clean_data[[#This Row],[Revenue]]</f>
        <v>0.6</v>
      </c>
      <c r="T476" t="str" cm="1">
        <f t="array" ref="T476">_xlfn.IFS(clean_data[[#This Row],[Revenue]]&lt;300000,"Small",
     clean_data[[#This Row],[Revenue]]&lt;700000,"Medium",
     TRUE,"Large")</f>
        <v>Small</v>
      </c>
      <c r="U476" t="str" cm="1">
        <f t="array" ref="U476">_xlfn.IFS(clean_data[[#This Row],[profit margin%]]&lt;0.5,"Low Profit",
     clean_data[[#This Row],[profit margin%]]&lt;0.6,"Medium Profit",
     TRUE,"High Profit")</f>
        <v>High Profit</v>
      </c>
      <c r="V476" t="str">
        <f>TEXT(clean_data[[#This Row],[Date]],"mmm-yyyy")</f>
        <v>Nov-2024</v>
      </c>
      <c r="W476" s="8">
        <f>EOMONTH(clean_data[[#This Row],[Date]],-1)+1</f>
        <v>45597</v>
      </c>
    </row>
    <row r="477" spans="1:23" x14ac:dyDescent="0.3">
      <c r="A477" t="s">
        <v>549</v>
      </c>
      <c r="B477" s="1">
        <v>45375</v>
      </c>
      <c r="C477" t="s">
        <v>26</v>
      </c>
      <c r="D477" t="s">
        <v>69</v>
      </c>
      <c r="E477" t="s">
        <v>60</v>
      </c>
      <c r="F477" t="s">
        <v>65</v>
      </c>
      <c r="G477" t="s">
        <v>117</v>
      </c>
      <c r="H477">
        <v>11</v>
      </c>
      <c r="I477">
        <v>1200</v>
      </c>
      <c r="J477">
        <v>5</v>
      </c>
      <c r="K477">
        <v>12540</v>
      </c>
      <c r="L477">
        <v>5643</v>
      </c>
      <c r="M477">
        <v>6897</v>
      </c>
      <c r="N477" t="s">
        <v>49</v>
      </c>
      <c r="O477" t="s">
        <v>67</v>
      </c>
      <c r="P477" t="s">
        <v>40</v>
      </c>
      <c r="Q477" t="str">
        <f>TEXT(clean_data[[#This Row],[Date]],"mmm")</f>
        <v>Mar</v>
      </c>
      <c r="R477">
        <f>YEAR(clean_data[[#This Row],[Date]])</f>
        <v>2024</v>
      </c>
      <c r="S477" s="2">
        <f>clean_data[[#This Row],[Profit]]/clean_data[[#This Row],[Revenue]]</f>
        <v>0.55000000000000004</v>
      </c>
      <c r="T477" t="str" cm="1">
        <f t="array" ref="T477">_xlfn.IFS(clean_data[[#This Row],[Revenue]]&lt;300000,"Small",
     clean_data[[#This Row],[Revenue]]&lt;700000,"Medium",
     TRUE,"Large")</f>
        <v>Small</v>
      </c>
      <c r="U477" t="str" cm="1">
        <f t="array" ref="U477">_xlfn.IFS(clean_data[[#This Row],[profit margin%]]&lt;0.5,"Low Profit",
     clean_data[[#This Row],[profit margin%]]&lt;0.6,"Medium Profit",
     TRUE,"High Profit")</f>
        <v>Medium Profit</v>
      </c>
      <c r="V477" t="str">
        <f>TEXT(clean_data[[#This Row],[Date]],"mmm-yyyy")</f>
        <v>Mar-2024</v>
      </c>
      <c r="W477" s="8">
        <f>EOMONTH(clean_data[[#This Row],[Date]],-1)+1</f>
        <v>45352</v>
      </c>
    </row>
    <row r="478" spans="1:23" x14ac:dyDescent="0.3">
      <c r="A478" t="s">
        <v>550</v>
      </c>
      <c r="B478" s="1">
        <v>45221</v>
      </c>
      <c r="C478" t="s">
        <v>46</v>
      </c>
      <c r="D478" t="s">
        <v>55</v>
      </c>
      <c r="E478" t="s">
        <v>70</v>
      </c>
      <c r="F478" t="s">
        <v>33</v>
      </c>
      <c r="G478" t="s">
        <v>43</v>
      </c>
      <c r="H478">
        <v>21</v>
      </c>
      <c r="I478">
        <v>4000</v>
      </c>
      <c r="J478">
        <v>10</v>
      </c>
      <c r="K478">
        <v>75600</v>
      </c>
      <c r="L478">
        <v>37800</v>
      </c>
      <c r="M478">
        <v>37800</v>
      </c>
      <c r="N478" t="s">
        <v>22</v>
      </c>
      <c r="O478" t="s">
        <v>23</v>
      </c>
      <c r="P478" t="s">
        <v>24</v>
      </c>
      <c r="Q478" t="str">
        <f>TEXT(clean_data[[#This Row],[Date]],"mmm")</f>
        <v>Oct</v>
      </c>
      <c r="R478">
        <f>YEAR(clean_data[[#This Row],[Date]])</f>
        <v>2023</v>
      </c>
      <c r="S478" s="2">
        <f>clean_data[[#This Row],[Profit]]/clean_data[[#This Row],[Revenue]]</f>
        <v>0.5</v>
      </c>
      <c r="T478" t="str" cm="1">
        <f t="array" ref="T478">_xlfn.IFS(clean_data[[#This Row],[Revenue]]&lt;300000,"Small",
     clean_data[[#This Row],[Revenue]]&lt;700000,"Medium",
     TRUE,"Large")</f>
        <v>Small</v>
      </c>
      <c r="U478" t="str" cm="1">
        <f t="array" ref="U478">_xlfn.IFS(clean_data[[#This Row],[profit margin%]]&lt;0.5,"Low Profit",
     clean_data[[#This Row],[profit margin%]]&lt;0.6,"Medium Profit",
     TRUE,"High Profit")</f>
        <v>Medium Profit</v>
      </c>
      <c r="V478" t="str">
        <f>TEXT(clean_data[[#This Row],[Date]],"mmm-yyyy")</f>
        <v>Oct-2023</v>
      </c>
      <c r="W478" s="8">
        <f>EOMONTH(clean_data[[#This Row],[Date]],-1)+1</f>
        <v>45200</v>
      </c>
    </row>
    <row r="479" spans="1:23" x14ac:dyDescent="0.3">
      <c r="A479" t="s">
        <v>551</v>
      </c>
      <c r="B479" s="1">
        <v>45189</v>
      </c>
      <c r="C479" t="s">
        <v>46</v>
      </c>
      <c r="D479" t="s">
        <v>47</v>
      </c>
      <c r="E479" t="s">
        <v>32</v>
      </c>
      <c r="F479" t="s">
        <v>33</v>
      </c>
      <c r="G479" t="s">
        <v>34</v>
      </c>
      <c r="H479">
        <v>29</v>
      </c>
      <c r="I479">
        <v>25000</v>
      </c>
      <c r="J479">
        <v>15</v>
      </c>
      <c r="K479">
        <v>616250</v>
      </c>
      <c r="L479">
        <v>308125</v>
      </c>
      <c r="M479">
        <v>308125</v>
      </c>
      <c r="N479" t="s">
        <v>30</v>
      </c>
      <c r="O479" t="s">
        <v>35</v>
      </c>
      <c r="P479" t="s">
        <v>24</v>
      </c>
      <c r="Q479" t="str">
        <f>TEXT(clean_data[[#This Row],[Date]],"mmm")</f>
        <v>Sep</v>
      </c>
      <c r="R479">
        <f>YEAR(clean_data[[#This Row],[Date]])</f>
        <v>2023</v>
      </c>
      <c r="S479" s="2">
        <f>clean_data[[#This Row],[Profit]]/clean_data[[#This Row],[Revenue]]</f>
        <v>0.5</v>
      </c>
      <c r="T479" t="str" cm="1">
        <f t="array" ref="T479">_xlfn.IFS(clean_data[[#This Row],[Revenue]]&lt;300000,"Small",
     clean_data[[#This Row],[Revenue]]&lt;700000,"Medium",
     TRUE,"Large")</f>
        <v>Medium</v>
      </c>
      <c r="U479" t="str" cm="1">
        <f t="array" ref="U479">_xlfn.IFS(clean_data[[#This Row],[profit margin%]]&lt;0.5,"Low Profit",
     clean_data[[#This Row],[profit margin%]]&lt;0.6,"Medium Profit",
     TRUE,"High Profit")</f>
        <v>Medium Profit</v>
      </c>
      <c r="V479" t="str">
        <f>TEXT(clean_data[[#This Row],[Date]],"mmm-yyyy")</f>
        <v>Sep-2023</v>
      </c>
      <c r="W479" s="8">
        <f>EOMONTH(clean_data[[#This Row],[Date]],-1)+1</f>
        <v>45170</v>
      </c>
    </row>
    <row r="480" spans="1:23" x14ac:dyDescent="0.3">
      <c r="A480" t="s">
        <v>552</v>
      </c>
      <c r="B480" s="1">
        <v>45127</v>
      </c>
      <c r="C480" t="s">
        <v>26</v>
      </c>
      <c r="D480" t="s">
        <v>27</v>
      </c>
      <c r="E480" t="s">
        <v>73</v>
      </c>
      <c r="F480" t="s">
        <v>28</v>
      </c>
      <c r="G480" t="s">
        <v>71</v>
      </c>
      <c r="H480">
        <v>15</v>
      </c>
      <c r="I480">
        <v>35000</v>
      </c>
      <c r="J480">
        <v>5</v>
      </c>
      <c r="K480">
        <v>498750</v>
      </c>
      <c r="L480">
        <v>274312.5</v>
      </c>
      <c r="M480">
        <v>224437.5</v>
      </c>
      <c r="N480" t="s">
        <v>30</v>
      </c>
      <c r="O480" t="s">
        <v>50</v>
      </c>
      <c r="P480" t="s">
        <v>24</v>
      </c>
      <c r="Q480" t="str">
        <f>TEXT(clean_data[[#This Row],[Date]],"mmm")</f>
        <v>Jul</v>
      </c>
      <c r="R480">
        <f>YEAR(clean_data[[#This Row],[Date]])</f>
        <v>2023</v>
      </c>
      <c r="S480" s="2">
        <f>clean_data[[#This Row],[Profit]]/clean_data[[#This Row],[Revenue]]</f>
        <v>0.45</v>
      </c>
      <c r="T480" t="str" cm="1">
        <f t="array" ref="T480">_xlfn.IFS(clean_data[[#This Row],[Revenue]]&lt;300000,"Small",
     clean_data[[#This Row],[Revenue]]&lt;700000,"Medium",
     TRUE,"Large")</f>
        <v>Medium</v>
      </c>
      <c r="U480" t="str" cm="1">
        <f t="array" ref="U480">_xlfn.IFS(clean_data[[#This Row],[profit margin%]]&lt;0.5,"Low Profit",
     clean_data[[#This Row],[profit margin%]]&lt;0.6,"Medium Profit",
     TRUE,"High Profit")</f>
        <v>Low Profit</v>
      </c>
      <c r="V480" t="str">
        <f>TEXT(clean_data[[#This Row],[Date]],"mmm-yyyy")</f>
        <v>Jul-2023</v>
      </c>
      <c r="W480" s="8">
        <f>EOMONTH(clean_data[[#This Row],[Date]],-1)+1</f>
        <v>45108</v>
      </c>
    </row>
    <row r="481" spans="1:23" x14ac:dyDescent="0.3">
      <c r="A481" t="s">
        <v>553</v>
      </c>
      <c r="B481" s="1">
        <v>45643</v>
      </c>
      <c r="C481" t="s">
        <v>46</v>
      </c>
      <c r="D481" t="s">
        <v>47</v>
      </c>
      <c r="E481" t="s">
        <v>56</v>
      </c>
      <c r="F481" t="s">
        <v>65</v>
      </c>
      <c r="G481" t="s">
        <v>124</v>
      </c>
      <c r="H481">
        <v>10</v>
      </c>
      <c r="I481">
        <v>18000</v>
      </c>
      <c r="J481">
        <v>5</v>
      </c>
      <c r="K481">
        <v>171000</v>
      </c>
      <c r="L481">
        <v>76950</v>
      </c>
      <c r="M481">
        <v>94050</v>
      </c>
      <c r="N481" t="s">
        <v>49</v>
      </c>
      <c r="O481" t="s">
        <v>67</v>
      </c>
      <c r="P481" t="s">
        <v>24</v>
      </c>
      <c r="Q481" t="str">
        <f>TEXT(clean_data[[#This Row],[Date]],"mmm")</f>
        <v>Dec</v>
      </c>
      <c r="R481">
        <f>YEAR(clean_data[[#This Row],[Date]])</f>
        <v>2024</v>
      </c>
      <c r="S481" s="2">
        <f>clean_data[[#This Row],[Profit]]/clean_data[[#This Row],[Revenue]]</f>
        <v>0.55000000000000004</v>
      </c>
      <c r="T481" t="str" cm="1">
        <f t="array" ref="T481">_xlfn.IFS(clean_data[[#This Row],[Revenue]]&lt;300000,"Small",
     clean_data[[#This Row],[Revenue]]&lt;700000,"Medium",
     TRUE,"Large")</f>
        <v>Small</v>
      </c>
      <c r="U481" t="str" cm="1">
        <f t="array" ref="U481">_xlfn.IFS(clean_data[[#This Row],[profit margin%]]&lt;0.5,"Low Profit",
     clean_data[[#This Row],[profit margin%]]&lt;0.6,"Medium Profit",
     TRUE,"High Profit")</f>
        <v>Medium Profit</v>
      </c>
      <c r="V481" t="str">
        <f>TEXT(clean_data[[#This Row],[Date]],"mmm-yyyy")</f>
        <v>Dec-2024</v>
      </c>
      <c r="W481" s="8">
        <f>EOMONTH(clean_data[[#This Row],[Date]],-1)+1</f>
        <v>45627</v>
      </c>
    </row>
    <row r="482" spans="1:23" x14ac:dyDescent="0.3">
      <c r="A482" t="s">
        <v>554</v>
      </c>
      <c r="B482" s="1">
        <v>45024</v>
      </c>
      <c r="C482" t="s">
        <v>17</v>
      </c>
      <c r="D482" t="s">
        <v>37</v>
      </c>
      <c r="E482" t="s">
        <v>52</v>
      </c>
      <c r="F482" t="s">
        <v>65</v>
      </c>
      <c r="G482" t="s">
        <v>79</v>
      </c>
      <c r="H482">
        <v>14</v>
      </c>
      <c r="I482">
        <v>900</v>
      </c>
      <c r="J482">
        <v>0</v>
      </c>
      <c r="K482">
        <v>12600</v>
      </c>
      <c r="L482">
        <v>5670</v>
      </c>
      <c r="M482">
        <v>6930</v>
      </c>
      <c r="N482" t="s">
        <v>49</v>
      </c>
      <c r="O482" t="s">
        <v>44</v>
      </c>
      <c r="P482" t="s">
        <v>24</v>
      </c>
      <c r="Q482" t="str">
        <f>TEXT(clean_data[[#This Row],[Date]],"mmm")</f>
        <v>Apr</v>
      </c>
      <c r="R482">
        <f>YEAR(clean_data[[#This Row],[Date]])</f>
        <v>2023</v>
      </c>
      <c r="S482" s="2">
        <f>clean_data[[#This Row],[Profit]]/clean_data[[#This Row],[Revenue]]</f>
        <v>0.55000000000000004</v>
      </c>
      <c r="T482" t="str" cm="1">
        <f t="array" ref="T482">_xlfn.IFS(clean_data[[#This Row],[Revenue]]&lt;300000,"Small",
     clean_data[[#This Row],[Revenue]]&lt;700000,"Medium",
     TRUE,"Large")</f>
        <v>Small</v>
      </c>
      <c r="U482" t="str" cm="1">
        <f t="array" ref="U482">_xlfn.IFS(clean_data[[#This Row],[profit margin%]]&lt;0.5,"Low Profit",
     clean_data[[#This Row],[profit margin%]]&lt;0.6,"Medium Profit",
     TRUE,"High Profit")</f>
        <v>Medium Profit</v>
      </c>
      <c r="V482" t="str">
        <f>TEXT(clean_data[[#This Row],[Date]],"mmm-yyyy")</f>
        <v>Apr-2023</v>
      </c>
      <c r="W482" s="8">
        <f>EOMONTH(clean_data[[#This Row],[Date]],-1)+1</f>
        <v>45017</v>
      </c>
    </row>
    <row r="483" spans="1:23" x14ac:dyDescent="0.3">
      <c r="A483" t="s">
        <v>555</v>
      </c>
      <c r="B483" s="1">
        <v>45531</v>
      </c>
      <c r="C483" t="s">
        <v>26</v>
      </c>
      <c r="D483" t="s">
        <v>69</v>
      </c>
      <c r="E483" t="s">
        <v>56</v>
      </c>
      <c r="F483" t="s">
        <v>65</v>
      </c>
      <c r="G483" t="s">
        <v>117</v>
      </c>
      <c r="H483">
        <v>50</v>
      </c>
      <c r="I483">
        <v>1200</v>
      </c>
      <c r="J483">
        <v>0</v>
      </c>
      <c r="K483">
        <v>60000</v>
      </c>
      <c r="L483">
        <v>27000</v>
      </c>
      <c r="M483">
        <v>33000</v>
      </c>
      <c r="N483" t="s">
        <v>49</v>
      </c>
      <c r="O483" t="s">
        <v>23</v>
      </c>
      <c r="P483" t="s">
        <v>24</v>
      </c>
      <c r="Q483" t="str">
        <f>TEXT(clean_data[[#This Row],[Date]],"mmm")</f>
        <v>Aug</v>
      </c>
      <c r="R483">
        <f>YEAR(clean_data[[#This Row],[Date]])</f>
        <v>2024</v>
      </c>
      <c r="S483" s="2">
        <f>clean_data[[#This Row],[Profit]]/clean_data[[#This Row],[Revenue]]</f>
        <v>0.55000000000000004</v>
      </c>
      <c r="T483" t="str" cm="1">
        <f t="array" ref="T483">_xlfn.IFS(clean_data[[#This Row],[Revenue]]&lt;300000,"Small",
     clean_data[[#This Row],[Revenue]]&lt;700000,"Medium",
     TRUE,"Large")</f>
        <v>Small</v>
      </c>
      <c r="U483" t="str" cm="1">
        <f t="array" ref="U483">_xlfn.IFS(clean_data[[#This Row],[profit margin%]]&lt;0.5,"Low Profit",
     clean_data[[#This Row],[profit margin%]]&lt;0.6,"Medium Profit",
     TRUE,"High Profit")</f>
        <v>Medium Profit</v>
      </c>
      <c r="V483" t="str">
        <f>TEXT(clean_data[[#This Row],[Date]],"mmm-yyyy")</f>
        <v>Aug-2024</v>
      </c>
      <c r="W483" s="8">
        <f>EOMONTH(clean_data[[#This Row],[Date]],-1)+1</f>
        <v>45505</v>
      </c>
    </row>
    <row r="484" spans="1:23" x14ac:dyDescent="0.3">
      <c r="A484" t="s">
        <v>556</v>
      </c>
      <c r="B484" s="1">
        <v>45379</v>
      </c>
      <c r="C484" t="s">
        <v>26</v>
      </c>
      <c r="D484" t="s">
        <v>27</v>
      </c>
      <c r="E484" t="s">
        <v>38</v>
      </c>
      <c r="F484" t="s">
        <v>28</v>
      </c>
      <c r="G484" t="s">
        <v>85</v>
      </c>
      <c r="H484">
        <v>4</v>
      </c>
      <c r="I484">
        <v>8000</v>
      </c>
      <c r="J484">
        <v>10</v>
      </c>
      <c r="K484">
        <v>28800</v>
      </c>
      <c r="L484">
        <v>15840</v>
      </c>
      <c r="M484">
        <v>12960</v>
      </c>
      <c r="N484" t="s">
        <v>30</v>
      </c>
      <c r="O484" t="s">
        <v>50</v>
      </c>
      <c r="P484" t="s">
        <v>40</v>
      </c>
      <c r="Q484" t="str">
        <f>TEXT(clean_data[[#This Row],[Date]],"mmm")</f>
        <v>Mar</v>
      </c>
      <c r="R484">
        <f>YEAR(clean_data[[#This Row],[Date]])</f>
        <v>2024</v>
      </c>
      <c r="S484" s="2">
        <f>clean_data[[#This Row],[Profit]]/clean_data[[#This Row],[Revenue]]</f>
        <v>0.45</v>
      </c>
      <c r="T484" t="str" cm="1">
        <f t="array" ref="T484">_xlfn.IFS(clean_data[[#This Row],[Revenue]]&lt;300000,"Small",
     clean_data[[#This Row],[Revenue]]&lt;700000,"Medium",
     TRUE,"Large")</f>
        <v>Small</v>
      </c>
      <c r="U484" t="str" cm="1">
        <f t="array" ref="U484">_xlfn.IFS(clean_data[[#This Row],[profit margin%]]&lt;0.5,"Low Profit",
     clean_data[[#This Row],[profit margin%]]&lt;0.6,"Medium Profit",
     TRUE,"High Profit")</f>
        <v>Low Profit</v>
      </c>
      <c r="V484" t="str">
        <f>TEXT(clean_data[[#This Row],[Date]],"mmm-yyyy")</f>
        <v>Mar-2024</v>
      </c>
      <c r="W484" s="8">
        <f>EOMONTH(clean_data[[#This Row],[Date]],-1)+1</f>
        <v>45352</v>
      </c>
    </row>
    <row r="485" spans="1:23" x14ac:dyDescent="0.3">
      <c r="A485" t="s">
        <v>557</v>
      </c>
      <c r="B485" s="1">
        <v>45615</v>
      </c>
      <c r="C485" t="s">
        <v>46</v>
      </c>
      <c r="D485" t="s">
        <v>55</v>
      </c>
      <c r="E485" t="s">
        <v>111</v>
      </c>
      <c r="F485" t="s">
        <v>20</v>
      </c>
      <c r="G485" t="s">
        <v>74</v>
      </c>
      <c r="H485">
        <v>4</v>
      </c>
      <c r="I485">
        <v>4200</v>
      </c>
      <c r="J485">
        <v>15</v>
      </c>
      <c r="K485">
        <v>14280</v>
      </c>
      <c r="L485">
        <v>5712</v>
      </c>
      <c r="M485">
        <v>8568</v>
      </c>
      <c r="N485" t="s">
        <v>22</v>
      </c>
      <c r="O485" t="s">
        <v>67</v>
      </c>
      <c r="P485" t="s">
        <v>24</v>
      </c>
      <c r="Q485" t="str">
        <f>TEXT(clean_data[[#This Row],[Date]],"mmm")</f>
        <v>Nov</v>
      </c>
      <c r="R485">
        <f>YEAR(clean_data[[#This Row],[Date]])</f>
        <v>2024</v>
      </c>
      <c r="S485" s="2">
        <f>clean_data[[#This Row],[Profit]]/clean_data[[#This Row],[Revenue]]</f>
        <v>0.6</v>
      </c>
      <c r="T485" t="str" cm="1">
        <f t="array" ref="T485">_xlfn.IFS(clean_data[[#This Row],[Revenue]]&lt;300000,"Small",
     clean_data[[#This Row],[Revenue]]&lt;700000,"Medium",
     TRUE,"Large")</f>
        <v>Small</v>
      </c>
      <c r="U485" t="str" cm="1">
        <f t="array" ref="U485">_xlfn.IFS(clean_data[[#This Row],[profit margin%]]&lt;0.5,"Low Profit",
     clean_data[[#This Row],[profit margin%]]&lt;0.6,"Medium Profit",
     TRUE,"High Profit")</f>
        <v>High Profit</v>
      </c>
      <c r="V485" t="str">
        <f>TEXT(clean_data[[#This Row],[Date]],"mmm-yyyy")</f>
        <v>Nov-2024</v>
      </c>
      <c r="W485" s="8">
        <f>EOMONTH(clean_data[[#This Row],[Date]],-1)+1</f>
        <v>45597</v>
      </c>
    </row>
    <row r="486" spans="1:23" x14ac:dyDescent="0.3">
      <c r="A486" t="s">
        <v>558</v>
      </c>
      <c r="B486" s="1">
        <v>45538</v>
      </c>
      <c r="C486" t="s">
        <v>46</v>
      </c>
      <c r="D486" t="s">
        <v>55</v>
      </c>
      <c r="E486" t="s">
        <v>73</v>
      </c>
      <c r="F486" t="s">
        <v>65</v>
      </c>
      <c r="G486" t="s">
        <v>104</v>
      </c>
      <c r="H486">
        <v>9</v>
      </c>
      <c r="I486">
        <v>3000</v>
      </c>
      <c r="J486">
        <v>10</v>
      </c>
      <c r="K486">
        <v>24300</v>
      </c>
      <c r="L486">
        <v>10935</v>
      </c>
      <c r="M486">
        <v>13365</v>
      </c>
      <c r="N486" t="s">
        <v>49</v>
      </c>
      <c r="O486" t="s">
        <v>67</v>
      </c>
      <c r="P486" t="s">
        <v>24</v>
      </c>
      <c r="Q486" t="str">
        <f>TEXT(clean_data[[#This Row],[Date]],"mmm")</f>
        <v>Sep</v>
      </c>
      <c r="R486">
        <f>YEAR(clean_data[[#This Row],[Date]])</f>
        <v>2024</v>
      </c>
      <c r="S486" s="2">
        <f>clean_data[[#This Row],[Profit]]/clean_data[[#This Row],[Revenue]]</f>
        <v>0.55000000000000004</v>
      </c>
      <c r="T486" t="str" cm="1">
        <f t="array" ref="T486">_xlfn.IFS(clean_data[[#This Row],[Revenue]]&lt;300000,"Small",
     clean_data[[#This Row],[Revenue]]&lt;700000,"Medium",
     TRUE,"Large")</f>
        <v>Small</v>
      </c>
      <c r="U486" t="str" cm="1">
        <f t="array" ref="U486">_xlfn.IFS(clean_data[[#This Row],[profit margin%]]&lt;0.5,"Low Profit",
     clean_data[[#This Row],[profit margin%]]&lt;0.6,"Medium Profit",
     TRUE,"High Profit")</f>
        <v>Medium Profit</v>
      </c>
      <c r="V486" t="str">
        <f>TEXT(clean_data[[#This Row],[Date]],"mmm-yyyy")</f>
        <v>Sep-2024</v>
      </c>
      <c r="W486" s="8">
        <f>EOMONTH(clean_data[[#This Row],[Date]],-1)+1</f>
        <v>45536</v>
      </c>
    </row>
    <row r="487" spans="1:23" x14ac:dyDescent="0.3">
      <c r="A487" t="s">
        <v>559</v>
      </c>
      <c r="B487" s="1">
        <v>44669</v>
      </c>
      <c r="C487" t="s">
        <v>58</v>
      </c>
      <c r="D487" t="s">
        <v>59</v>
      </c>
      <c r="E487" t="s">
        <v>52</v>
      </c>
      <c r="F487" t="s">
        <v>65</v>
      </c>
      <c r="G487" t="s">
        <v>79</v>
      </c>
      <c r="H487">
        <v>28</v>
      </c>
      <c r="I487">
        <v>900</v>
      </c>
      <c r="J487">
        <v>5</v>
      </c>
      <c r="K487">
        <v>23940</v>
      </c>
      <c r="L487">
        <v>10773</v>
      </c>
      <c r="M487">
        <v>13167</v>
      </c>
      <c r="N487" t="s">
        <v>49</v>
      </c>
      <c r="O487" t="s">
        <v>67</v>
      </c>
      <c r="P487" t="s">
        <v>24</v>
      </c>
      <c r="Q487" t="str">
        <f>TEXT(clean_data[[#This Row],[Date]],"mmm")</f>
        <v>Apr</v>
      </c>
      <c r="R487">
        <f>YEAR(clean_data[[#This Row],[Date]])</f>
        <v>2022</v>
      </c>
      <c r="S487" s="2">
        <f>clean_data[[#This Row],[Profit]]/clean_data[[#This Row],[Revenue]]</f>
        <v>0.55000000000000004</v>
      </c>
      <c r="T487" t="str" cm="1">
        <f t="array" ref="T487">_xlfn.IFS(clean_data[[#This Row],[Revenue]]&lt;300000,"Small",
     clean_data[[#This Row],[Revenue]]&lt;700000,"Medium",
     TRUE,"Large")</f>
        <v>Small</v>
      </c>
      <c r="U487" t="str" cm="1">
        <f t="array" ref="U487">_xlfn.IFS(clean_data[[#This Row],[profit margin%]]&lt;0.5,"Low Profit",
     clean_data[[#This Row],[profit margin%]]&lt;0.6,"Medium Profit",
     TRUE,"High Profit")</f>
        <v>Medium Profit</v>
      </c>
      <c r="V487" t="str">
        <f>TEXT(clean_data[[#This Row],[Date]],"mmm-yyyy")</f>
        <v>Apr-2022</v>
      </c>
      <c r="W487" s="8">
        <f>EOMONTH(clean_data[[#This Row],[Date]],-1)+1</f>
        <v>44652</v>
      </c>
    </row>
    <row r="488" spans="1:23" x14ac:dyDescent="0.3">
      <c r="A488" t="s">
        <v>560</v>
      </c>
      <c r="B488" s="1">
        <v>44942</v>
      </c>
      <c r="C488" t="s">
        <v>58</v>
      </c>
      <c r="D488" t="s">
        <v>64</v>
      </c>
      <c r="E488" t="s">
        <v>38</v>
      </c>
      <c r="F488" t="s">
        <v>20</v>
      </c>
      <c r="G488" t="s">
        <v>53</v>
      </c>
      <c r="H488">
        <v>40</v>
      </c>
      <c r="I488">
        <v>600</v>
      </c>
      <c r="J488">
        <v>20</v>
      </c>
      <c r="K488">
        <v>19200</v>
      </c>
      <c r="L488">
        <v>7680</v>
      </c>
      <c r="M488">
        <v>11520</v>
      </c>
      <c r="N488" t="s">
        <v>30</v>
      </c>
      <c r="O488" t="s">
        <v>35</v>
      </c>
      <c r="P488" t="s">
        <v>24</v>
      </c>
      <c r="Q488" t="str">
        <f>TEXT(clean_data[[#This Row],[Date]],"mmm")</f>
        <v>Jan</v>
      </c>
      <c r="R488">
        <f>YEAR(clean_data[[#This Row],[Date]])</f>
        <v>2023</v>
      </c>
      <c r="S488" s="2">
        <f>clean_data[[#This Row],[Profit]]/clean_data[[#This Row],[Revenue]]</f>
        <v>0.6</v>
      </c>
      <c r="T488" t="str" cm="1">
        <f t="array" ref="T488">_xlfn.IFS(clean_data[[#This Row],[Revenue]]&lt;300000,"Small",
     clean_data[[#This Row],[Revenue]]&lt;700000,"Medium",
     TRUE,"Large")</f>
        <v>Small</v>
      </c>
      <c r="U488" t="str" cm="1">
        <f t="array" ref="U488">_xlfn.IFS(clean_data[[#This Row],[profit margin%]]&lt;0.5,"Low Profit",
     clean_data[[#This Row],[profit margin%]]&lt;0.6,"Medium Profit",
     TRUE,"High Profit")</f>
        <v>High Profit</v>
      </c>
      <c r="V488" t="str">
        <f>TEXT(clean_data[[#This Row],[Date]],"mmm-yyyy")</f>
        <v>Jan-2023</v>
      </c>
      <c r="W488" s="8">
        <f>EOMONTH(clean_data[[#This Row],[Date]],-1)+1</f>
        <v>44927</v>
      </c>
    </row>
    <row r="489" spans="1:23" x14ac:dyDescent="0.3">
      <c r="A489" t="s">
        <v>561</v>
      </c>
      <c r="B489" s="1">
        <v>45102</v>
      </c>
      <c r="C489" t="s">
        <v>58</v>
      </c>
      <c r="D489" t="s">
        <v>59</v>
      </c>
      <c r="E489" t="s">
        <v>38</v>
      </c>
      <c r="F489" t="s">
        <v>28</v>
      </c>
      <c r="G489" t="s">
        <v>95</v>
      </c>
      <c r="H489">
        <v>43</v>
      </c>
      <c r="I489">
        <v>75000</v>
      </c>
      <c r="J489">
        <v>15</v>
      </c>
      <c r="K489">
        <v>2741250</v>
      </c>
      <c r="L489">
        <v>1507687.5</v>
      </c>
      <c r="M489">
        <v>1233562.5</v>
      </c>
      <c r="N489" t="s">
        <v>49</v>
      </c>
      <c r="O489" t="s">
        <v>50</v>
      </c>
      <c r="P489" t="s">
        <v>24</v>
      </c>
      <c r="Q489" t="str">
        <f>TEXT(clean_data[[#This Row],[Date]],"mmm")</f>
        <v>Jun</v>
      </c>
      <c r="R489">
        <f>YEAR(clean_data[[#This Row],[Date]])</f>
        <v>2023</v>
      </c>
      <c r="S489" s="2">
        <f>clean_data[[#This Row],[Profit]]/clean_data[[#This Row],[Revenue]]</f>
        <v>0.45</v>
      </c>
      <c r="T489" t="str" cm="1">
        <f t="array" ref="T489">_xlfn.IFS(clean_data[[#This Row],[Revenue]]&lt;300000,"Small",
     clean_data[[#This Row],[Revenue]]&lt;700000,"Medium",
     TRUE,"Large")</f>
        <v>Large</v>
      </c>
      <c r="U489" t="str" cm="1">
        <f t="array" ref="U489">_xlfn.IFS(clean_data[[#This Row],[profit margin%]]&lt;0.5,"Low Profit",
     clean_data[[#This Row],[profit margin%]]&lt;0.6,"Medium Profit",
     TRUE,"High Profit")</f>
        <v>Low Profit</v>
      </c>
      <c r="V489" t="str">
        <f>TEXT(clean_data[[#This Row],[Date]],"mmm-yyyy")</f>
        <v>Jun-2023</v>
      </c>
      <c r="W489" s="8">
        <f>EOMONTH(clean_data[[#This Row],[Date]],-1)+1</f>
        <v>45078</v>
      </c>
    </row>
    <row r="490" spans="1:23" x14ac:dyDescent="0.3">
      <c r="A490" t="s">
        <v>562</v>
      </c>
      <c r="B490" s="1">
        <v>44937</v>
      </c>
      <c r="C490" t="s">
        <v>17</v>
      </c>
      <c r="D490" t="s">
        <v>42</v>
      </c>
      <c r="E490" t="s">
        <v>56</v>
      </c>
      <c r="F490" t="s">
        <v>33</v>
      </c>
      <c r="G490" t="s">
        <v>76</v>
      </c>
      <c r="H490">
        <v>23</v>
      </c>
      <c r="I490">
        <v>8500</v>
      </c>
      <c r="J490">
        <v>20</v>
      </c>
      <c r="K490">
        <v>156400</v>
      </c>
      <c r="L490">
        <v>78200</v>
      </c>
      <c r="M490">
        <v>78200</v>
      </c>
      <c r="N490" t="s">
        <v>22</v>
      </c>
      <c r="O490" t="s">
        <v>44</v>
      </c>
      <c r="P490" t="s">
        <v>24</v>
      </c>
      <c r="Q490" t="str">
        <f>TEXT(clean_data[[#This Row],[Date]],"mmm")</f>
        <v>Jan</v>
      </c>
      <c r="R490">
        <f>YEAR(clean_data[[#This Row],[Date]])</f>
        <v>2023</v>
      </c>
      <c r="S490" s="2">
        <f>clean_data[[#This Row],[Profit]]/clean_data[[#This Row],[Revenue]]</f>
        <v>0.5</v>
      </c>
      <c r="T490" t="str" cm="1">
        <f t="array" ref="T490">_xlfn.IFS(clean_data[[#This Row],[Revenue]]&lt;300000,"Small",
     clean_data[[#This Row],[Revenue]]&lt;700000,"Medium",
     TRUE,"Large")</f>
        <v>Small</v>
      </c>
      <c r="U490" t="str" cm="1">
        <f t="array" ref="U490">_xlfn.IFS(clean_data[[#This Row],[profit margin%]]&lt;0.5,"Low Profit",
     clean_data[[#This Row],[profit margin%]]&lt;0.6,"Medium Profit",
     TRUE,"High Profit")</f>
        <v>Medium Profit</v>
      </c>
      <c r="V490" t="str">
        <f>TEXT(clean_data[[#This Row],[Date]],"mmm-yyyy")</f>
        <v>Jan-2023</v>
      </c>
      <c r="W490" s="8">
        <f>EOMONTH(clean_data[[#This Row],[Date]],-1)+1</f>
        <v>44927</v>
      </c>
    </row>
    <row r="491" spans="1:23" x14ac:dyDescent="0.3">
      <c r="A491" t="s">
        <v>563</v>
      </c>
      <c r="B491" s="1">
        <v>45414</v>
      </c>
      <c r="C491" t="s">
        <v>46</v>
      </c>
      <c r="D491" t="s">
        <v>47</v>
      </c>
      <c r="E491" t="s">
        <v>70</v>
      </c>
      <c r="F491" t="s">
        <v>20</v>
      </c>
      <c r="G491" t="s">
        <v>21</v>
      </c>
      <c r="H491">
        <v>8</v>
      </c>
      <c r="I491">
        <v>3500</v>
      </c>
      <c r="J491">
        <v>0</v>
      </c>
      <c r="K491">
        <v>28000</v>
      </c>
      <c r="L491">
        <v>11200</v>
      </c>
      <c r="M491">
        <v>16800</v>
      </c>
      <c r="N491" t="s">
        <v>22</v>
      </c>
      <c r="O491" t="s">
        <v>44</v>
      </c>
      <c r="P491" t="s">
        <v>24</v>
      </c>
      <c r="Q491" t="str">
        <f>TEXT(clean_data[[#This Row],[Date]],"mmm")</f>
        <v>May</v>
      </c>
      <c r="R491">
        <f>YEAR(clean_data[[#This Row],[Date]])</f>
        <v>2024</v>
      </c>
      <c r="S491" s="2">
        <f>clean_data[[#This Row],[Profit]]/clean_data[[#This Row],[Revenue]]</f>
        <v>0.6</v>
      </c>
      <c r="T491" t="str" cm="1">
        <f t="array" ref="T491">_xlfn.IFS(clean_data[[#This Row],[Revenue]]&lt;300000,"Small",
     clean_data[[#This Row],[Revenue]]&lt;700000,"Medium",
     TRUE,"Large")</f>
        <v>Small</v>
      </c>
      <c r="U491" t="str" cm="1">
        <f t="array" ref="U491">_xlfn.IFS(clean_data[[#This Row],[profit margin%]]&lt;0.5,"Low Profit",
     clean_data[[#This Row],[profit margin%]]&lt;0.6,"Medium Profit",
     TRUE,"High Profit")</f>
        <v>High Profit</v>
      </c>
      <c r="V491" t="str">
        <f>TEXT(clean_data[[#This Row],[Date]],"mmm-yyyy")</f>
        <v>May-2024</v>
      </c>
      <c r="W491" s="8">
        <f>EOMONTH(clean_data[[#This Row],[Date]],-1)+1</f>
        <v>45413</v>
      </c>
    </row>
    <row r="492" spans="1:23" x14ac:dyDescent="0.3">
      <c r="A492" t="s">
        <v>564</v>
      </c>
      <c r="B492" s="1">
        <v>45108</v>
      </c>
      <c r="C492" t="s">
        <v>17</v>
      </c>
      <c r="D492" t="s">
        <v>42</v>
      </c>
      <c r="E492" t="s">
        <v>52</v>
      </c>
      <c r="F492" t="s">
        <v>33</v>
      </c>
      <c r="G492" t="s">
        <v>48</v>
      </c>
      <c r="H492">
        <v>31</v>
      </c>
      <c r="I492">
        <v>1500</v>
      </c>
      <c r="J492">
        <v>0</v>
      </c>
      <c r="K492">
        <v>46500</v>
      </c>
      <c r="L492">
        <v>23250</v>
      </c>
      <c r="M492">
        <v>23250</v>
      </c>
      <c r="N492" t="s">
        <v>30</v>
      </c>
      <c r="O492" t="s">
        <v>67</v>
      </c>
      <c r="P492" t="s">
        <v>24</v>
      </c>
      <c r="Q492" t="str">
        <f>TEXT(clean_data[[#This Row],[Date]],"mmm")</f>
        <v>Jul</v>
      </c>
      <c r="R492">
        <f>YEAR(clean_data[[#This Row],[Date]])</f>
        <v>2023</v>
      </c>
      <c r="S492" s="2">
        <f>clean_data[[#This Row],[Profit]]/clean_data[[#This Row],[Revenue]]</f>
        <v>0.5</v>
      </c>
      <c r="T492" t="str" cm="1">
        <f t="array" ref="T492">_xlfn.IFS(clean_data[[#This Row],[Revenue]]&lt;300000,"Small",
     clean_data[[#This Row],[Revenue]]&lt;700000,"Medium",
     TRUE,"Large")</f>
        <v>Small</v>
      </c>
      <c r="U492" t="str" cm="1">
        <f t="array" ref="U492">_xlfn.IFS(clean_data[[#This Row],[profit margin%]]&lt;0.5,"Low Profit",
     clean_data[[#This Row],[profit margin%]]&lt;0.6,"Medium Profit",
     TRUE,"High Profit")</f>
        <v>Medium Profit</v>
      </c>
      <c r="V492" t="str">
        <f>TEXT(clean_data[[#This Row],[Date]],"mmm-yyyy")</f>
        <v>Jul-2023</v>
      </c>
      <c r="W492" s="8">
        <f>EOMONTH(clean_data[[#This Row],[Date]],-1)+1</f>
        <v>45108</v>
      </c>
    </row>
    <row r="493" spans="1:23" x14ac:dyDescent="0.3">
      <c r="A493" t="s">
        <v>565</v>
      </c>
      <c r="B493" s="1">
        <v>44964</v>
      </c>
      <c r="C493" t="s">
        <v>17</v>
      </c>
      <c r="D493" t="s">
        <v>42</v>
      </c>
      <c r="E493" t="s">
        <v>60</v>
      </c>
      <c r="F493" t="s">
        <v>20</v>
      </c>
      <c r="G493" t="s">
        <v>21</v>
      </c>
      <c r="H493">
        <v>25</v>
      </c>
      <c r="I493">
        <v>3500</v>
      </c>
      <c r="J493">
        <v>20</v>
      </c>
      <c r="K493">
        <v>70000</v>
      </c>
      <c r="L493">
        <v>28000</v>
      </c>
      <c r="M493">
        <v>42000</v>
      </c>
      <c r="N493" t="s">
        <v>30</v>
      </c>
      <c r="O493" t="s">
        <v>50</v>
      </c>
      <c r="P493" t="s">
        <v>40</v>
      </c>
      <c r="Q493" t="str">
        <f>TEXT(clean_data[[#This Row],[Date]],"mmm")</f>
        <v>Feb</v>
      </c>
      <c r="R493">
        <f>YEAR(clean_data[[#This Row],[Date]])</f>
        <v>2023</v>
      </c>
      <c r="S493" s="2">
        <f>clean_data[[#This Row],[Profit]]/clean_data[[#This Row],[Revenue]]</f>
        <v>0.6</v>
      </c>
      <c r="T493" t="str" cm="1">
        <f t="array" ref="T493">_xlfn.IFS(clean_data[[#This Row],[Revenue]]&lt;300000,"Small",
     clean_data[[#This Row],[Revenue]]&lt;700000,"Medium",
     TRUE,"Large")</f>
        <v>Small</v>
      </c>
      <c r="U493" t="str" cm="1">
        <f t="array" ref="U493">_xlfn.IFS(clean_data[[#This Row],[profit margin%]]&lt;0.5,"Low Profit",
     clean_data[[#This Row],[profit margin%]]&lt;0.6,"Medium Profit",
     TRUE,"High Profit")</f>
        <v>High Profit</v>
      </c>
      <c r="V493" t="str">
        <f>TEXT(clean_data[[#This Row],[Date]],"mmm-yyyy")</f>
        <v>Feb-2023</v>
      </c>
      <c r="W493" s="8">
        <f>EOMONTH(clean_data[[#This Row],[Date]],-1)+1</f>
        <v>44958</v>
      </c>
    </row>
    <row r="494" spans="1:23" x14ac:dyDescent="0.3">
      <c r="A494" t="s">
        <v>566</v>
      </c>
      <c r="B494" s="1">
        <v>44867</v>
      </c>
      <c r="C494" t="s">
        <v>17</v>
      </c>
      <c r="D494" t="s">
        <v>18</v>
      </c>
      <c r="E494" t="s">
        <v>38</v>
      </c>
      <c r="F494" t="s">
        <v>33</v>
      </c>
      <c r="G494" t="s">
        <v>39</v>
      </c>
      <c r="H494">
        <v>30</v>
      </c>
      <c r="I494">
        <v>5000</v>
      </c>
      <c r="J494">
        <v>0</v>
      </c>
      <c r="K494">
        <v>150000</v>
      </c>
      <c r="L494">
        <v>75000</v>
      </c>
      <c r="M494">
        <v>75000</v>
      </c>
      <c r="N494" t="s">
        <v>49</v>
      </c>
      <c r="O494" t="s">
        <v>50</v>
      </c>
      <c r="P494" t="s">
        <v>24</v>
      </c>
      <c r="Q494" t="str">
        <f>TEXT(clean_data[[#This Row],[Date]],"mmm")</f>
        <v>Nov</v>
      </c>
      <c r="R494">
        <f>YEAR(clean_data[[#This Row],[Date]])</f>
        <v>2022</v>
      </c>
      <c r="S494" s="2">
        <f>clean_data[[#This Row],[Profit]]/clean_data[[#This Row],[Revenue]]</f>
        <v>0.5</v>
      </c>
      <c r="T494" t="str" cm="1">
        <f t="array" ref="T494">_xlfn.IFS(clean_data[[#This Row],[Revenue]]&lt;300000,"Small",
     clean_data[[#This Row],[Revenue]]&lt;700000,"Medium",
     TRUE,"Large")</f>
        <v>Small</v>
      </c>
      <c r="U494" t="str" cm="1">
        <f t="array" ref="U494">_xlfn.IFS(clean_data[[#This Row],[profit margin%]]&lt;0.5,"Low Profit",
     clean_data[[#This Row],[profit margin%]]&lt;0.6,"Medium Profit",
     TRUE,"High Profit")</f>
        <v>Medium Profit</v>
      </c>
      <c r="V494" t="str">
        <f>TEXT(clean_data[[#This Row],[Date]],"mmm-yyyy")</f>
        <v>Nov-2022</v>
      </c>
      <c r="W494" s="8">
        <f>EOMONTH(clean_data[[#This Row],[Date]],-1)+1</f>
        <v>44866</v>
      </c>
    </row>
    <row r="495" spans="1:23" x14ac:dyDescent="0.3">
      <c r="A495" t="s">
        <v>567</v>
      </c>
      <c r="B495" s="1">
        <v>45288</v>
      </c>
      <c r="C495" t="s">
        <v>26</v>
      </c>
      <c r="D495" t="s">
        <v>27</v>
      </c>
      <c r="E495" t="s">
        <v>73</v>
      </c>
      <c r="F495" t="s">
        <v>65</v>
      </c>
      <c r="G495" t="s">
        <v>104</v>
      </c>
      <c r="H495">
        <v>25</v>
      </c>
      <c r="I495">
        <v>3000</v>
      </c>
      <c r="J495">
        <v>20</v>
      </c>
      <c r="K495">
        <v>60000</v>
      </c>
      <c r="L495">
        <v>27000</v>
      </c>
      <c r="M495">
        <v>33000</v>
      </c>
      <c r="N495" t="s">
        <v>49</v>
      </c>
      <c r="O495" t="s">
        <v>23</v>
      </c>
      <c r="P495" t="s">
        <v>24</v>
      </c>
      <c r="Q495" t="str">
        <f>TEXT(clean_data[[#This Row],[Date]],"mmm")</f>
        <v>Dec</v>
      </c>
      <c r="R495">
        <f>YEAR(clean_data[[#This Row],[Date]])</f>
        <v>2023</v>
      </c>
      <c r="S495" s="2">
        <f>clean_data[[#This Row],[Profit]]/clean_data[[#This Row],[Revenue]]</f>
        <v>0.55000000000000004</v>
      </c>
      <c r="T495" t="str" cm="1">
        <f t="array" ref="T495">_xlfn.IFS(clean_data[[#This Row],[Revenue]]&lt;300000,"Small",
     clean_data[[#This Row],[Revenue]]&lt;700000,"Medium",
     TRUE,"Large")</f>
        <v>Small</v>
      </c>
      <c r="U495" t="str" cm="1">
        <f t="array" ref="U495">_xlfn.IFS(clean_data[[#This Row],[profit margin%]]&lt;0.5,"Low Profit",
     clean_data[[#This Row],[profit margin%]]&lt;0.6,"Medium Profit",
     TRUE,"High Profit")</f>
        <v>Medium Profit</v>
      </c>
      <c r="V495" t="str">
        <f>TEXT(clean_data[[#This Row],[Date]],"mmm-yyyy")</f>
        <v>Dec-2023</v>
      </c>
      <c r="W495" s="8">
        <f>EOMONTH(clean_data[[#This Row],[Date]],-1)+1</f>
        <v>45261</v>
      </c>
    </row>
    <row r="496" spans="1:23" x14ac:dyDescent="0.3">
      <c r="A496" t="s">
        <v>568</v>
      </c>
      <c r="B496" s="1">
        <v>45599</v>
      </c>
      <c r="C496" t="s">
        <v>46</v>
      </c>
      <c r="D496" t="s">
        <v>47</v>
      </c>
      <c r="E496" t="s">
        <v>111</v>
      </c>
      <c r="F496" t="s">
        <v>65</v>
      </c>
      <c r="G496" t="s">
        <v>79</v>
      </c>
      <c r="H496">
        <v>46</v>
      </c>
      <c r="I496">
        <v>900</v>
      </c>
      <c r="J496">
        <v>0</v>
      </c>
      <c r="K496">
        <v>41400</v>
      </c>
      <c r="L496">
        <v>18630</v>
      </c>
      <c r="M496">
        <v>22770</v>
      </c>
      <c r="N496" t="s">
        <v>30</v>
      </c>
      <c r="O496" t="s">
        <v>67</v>
      </c>
      <c r="P496" t="s">
        <v>24</v>
      </c>
      <c r="Q496" t="str">
        <f>TEXT(clean_data[[#This Row],[Date]],"mmm")</f>
        <v>Nov</v>
      </c>
      <c r="R496">
        <f>YEAR(clean_data[[#This Row],[Date]])</f>
        <v>2024</v>
      </c>
      <c r="S496" s="2">
        <f>clean_data[[#This Row],[Profit]]/clean_data[[#This Row],[Revenue]]</f>
        <v>0.55000000000000004</v>
      </c>
      <c r="T496" t="str" cm="1">
        <f t="array" ref="T496">_xlfn.IFS(clean_data[[#This Row],[Revenue]]&lt;300000,"Small",
     clean_data[[#This Row],[Revenue]]&lt;700000,"Medium",
     TRUE,"Large")</f>
        <v>Small</v>
      </c>
      <c r="U496" t="str" cm="1">
        <f t="array" ref="U496">_xlfn.IFS(clean_data[[#This Row],[profit margin%]]&lt;0.5,"Low Profit",
     clean_data[[#This Row],[profit margin%]]&lt;0.6,"Medium Profit",
     TRUE,"High Profit")</f>
        <v>Medium Profit</v>
      </c>
      <c r="V496" t="str">
        <f>TEXT(clean_data[[#This Row],[Date]],"mmm-yyyy")</f>
        <v>Nov-2024</v>
      </c>
      <c r="W496" s="8">
        <f>EOMONTH(clean_data[[#This Row],[Date]],-1)+1</f>
        <v>45597</v>
      </c>
    </row>
    <row r="497" spans="1:23" x14ac:dyDescent="0.3">
      <c r="A497" t="s">
        <v>569</v>
      </c>
      <c r="B497" s="1">
        <v>45149</v>
      </c>
      <c r="C497" t="s">
        <v>58</v>
      </c>
      <c r="D497" t="s">
        <v>59</v>
      </c>
      <c r="E497" t="s">
        <v>78</v>
      </c>
      <c r="F497" t="s">
        <v>28</v>
      </c>
      <c r="G497" t="s">
        <v>71</v>
      </c>
      <c r="H497">
        <v>44</v>
      </c>
      <c r="I497">
        <v>35000</v>
      </c>
      <c r="J497">
        <v>10</v>
      </c>
      <c r="K497">
        <v>1386000</v>
      </c>
      <c r="L497">
        <v>762300</v>
      </c>
      <c r="M497">
        <v>623700</v>
      </c>
      <c r="N497" t="s">
        <v>22</v>
      </c>
      <c r="O497" t="s">
        <v>50</v>
      </c>
      <c r="P497" t="s">
        <v>24</v>
      </c>
      <c r="Q497" t="str">
        <f>TEXT(clean_data[[#This Row],[Date]],"mmm")</f>
        <v>Aug</v>
      </c>
      <c r="R497">
        <f>YEAR(clean_data[[#This Row],[Date]])</f>
        <v>2023</v>
      </c>
      <c r="S497" s="2">
        <f>clean_data[[#This Row],[Profit]]/clean_data[[#This Row],[Revenue]]</f>
        <v>0.45</v>
      </c>
      <c r="T497" t="str" cm="1">
        <f t="array" ref="T497">_xlfn.IFS(clean_data[[#This Row],[Revenue]]&lt;300000,"Small",
     clean_data[[#This Row],[Revenue]]&lt;700000,"Medium",
     TRUE,"Large")</f>
        <v>Large</v>
      </c>
      <c r="U497" t="str" cm="1">
        <f t="array" ref="U497">_xlfn.IFS(clean_data[[#This Row],[profit margin%]]&lt;0.5,"Low Profit",
     clean_data[[#This Row],[profit margin%]]&lt;0.6,"Medium Profit",
     TRUE,"High Profit")</f>
        <v>Low Profit</v>
      </c>
      <c r="V497" t="str">
        <f>TEXT(clean_data[[#This Row],[Date]],"mmm-yyyy")</f>
        <v>Aug-2023</v>
      </c>
      <c r="W497" s="8">
        <f>EOMONTH(clean_data[[#This Row],[Date]],-1)+1</f>
        <v>45139</v>
      </c>
    </row>
    <row r="498" spans="1:23" x14ac:dyDescent="0.3">
      <c r="A498" t="s">
        <v>570</v>
      </c>
      <c r="B498" s="1">
        <v>45033</v>
      </c>
      <c r="C498" t="s">
        <v>17</v>
      </c>
      <c r="D498" t="s">
        <v>18</v>
      </c>
      <c r="E498" t="s">
        <v>73</v>
      </c>
      <c r="F498" t="s">
        <v>65</v>
      </c>
      <c r="G498" t="s">
        <v>117</v>
      </c>
      <c r="H498">
        <v>36</v>
      </c>
      <c r="I498">
        <v>1200</v>
      </c>
      <c r="J498">
        <v>10</v>
      </c>
      <c r="K498">
        <v>38880</v>
      </c>
      <c r="L498">
        <v>17496</v>
      </c>
      <c r="M498">
        <v>21384</v>
      </c>
      <c r="N498" t="s">
        <v>30</v>
      </c>
      <c r="O498" t="s">
        <v>50</v>
      </c>
      <c r="P498" t="s">
        <v>24</v>
      </c>
      <c r="Q498" t="str">
        <f>TEXT(clean_data[[#This Row],[Date]],"mmm")</f>
        <v>Apr</v>
      </c>
      <c r="R498">
        <f>YEAR(clean_data[[#This Row],[Date]])</f>
        <v>2023</v>
      </c>
      <c r="S498" s="2">
        <f>clean_data[[#This Row],[Profit]]/clean_data[[#This Row],[Revenue]]</f>
        <v>0.55000000000000004</v>
      </c>
      <c r="T498" t="str" cm="1">
        <f t="array" ref="T498">_xlfn.IFS(clean_data[[#This Row],[Revenue]]&lt;300000,"Small",
     clean_data[[#This Row],[Revenue]]&lt;700000,"Medium",
     TRUE,"Large")</f>
        <v>Small</v>
      </c>
      <c r="U498" t="str" cm="1">
        <f t="array" ref="U498">_xlfn.IFS(clean_data[[#This Row],[profit margin%]]&lt;0.5,"Low Profit",
     clean_data[[#This Row],[profit margin%]]&lt;0.6,"Medium Profit",
     TRUE,"High Profit")</f>
        <v>Medium Profit</v>
      </c>
      <c r="V498" t="str">
        <f>TEXT(clean_data[[#This Row],[Date]],"mmm-yyyy")</f>
        <v>Apr-2023</v>
      </c>
      <c r="W498" s="8">
        <f>EOMONTH(clean_data[[#This Row],[Date]],-1)+1</f>
        <v>45017</v>
      </c>
    </row>
    <row r="499" spans="1:23" x14ac:dyDescent="0.3">
      <c r="A499" t="s">
        <v>571</v>
      </c>
      <c r="B499" s="1">
        <v>45344</v>
      </c>
      <c r="C499" t="s">
        <v>46</v>
      </c>
      <c r="D499" t="s">
        <v>47</v>
      </c>
      <c r="E499" t="s">
        <v>32</v>
      </c>
      <c r="F499" t="s">
        <v>20</v>
      </c>
      <c r="G499" t="s">
        <v>115</v>
      </c>
      <c r="H499">
        <v>16</v>
      </c>
      <c r="I499">
        <v>2500</v>
      </c>
      <c r="J499">
        <v>20</v>
      </c>
      <c r="K499">
        <v>32000</v>
      </c>
      <c r="L499">
        <v>12800</v>
      </c>
      <c r="M499">
        <v>19200</v>
      </c>
      <c r="N499" t="s">
        <v>49</v>
      </c>
      <c r="O499" t="s">
        <v>50</v>
      </c>
      <c r="P499" t="s">
        <v>24</v>
      </c>
      <c r="Q499" t="str">
        <f>TEXT(clean_data[[#This Row],[Date]],"mmm")</f>
        <v>Feb</v>
      </c>
      <c r="R499">
        <f>YEAR(clean_data[[#This Row],[Date]])</f>
        <v>2024</v>
      </c>
      <c r="S499" s="2">
        <f>clean_data[[#This Row],[Profit]]/clean_data[[#This Row],[Revenue]]</f>
        <v>0.6</v>
      </c>
      <c r="T499" t="str" cm="1">
        <f t="array" ref="T499">_xlfn.IFS(clean_data[[#This Row],[Revenue]]&lt;300000,"Small",
     clean_data[[#This Row],[Revenue]]&lt;700000,"Medium",
     TRUE,"Large")</f>
        <v>Small</v>
      </c>
      <c r="U499" t="str" cm="1">
        <f t="array" ref="U499">_xlfn.IFS(clean_data[[#This Row],[profit margin%]]&lt;0.5,"Low Profit",
     clean_data[[#This Row],[profit margin%]]&lt;0.6,"Medium Profit",
     TRUE,"High Profit")</f>
        <v>High Profit</v>
      </c>
      <c r="V499" t="str">
        <f>TEXT(clean_data[[#This Row],[Date]],"mmm-yyyy")</f>
        <v>Feb-2024</v>
      </c>
      <c r="W499" s="8">
        <f>EOMONTH(clean_data[[#This Row],[Date]],-1)+1</f>
        <v>45323</v>
      </c>
    </row>
    <row r="500" spans="1:23" x14ac:dyDescent="0.3">
      <c r="A500" t="s">
        <v>572</v>
      </c>
      <c r="B500" s="1">
        <v>45214</v>
      </c>
      <c r="C500" t="s">
        <v>46</v>
      </c>
      <c r="D500" t="s">
        <v>47</v>
      </c>
      <c r="E500" t="s">
        <v>78</v>
      </c>
      <c r="F500" t="s">
        <v>20</v>
      </c>
      <c r="G500" t="s">
        <v>74</v>
      </c>
      <c r="H500">
        <v>20</v>
      </c>
      <c r="I500">
        <v>4200</v>
      </c>
      <c r="J500">
        <v>20</v>
      </c>
      <c r="K500">
        <v>67200</v>
      </c>
      <c r="L500">
        <v>26880</v>
      </c>
      <c r="M500">
        <v>40320</v>
      </c>
      <c r="N500" t="s">
        <v>49</v>
      </c>
      <c r="O500" t="s">
        <v>44</v>
      </c>
      <c r="P500" t="s">
        <v>24</v>
      </c>
      <c r="Q500" t="str">
        <f>TEXT(clean_data[[#This Row],[Date]],"mmm")</f>
        <v>Oct</v>
      </c>
      <c r="R500">
        <f>YEAR(clean_data[[#This Row],[Date]])</f>
        <v>2023</v>
      </c>
      <c r="S500" s="2">
        <f>clean_data[[#This Row],[Profit]]/clean_data[[#This Row],[Revenue]]</f>
        <v>0.6</v>
      </c>
      <c r="T500" t="str" cm="1">
        <f t="array" ref="T500">_xlfn.IFS(clean_data[[#This Row],[Revenue]]&lt;300000,"Small",
     clean_data[[#This Row],[Revenue]]&lt;700000,"Medium",
     TRUE,"Large")</f>
        <v>Small</v>
      </c>
      <c r="U500" t="str" cm="1">
        <f t="array" ref="U500">_xlfn.IFS(clean_data[[#This Row],[profit margin%]]&lt;0.5,"Low Profit",
     clean_data[[#This Row],[profit margin%]]&lt;0.6,"Medium Profit",
     TRUE,"High Profit")</f>
        <v>High Profit</v>
      </c>
      <c r="V500" t="str">
        <f>TEXT(clean_data[[#This Row],[Date]],"mmm-yyyy")</f>
        <v>Oct-2023</v>
      </c>
      <c r="W500" s="8">
        <f>EOMONTH(clean_data[[#This Row],[Date]],-1)+1</f>
        <v>45200</v>
      </c>
    </row>
    <row r="501" spans="1:23" x14ac:dyDescent="0.3">
      <c r="A501" t="s">
        <v>573</v>
      </c>
      <c r="B501" s="1">
        <v>44876</v>
      </c>
      <c r="C501" t="s">
        <v>26</v>
      </c>
      <c r="D501" t="s">
        <v>27</v>
      </c>
      <c r="E501" t="s">
        <v>78</v>
      </c>
      <c r="F501" t="s">
        <v>33</v>
      </c>
      <c r="G501" t="s">
        <v>76</v>
      </c>
      <c r="H501">
        <v>47</v>
      </c>
      <c r="I501">
        <v>8500</v>
      </c>
      <c r="J501">
        <v>0</v>
      </c>
      <c r="K501">
        <v>399500</v>
      </c>
      <c r="L501">
        <v>199750</v>
      </c>
      <c r="M501">
        <v>199750</v>
      </c>
      <c r="N501" t="s">
        <v>49</v>
      </c>
      <c r="O501" t="s">
        <v>23</v>
      </c>
      <c r="P501" t="s">
        <v>24</v>
      </c>
      <c r="Q501" t="str">
        <f>TEXT(clean_data[[#This Row],[Date]],"mmm")</f>
        <v>Nov</v>
      </c>
      <c r="R501">
        <f>YEAR(clean_data[[#This Row],[Date]])</f>
        <v>2022</v>
      </c>
      <c r="S501" s="2">
        <f>clean_data[[#This Row],[Profit]]/clean_data[[#This Row],[Revenue]]</f>
        <v>0.5</v>
      </c>
      <c r="T501" t="str" cm="1">
        <f t="array" ref="T501">_xlfn.IFS(clean_data[[#This Row],[Revenue]]&lt;300000,"Small",
     clean_data[[#This Row],[Revenue]]&lt;700000,"Medium",
     TRUE,"Large")</f>
        <v>Medium</v>
      </c>
      <c r="U501" t="str" cm="1">
        <f t="array" ref="U501">_xlfn.IFS(clean_data[[#This Row],[profit margin%]]&lt;0.5,"Low Profit",
     clean_data[[#This Row],[profit margin%]]&lt;0.6,"Medium Profit",
     TRUE,"High Profit")</f>
        <v>Medium Profit</v>
      </c>
      <c r="V501" t="str">
        <f>TEXT(clean_data[[#This Row],[Date]],"mmm-yyyy")</f>
        <v>Nov-2022</v>
      </c>
      <c r="W501" s="8">
        <f>EOMONTH(clean_data[[#This Row],[Date]],-1)+1</f>
        <v>44866</v>
      </c>
    </row>
    <row r="502" spans="1:23" x14ac:dyDescent="0.3">
      <c r="A502" t="s">
        <v>574</v>
      </c>
      <c r="B502" s="1">
        <v>45153</v>
      </c>
      <c r="C502" t="s">
        <v>17</v>
      </c>
      <c r="D502" t="s">
        <v>18</v>
      </c>
      <c r="E502" t="s">
        <v>19</v>
      </c>
      <c r="F502" t="s">
        <v>28</v>
      </c>
      <c r="G502" t="s">
        <v>87</v>
      </c>
      <c r="H502">
        <v>12</v>
      </c>
      <c r="I502">
        <v>45000</v>
      </c>
      <c r="J502">
        <v>0</v>
      </c>
      <c r="K502">
        <v>540000</v>
      </c>
      <c r="L502">
        <v>297000</v>
      </c>
      <c r="M502">
        <v>243000</v>
      </c>
      <c r="N502" t="s">
        <v>22</v>
      </c>
      <c r="O502" t="s">
        <v>50</v>
      </c>
      <c r="P502" t="s">
        <v>40</v>
      </c>
      <c r="Q502" t="str">
        <f>TEXT(clean_data[[#This Row],[Date]],"mmm")</f>
        <v>Aug</v>
      </c>
      <c r="R502">
        <f>YEAR(clean_data[[#This Row],[Date]])</f>
        <v>2023</v>
      </c>
      <c r="S502" s="2">
        <f>clean_data[[#This Row],[Profit]]/clean_data[[#This Row],[Revenue]]</f>
        <v>0.45</v>
      </c>
      <c r="T502" t="str" cm="1">
        <f t="array" ref="T502">_xlfn.IFS(clean_data[[#This Row],[Revenue]]&lt;300000,"Small",
     clean_data[[#This Row],[Revenue]]&lt;700000,"Medium",
     TRUE,"Large")</f>
        <v>Medium</v>
      </c>
      <c r="U502" t="str" cm="1">
        <f t="array" ref="U502">_xlfn.IFS(clean_data[[#This Row],[profit margin%]]&lt;0.5,"Low Profit",
     clean_data[[#This Row],[profit margin%]]&lt;0.6,"Medium Profit",
     TRUE,"High Profit")</f>
        <v>Low Profit</v>
      </c>
      <c r="V502" t="str">
        <f>TEXT(clean_data[[#This Row],[Date]],"mmm-yyyy")</f>
        <v>Aug-2023</v>
      </c>
      <c r="W502" s="8">
        <f>EOMONTH(clean_data[[#This Row],[Date]],-1)+1</f>
        <v>45139</v>
      </c>
    </row>
    <row r="503" spans="1:23" x14ac:dyDescent="0.3">
      <c r="A503" t="s">
        <v>575</v>
      </c>
      <c r="B503" s="1">
        <v>45005</v>
      </c>
      <c r="C503" t="s">
        <v>46</v>
      </c>
      <c r="D503" t="s">
        <v>47</v>
      </c>
      <c r="E503" t="s">
        <v>56</v>
      </c>
      <c r="F503" t="s">
        <v>33</v>
      </c>
      <c r="G503" t="s">
        <v>39</v>
      </c>
      <c r="H503">
        <v>45</v>
      </c>
      <c r="I503">
        <v>5000</v>
      </c>
      <c r="J503">
        <v>15</v>
      </c>
      <c r="K503">
        <v>191250</v>
      </c>
      <c r="L503">
        <v>95625</v>
      </c>
      <c r="M503">
        <v>95625</v>
      </c>
      <c r="N503" t="s">
        <v>22</v>
      </c>
      <c r="O503" t="s">
        <v>67</v>
      </c>
      <c r="P503" t="s">
        <v>24</v>
      </c>
      <c r="Q503" t="str">
        <f>TEXT(clean_data[[#This Row],[Date]],"mmm")</f>
        <v>Mar</v>
      </c>
      <c r="R503">
        <f>YEAR(clean_data[[#This Row],[Date]])</f>
        <v>2023</v>
      </c>
      <c r="S503" s="2">
        <f>clean_data[[#This Row],[Profit]]/clean_data[[#This Row],[Revenue]]</f>
        <v>0.5</v>
      </c>
      <c r="T503" t="str" cm="1">
        <f t="array" ref="T503">_xlfn.IFS(clean_data[[#This Row],[Revenue]]&lt;300000,"Small",
     clean_data[[#This Row],[Revenue]]&lt;700000,"Medium",
     TRUE,"Large")</f>
        <v>Small</v>
      </c>
      <c r="U503" t="str" cm="1">
        <f t="array" ref="U503">_xlfn.IFS(clean_data[[#This Row],[profit margin%]]&lt;0.5,"Low Profit",
     clean_data[[#This Row],[profit margin%]]&lt;0.6,"Medium Profit",
     TRUE,"High Profit")</f>
        <v>Medium Profit</v>
      </c>
      <c r="V503" t="str">
        <f>TEXT(clean_data[[#This Row],[Date]],"mmm-yyyy")</f>
        <v>Mar-2023</v>
      </c>
      <c r="W503" s="8">
        <f>EOMONTH(clean_data[[#This Row],[Date]],-1)+1</f>
        <v>44986</v>
      </c>
    </row>
    <row r="504" spans="1:23" x14ac:dyDescent="0.3">
      <c r="A504" t="s">
        <v>576</v>
      </c>
      <c r="B504" s="1">
        <v>45496</v>
      </c>
      <c r="C504" t="s">
        <v>17</v>
      </c>
      <c r="D504" t="s">
        <v>18</v>
      </c>
      <c r="E504" t="s">
        <v>32</v>
      </c>
      <c r="F504" t="s">
        <v>65</v>
      </c>
      <c r="G504" t="s">
        <v>66</v>
      </c>
      <c r="H504">
        <v>9</v>
      </c>
      <c r="I504">
        <v>5500</v>
      </c>
      <c r="J504">
        <v>5</v>
      </c>
      <c r="K504">
        <v>47025</v>
      </c>
      <c r="L504">
        <v>21161.25</v>
      </c>
      <c r="M504">
        <v>25863.75</v>
      </c>
      <c r="N504" t="s">
        <v>30</v>
      </c>
      <c r="O504" t="s">
        <v>35</v>
      </c>
      <c r="P504" t="s">
        <v>24</v>
      </c>
      <c r="Q504" t="str">
        <f>TEXT(clean_data[[#This Row],[Date]],"mmm")</f>
        <v>Jul</v>
      </c>
      <c r="R504">
        <f>YEAR(clean_data[[#This Row],[Date]])</f>
        <v>2024</v>
      </c>
      <c r="S504" s="2">
        <f>clean_data[[#This Row],[Profit]]/clean_data[[#This Row],[Revenue]]</f>
        <v>0.55000000000000004</v>
      </c>
      <c r="T504" t="str" cm="1">
        <f t="array" ref="T504">_xlfn.IFS(clean_data[[#This Row],[Revenue]]&lt;300000,"Small",
     clean_data[[#This Row],[Revenue]]&lt;700000,"Medium",
     TRUE,"Large")</f>
        <v>Small</v>
      </c>
      <c r="U504" t="str" cm="1">
        <f t="array" ref="U504">_xlfn.IFS(clean_data[[#This Row],[profit margin%]]&lt;0.5,"Low Profit",
     clean_data[[#This Row],[profit margin%]]&lt;0.6,"Medium Profit",
     TRUE,"High Profit")</f>
        <v>Medium Profit</v>
      </c>
      <c r="V504" t="str">
        <f>TEXT(clean_data[[#This Row],[Date]],"mmm-yyyy")</f>
        <v>Jul-2024</v>
      </c>
      <c r="W504" s="8">
        <f>EOMONTH(clean_data[[#This Row],[Date]],-1)+1</f>
        <v>45474</v>
      </c>
    </row>
    <row r="505" spans="1:23" x14ac:dyDescent="0.3">
      <c r="A505" t="s">
        <v>577</v>
      </c>
      <c r="B505" s="1">
        <v>45376</v>
      </c>
      <c r="C505" t="s">
        <v>26</v>
      </c>
      <c r="D505" t="s">
        <v>69</v>
      </c>
      <c r="E505" t="s">
        <v>32</v>
      </c>
      <c r="F505" t="s">
        <v>20</v>
      </c>
      <c r="G505" t="s">
        <v>74</v>
      </c>
      <c r="H505">
        <v>49</v>
      </c>
      <c r="I505">
        <v>4200</v>
      </c>
      <c r="J505">
        <v>5</v>
      </c>
      <c r="K505">
        <v>195510</v>
      </c>
      <c r="L505">
        <v>78204</v>
      </c>
      <c r="M505">
        <v>117306</v>
      </c>
      <c r="N505" t="s">
        <v>30</v>
      </c>
      <c r="O505" t="s">
        <v>23</v>
      </c>
      <c r="P505" t="s">
        <v>24</v>
      </c>
      <c r="Q505" t="str">
        <f>TEXT(clean_data[[#This Row],[Date]],"mmm")</f>
        <v>Mar</v>
      </c>
      <c r="R505">
        <f>YEAR(clean_data[[#This Row],[Date]])</f>
        <v>2024</v>
      </c>
      <c r="S505" s="2">
        <f>clean_data[[#This Row],[Profit]]/clean_data[[#This Row],[Revenue]]</f>
        <v>0.6</v>
      </c>
      <c r="T505" t="str" cm="1">
        <f t="array" ref="T505">_xlfn.IFS(clean_data[[#This Row],[Revenue]]&lt;300000,"Small",
     clean_data[[#This Row],[Revenue]]&lt;700000,"Medium",
     TRUE,"Large")</f>
        <v>Small</v>
      </c>
      <c r="U505" t="str" cm="1">
        <f t="array" ref="U505">_xlfn.IFS(clean_data[[#This Row],[profit margin%]]&lt;0.5,"Low Profit",
     clean_data[[#This Row],[profit margin%]]&lt;0.6,"Medium Profit",
     TRUE,"High Profit")</f>
        <v>High Profit</v>
      </c>
      <c r="V505" t="str">
        <f>TEXT(clean_data[[#This Row],[Date]],"mmm-yyyy")</f>
        <v>Mar-2024</v>
      </c>
      <c r="W505" s="8">
        <f>EOMONTH(clean_data[[#This Row],[Date]],-1)+1</f>
        <v>45352</v>
      </c>
    </row>
    <row r="506" spans="1:23" x14ac:dyDescent="0.3">
      <c r="A506" t="s">
        <v>578</v>
      </c>
      <c r="B506" s="1">
        <v>45527</v>
      </c>
      <c r="C506" t="s">
        <v>17</v>
      </c>
      <c r="D506" t="s">
        <v>37</v>
      </c>
      <c r="E506" t="s">
        <v>19</v>
      </c>
      <c r="F506" t="s">
        <v>65</v>
      </c>
      <c r="G506" t="s">
        <v>66</v>
      </c>
      <c r="H506">
        <v>50</v>
      </c>
      <c r="I506">
        <v>5500</v>
      </c>
      <c r="J506">
        <v>0</v>
      </c>
      <c r="K506">
        <v>275000</v>
      </c>
      <c r="L506">
        <v>123750</v>
      </c>
      <c r="M506">
        <v>151250</v>
      </c>
      <c r="N506" t="s">
        <v>22</v>
      </c>
      <c r="O506" t="s">
        <v>23</v>
      </c>
      <c r="P506" t="s">
        <v>40</v>
      </c>
      <c r="Q506" t="str">
        <f>TEXT(clean_data[[#This Row],[Date]],"mmm")</f>
        <v>Aug</v>
      </c>
      <c r="R506">
        <f>YEAR(clean_data[[#This Row],[Date]])</f>
        <v>2024</v>
      </c>
      <c r="S506" s="2">
        <f>clean_data[[#This Row],[Profit]]/clean_data[[#This Row],[Revenue]]</f>
        <v>0.55000000000000004</v>
      </c>
      <c r="T506" t="str" cm="1">
        <f t="array" ref="T506">_xlfn.IFS(clean_data[[#This Row],[Revenue]]&lt;300000,"Small",
     clean_data[[#This Row],[Revenue]]&lt;700000,"Medium",
     TRUE,"Large")</f>
        <v>Small</v>
      </c>
      <c r="U506" t="str" cm="1">
        <f t="array" ref="U506">_xlfn.IFS(clean_data[[#This Row],[profit margin%]]&lt;0.5,"Low Profit",
     clean_data[[#This Row],[profit margin%]]&lt;0.6,"Medium Profit",
     TRUE,"High Profit")</f>
        <v>Medium Profit</v>
      </c>
      <c r="V506" t="str">
        <f>TEXT(clean_data[[#This Row],[Date]],"mmm-yyyy")</f>
        <v>Aug-2024</v>
      </c>
      <c r="W506" s="8">
        <f>EOMONTH(clean_data[[#This Row],[Date]],-1)+1</f>
        <v>45505</v>
      </c>
    </row>
    <row r="507" spans="1:23" x14ac:dyDescent="0.3">
      <c r="A507" t="s">
        <v>579</v>
      </c>
      <c r="B507" s="1">
        <v>45182</v>
      </c>
      <c r="C507" t="s">
        <v>26</v>
      </c>
      <c r="D507" t="s">
        <v>27</v>
      </c>
      <c r="E507" t="s">
        <v>60</v>
      </c>
      <c r="F507" t="s">
        <v>65</v>
      </c>
      <c r="G507" t="s">
        <v>117</v>
      </c>
      <c r="H507">
        <v>16</v>
      </c>
      <c r="I507">
        <v>1200</v>
      </c>
      <c r="J507">
        <v>20</v>
      </c>
      <c r="K507">
        <v>15360</v>
      </c>
      <c r="L507">
        <v>6912</v>
      </c>
      <c r="M507">
        <v>8448</v>
      </c>
      <c r="N507" t="s">
        <v>49</v>
      </c>
      <c r="O507" t="s">
        <v>35</v>
      </c>
      <c r="P507" t="s">
        <v>40</v>
      </c>
      <c r="Q507" t="str">
        <f>TEXT(clean_data[[#This Row],[Date]],"mmm")</f>
        <v>Sep</v>
      </c>
      <c r="R507">
        <f>YEAR(clean_data[[#This Row],[Date]])</f>
        <v>2023</v>
      </c>
      <c r="S507" s="2">
        <f>clean_data[[#This Row],[Profit]]/clean_data[[#This Row],[Revenue]]</f>
        <v>0.55000000000000004</v>
      </c>
      <c r="T507" t="str" cm="1">
        <f t="array" ref="T507">_xlfn.IFS(clean_data[[#This Row],[Revenue]]&lt;300000,"Small",
     clean_data[[#This Row],[Revenue]]&lt;700000,"Medium",
     TRUE,"Large")</f>
        <v>Small</v>
      </c>
      <c r="U507" t="str" cm="1">
        <f t="array" ref="U507">_xlfn.IFS(clean_data[[#This Row],[profit margin%]]&lt;0.5,"Low Profit",
     clean_data[[#This Row],[profit margin%]]&lt;0.6,"Medium Profit",
     TRUE,"High Profit")</f>
        <v>Medium Profit</v>
      </c>
      <c r="V507" t="str">
        <f>TEXT(clean_data[[#This Row],[Date]],"mmm-yyyy")</f>
        <v>Sep-2023</v>
      </c>
      <c r="W507" s="8">
        <f>EOMONTH(clean_data[[#This Row],[Date]],-1)+1</f>
        <v>45170</v>
      </c>
    </row>
    <row r="508" spans="1:23" x14ac:dyDescent="0.3">
      <c r="A508" t="s">
        <v>580</v>
      </c>
      <c r="B508" s="1">
        <v>45639</v>
      </c>
      <c r="C508" t="s">
        <v>26</v>
      </c>
      <c r="D508" t="s">
        <v>27</v>
      </c>
      <c r="E508" t="s">
        <v>73</v>
      </c>
      <c r="F508" t="s">
        <v>65</v>
      </c>
      <c r="G508" t="s">
        <v>66</v>
      </c>
      <c r="H508">
        <v>20</v>
      </c>
      <c r="I508">
        <v>5500</v>
      </c>
      <c r="J508">
        <v>10</v>
      </c>
      <c r="K508">
        <v>99000</v>
      </c>
      <c r="L508">
        <v>44550</v>
      </c>
      <c r="M508">
        <v>54450</v>
      </c>
      <c r="N508" t="s">
        <v>30</v>
      </c>
      <c r="O508" t="s">
        <v>23</v>
      </c>
      <c r="P508" t="s">
        <v>24</v>
      </c>
      <c r="Q508" t="str">
        <f>TEXT(clean_data[[#This Row],[Date]],"mmm")</f>
        <v>Dec</v>
      </c>
      <c r="R508">
        <f>YEAR(clean_data[[#This Row],[Date]])</f>
        <v>2024</v>
      </c>
      <c r="S508" s="2">
        <f>clean_data[[#This Row],[Profit]]/clean_data[[#This Row],[Revenue]]</f>
        <v>0.55000000000000004</v>
      </c>
      <c r="T508" t="str" cm="1">
        <f t="array" ref="T508">_xlfn.IFS(clean_data[[#This Row],[Revenue]]&lt;300000,"Small",
     clean_data[[#This Row],[Revenue]]&lt;700000,"Medium",
     TRUE,"Large")</f>
        <v>Small</v>
      </c>
      <c r="U508" t="str" cm="1">
        <f t="array" ref="U508">_xlfn.IFS(clean_data[[#This Row],[profit margin%]]&lt;0.5,"Low Profit",
     clean_data[[#This Row],[profit margin%]]&lt;0.6,"Medium Profit",
     TRUE,"High Profit")</f>
        <v>Medium Profit</v>
      </c>
      <c r="V508" t="str">
        <f>TEXT(clean_data[[#This Row],[Date]],"mmm-yyyy")</f>
        <v>Dec-2024</v>
      </c>
      <c r="W508" s="8">
        <f>EOMONTH(clean_data[[#This Row],[Date]],-1)+1</f>
        <v>45627</v>
      </c>
    </row>
    <row r="509" spans="1:23" x14ac:dyDescent="0.3">
      <c r="A509" t="s">
        <v>581</v>
      </c>
      <c r="B509" s="1">
        <v>45127</v>
      </c>
      <c r="C509" t="s">
        <v>26</v>
      </c>
      <c r="D509" t="s">
        <v>27</v>
      </c>
      <c r="E509" t="s">
        <v>60</v>
      </c>
      <c r="F509" t="s">
        <v>65</v>
      </c>
      <c r="G509" t="s">
        <v>117</v>
      </c>
      <c r="H509">
        <v>47</v>
      </c>
      <c r="I509">
        <v>1200</v>
      </c>
      <c r="J509">
        <v>20</v>
      </c>
      <c r="K509">
        <v>45120</v>
      </c>
      <c r="L509">
        <v>20304</v>
      </c>
      <c r="M509">
        <v>24816</v>
      </c>
      <c r="N509" t="s">
        <v>30</v>
      </c>
      <c r="O509" t="s">
        <v>67</v>
      </c>
      <c r="P509" t="s">
        <v>24</v>
      </c>
      <c r="Q509" t="str">
        <f>TEXT(clean_data[[#This Row],[Date]],"mmm")</f>
        <v>Jul</v>
      </c>
      <c r="R509">
        <f>YEAR(clean_data[[#This Row],[Date]])</f>
        <v>2023</v>
      </c>
      <c r="S509" s="2">
        <f>clean_data[[#This Row],[Profit]]/clean_data[[#This Row],[Revenue]]</f>
        <v>0.55000000000000004</v>
      </c>
      <c r="T509" t="str" cm="1">
        <f t="array" ref="T509">_xlfn.IFS(clean_data[[#This Row],[Revenue]]&lt;300000,"Small",
     clean_data[[#This Row],[Revenue]]&lt;700000,"Medium",
     TRUE,"Large")</f>
        <v>Small</v>
      </c>
      <c r="U509" t="str" cm="1">
        <f t="array" ref="U509">_xlfn.IFS(clean_data[[#This Row],[profit margin%]]&lt;0.5,"Low Profit",
     clean_data[[#This Row],[profit margin%]]&lt;0.6,"Medium Profit",
     TRUE,"High Profit")</f>
        <v>Medium Profit</v>
      </c>
      <c r="V509" t="str">
        <f>TEXT(clean_data[[#This Row],[Date]],"mmm-yyyy")</f>
        <v>Jul-2023</v>
      </c>
      <c r="W509" s="8">
        <f>EOMONTH(clean_data[[#This Row],[Date]],-1)+1</f>
        <v>45108</v>
      </c>
    </row>
    <row r="510" spans="1:23" x14ac:dyDescent="0.3">
      <c r="A510" t="s">
        <v>582</v>
      </c>
      <c r="B510" s="1">
        <v>45601</v>
      </c>
      <c r="C510" t="s">
        <v>58</v>
      </c>
      <c r="D510" t="s">
        <v>59</v>
      </c>
      <c r="E510" t="s">
        <v>70</v>
      </c>
      <c r="F510" t="s">
        <v>65</v>
      </c>
      <c r="G510" t="s">
        <v>117</v>
      </c>
      <c r="H510">
        <v>12</v>
      </c>
      <c r="I510">
        <v>1200</v>
      </c>
      <c r="J510">
        <v>15</v>
      </c>
      <c r="K510">
        <v>12240</v>
      </c>
      <c r="L510">
        <v>5508</v>
      </c>
      <c r="M510">
        <v>6732</v>
      </c>
      <c r="N510" t="s">
        <v>22</v>
      </c>
      <c r="O510" t="s">
        <v>44</v>
      </c>
      <c r="P510" t="s">
        <v>40</v>
      </c>
      <c r="Q510" t="str">
        <f>TEXT(clean_data[[#This Row],[Date]],"mmm")</f>
        <v>Nov</v>
      </c>
      <c r="R510">
        <f>YEAR(clean_data[[#This Row],[Date]])</f>
        <v>2024</v>
      </c>
      <c r="S510" s="2">
        <f>clean_data[[#This Row],[Profit]]/clean_data[[#This Row],[Revenue]]</f>
        <v>0.55000000000000004</v>
      </c>
      <c r="T510" t="str" cm="1">
        <f t="array" ref="T510">_xlfn.IFS(clean_data[[#This Row],[Revenue]]&lt;300000,"Small",
     clean_data[[#This Row],[Revenue]]&lt;700000,"Medium",
     TRUE,"Large")</f>
        <v>Small</v>
      </c>
      <c r="U510" t="str" cm="1">
        <f t="array" ref="U510">_xlfn.IFS(clean_data[[#This Row],[profit margin%]]&lt;0.5,"Low Profit",
     clean_data[[#This Row],[profit margin%]]&lt;0.6,"Medium Profit",
     TRUE,"High Profit")</f>
        <v>Medium Profit</v>
      </c>
      <c r="V510" t="str">
        <f>TEXT(clean_data[[#This Row],[Date]],"mmm-yyyy")</f>
        <v>Nov-2024</v>
      </c>
      <c r="W510" s="8">
        <f>EOMONTH(clean_data[[#This Row],[Date]],-1)+1</f>
        <v>45597</v>
      </c>
    </row>
    <row r="511" spans="1:23" x14ac:dyDescent="0.3">
      <c r="A511" t="s">
        <v>583</v>
      </c>
      <c r="B511" s="1">
        <v>45446</v>
      </c>
      <c r="C511" t="s">
        <v>17</v>
      </c>
      <c r="D511" t="s">
        <v>37</v>
      </c>
      <c r="E511" t="s">
        <v>78</v>
      </c>
      <c r="F511" t="s">
        <v>28</v>
      </c>
      <c r="G511" t="s">
        <v>95</v>
      </c>
      <c r="H511">
        <v>8</v>
      </c>
      <c r="I511">
        <v>75000</v>
      </c>
      <c r="J511">
        <v>15</v>
      </c>
      <c r="K511">
        <v>510000</v>
      </c>
      <c r="L511">
        <v>280500</v>
      </c>
      <c r="M511">
        <v>229500</v>
      </c>
      <c r="N511" t="s">
        <v>30</v>
      </c>
      <c r="O511" t="s">
        <v>67</v>
      </c>
      <c r="P511" t="s">
        <v>24</v>
      </c>
      <c r="Q511" t="str">
        <f>TEXT(clean_data[[#This Row],[Date]],"mmm")</f>
        <v>Jun</v>
      </c>
      <c r="R511">
        <f>YEAR(clean_data[[#This Row],[Date]])</f>
        <v>2024</v>
      </c>
      <c r="S511" s="2">
        <f>clean_data[[#This Row],[Profit]]/clean_data[[#This Row],[Revenue]]</f>
        <v>0.45</v>
      </c>
      <c r="T511" t="str" cm="1">
        <f t="array" ref="T511">_xlfn.IFS(clean_data[[#This Row],[Revenue]]&lt;300000,"Small",
     clean_data[[#This Row],[Revenue]]&lt;700000,"Medium",
     TRUE,"Large")</f>
        <v>Medium</v>
      </c>
      <c r="U511" t="str" cm="1">
        <f t="array" ref="U511">_xlfn.IFS(clean_data[[#This Row],[profit margin%]]&lt;0.5,"Low Profit",
     clean_data[[#This Row],[profit margin%]]&lt;0.6,"Medium Profit",
     TRUE,"High Profit")</f>
        <v>Low Profit</v>
      </c>
      <c r="V511" t="str">
        <f>TEXT(clean_data[[#This Row],[Date]],"mmm-yyyy")</f>
        <v>Jun-2024</v>
      </c>
      <c r="W511" s="8">
        <f>EOMONTH(clean_data[[#This Row],[Date]],-1)+1</f>
        <v>45444</v>
      </c>
    </row>
    <row r="512" spans="1:23" x14ac:dyDescent="0.3">
      <c r="A512" t="s">
        <v>584</v>
      </c>
      <c r="B512" s="1">
        <v>45315</v>
      </c>
      <c r="C512" t="s">
        <v>46</v>
      </c>
      <c r="D512" t="s">
        <v>55</v>
      </c>
      <c r="E512" t="s">
        <v>111</v>
      </c>
      <c r="F512" t="s">
        <v>65</v>
      </c>
      <c r="G512" t="s">
        <v>117</v>
      </c>
      <c r="H512">
        <v>50</v>
      </c>
      <c r="I512">
        <v>1200</v>
      </c>
      <c r="J512">
        <v>5</v>
      </c>
      <c r="K512">
        <v>57000</v>
      </c>
      <c r="L512">
        <v>25650</v>
      </c>
      <c r="M512">
        <v>31350</v>
      </c>
      <c r="N512" t="s">
        <v>22</v>
      </c>
      <c r="O512" t="s">
        <v>44</v>
      </c>
      <c r="P512" t="s">
        <v>24</v>
      </c>
      <c r="Q512" t="str">
        <f>TEXT(clean_data[[#This Row],[Date]],"mmm")</f>
        <v>Jan</v>
      </c>
      <c r="R512">
        <f>YEAR(clean_data[[#This Row],[Date]])</f>
        <v>2024</v>
      </c>
      <c r="S512" s="2">
        <f>clean_data[[#This Row],[Profit]]/clean_data[[#This Row],[Revenue]]</f>
        <v>0.55000000000000004</v>
      </c>
      <c r="T512" t="str" cm="1">
        <f t="array" ref="T512">_xlfn.IFS(clean_data[[#This Row],[Revenue]]&lt;300000,"Small",
     clean_data[[#This Row],[Revenue]]&lt;700000,"Medium",
     TRUE,"Large")</f>
        <v>Small</v>
      </c>
      <c r="U512" t="str" cm="1">
        <f t="array" ref="U512">_xlfn.IFS(clean_data[[#This Row],[profit margin%]]&lt;0.5,"Low Profit",
     clean_data[[#This Row],[profit margin%]]&lt;0.6,"Medium Profit",
     TRUE,"High Profit")</f>
        <v>Medium Profit</v>
      </c>
      <c r="V512" t="str">
        <f>TEXT(clean_data[[#This Row],[Date]],"mmm-yyyy")</f>
        <v>Jan-2024</v>
      </c>
      <c r="W512" s="8">
        <f>EOMONTH(clean_data[[#This Row],[Date]],-1)+1</f>
        <v>45292</v>
      </c>
    </row>
    <row r="513" spans="1:23" x14ac:dyDescent="0.3">
      <c r="A513" t="s">
        <v>585</v>
      </c>
      <c r="B513" s="1">
        <v>44893</v>
      </c>
      <c r="C513" t="s">
        <v>46</v>
      </c>
      <c r="D513" t="s">
        <v>47</v>
      </c>
      <c r="E513" t="s">
        <v>56</v>
      </c>
      <c r="F513" t="s">
        <v>65</v>
      </c>
      <c r="G513" t="s">
        <v>124</v>
      </c>
      <c r="H513">
        <v>20</v>
      </c>
      <c r="I513">
        <v>18000</v>
      </c>
      <c r="J513">
        <v>15</v>
      </c>
      <c r="K513">
        <v>306000</v>
      </c>
      <c r="L513">
        <v>137700</v>
      </c>
      <c r="M513">
        <v>168300</v>
      </c>
      <c r="N513" t="s">
        <v>22</v>
      </c>
      <c r="O513" t="s">
        <v>44</v>
      </c>
      <c r="P513" t="s">
        <v>24</v>
      </c>
      <c r="Q513" t="str">
        <f>TEXT(clean_data[[#This Row],[Date]],"mmm")</f>
        <v>Nov</v>
      </c>
      <c r="R513">
        <f>YEAR(clean_data[[#This Row],[Date]])</f>
        <v>2022</v>
      </c>
      <c r="S513" s="2">
        <f>clean_data[[#This Row],[Profit]]/clean_data[[#This Row],[Revenue]]</f>
        <v>0.55000000000000004</v>
      </c>
      <c r="T513" t="str" cm="1">
        <f t="array" ref="T513">_xlfn.IFS(clean_data[[#This Row],[Revenue]]&lt;300000,"Small",
     clean_data[[#This Row],[Revenue]]&lt;700000,"Medium",
     TRUE,"Large")</f>
        <v>Medium</v>
      </c>
      <c r="U513" t="str" cm="1">
        <f t="array" ref="U513">_xlfn.IFS(clean_data[[#This Row],[profit margin%]]&lt;0.5,"Low Profit",
     clean_data[[#This Row],[profit margin%]]&lt;0.6,"Medium Profit",
     TRUE,"High Profit")</f>
        <v>Medium Profit</v>
      </c>
      <c r="V513" t="str">
        <f>TEXT(clean_data[[#This Row],[Date]],"mmm-yyyy")</f>
        <v>Nov-2022</v>
      </c>
      <c r="W513" s="8">
        <f>EOMONTH(clean_data[[#This Row],[Date]],-1)+1</f>
        <v>44866</v>
      </c>
    </row>
    <row r="514" spans="1:23" x14ac:dyDescent="0.3">
      <c r="A514" t="s">
        <v>586</v>
      </c>
      <c r="B514" s="1">
        <v>44778</v>
      </c>
      <c r="C514" t="s">
        <v>46</v>
      </c>
      <c r="D514" t="s">
        <v>47</v>
      </c>
      <c r="E514" t="s">
        <v>38</v>
      </c>
      <c r="F514" t="s">
        <v>33</v>
      </c>
      <c r="G514" t="s">
        <v>39</v>
      </c>
      <c r="H514">
        <v>30</v>
      </c>
      <c r="I514">
        <v>5000</v>
      </c>
      <c r="J514">
        <v>15</v>
      </c>
      <c r="K514">
        <v>127500</v>
      </c>
      <c r="L514">
        <v>63750</v>
      </c>
      <c r="M514">
        <v>63750</v>
      </c>
      <c r="N514" t="s">
        <v>22</v>
      </c>
      <c r="O514" t="s">
        <v>35</v>
      </c>
      <c r="P514" t="s">
        <v>24</v>
      </c>
      <c r="Q514" t="str">
        <f>TEXT(clean_data[[#This Row],[Date]],"mmm")</f>
        <v>Aug</v>
      </c>
      <c r="R514">
        <f>YEAR(clean_data[[#This Row],[Date]])</f>
        <v>2022</v>
      </c>
      <c r="S514" s="2">
        <f>clean_data[[#This Row],[Profit]]/clean_data[[#This Row],[Revenue]]</f>
        <v>0.5</v>
      </c>
      <c r="T514" t="str" cm="1">
        <f t="array" ref="T514">_xlfn.IFS(clean_data[[#This Row],[Revenue]]&lt;300000,"Small",
     clean_data[[#This Row],[Revenue]]&lt;700000,"Medium",
     TRUE,"Large")</f>
        <v>Small</v>
      </c>
      <c r="U514" t="str" cm="1">
        <f t="array" ref="U514">_xlfn.IFS(clean_data[[#This Row],[profit margin%]]&lt;0.5,"Low Profit",
     clean_data[[#This Row],[profit margin%]]&lt;0.6,"Medium Profit",
     TRUE,"High Profit")</f>
        <v>Medium Profit</v>
      </c>
      <c r="V514" t="str">
        <f>TEXT(clean_data[[#This Row],[Date]],"mmm-yyyy")</f>
        <v>Aug-2022</v>
      </c>
      <c r="W514" s="8">
        <f>EOMONTH(clean_data[[#This Row],[Date]],-1)+1</f>
        <v>44774</v>
      </c>
    </row>
    <row r="515" spans="1:23" x14ac:dyDescent="0.3">
      <c r="A515" t="s">
        <v>587</v>
      </c>
      <c r="B515" s="1">
        <v>45512</v>
      </c>
      <c r="C515" t="s">
        <v>46</v>
      </c>
      <c r="D515" t="s">
        <v>55</v>
      </c>
      <c r="E515" t="s">
        <v>60</v>
      </c>
      <c r="F515" t="s">
        <v>65</v>
      </c>
      <c r="G515" t="s">
        <v>66</v>
      </c>
      <c r="H515">
        <v>6</v>
      </c>
      <c r="I515">
        <v>5500</v>
      </c>
      <c r="J515">
        <v>20</v>
      </c>
      <c r="K515">
        <v>26400</v>
      </c>
      <c r="L515">
        <v>11880</v>
      </c>
      <c r="M515">
        <v>14520</v>
      </c>
      <c r="N515" t="s">
        <v>30</v>
      </c>
      <c r="O515" t="s">
        <v>44</v>
      </c>
      <c r="P515" t="s">
        <v>40</v>
      </c>
      <c r="Q515" t="str">
        <f>TEXT(clean_data[[#This Row],[Date]],"mmm")</f>
        <v>Aug</v>
      </c>
      <c r="R515">
        <f>YEAR(clean_data[[#This Row],[Date]])</f>
        <v>2024</v>
      </c>
      <c r="S515" s="2">
        <f>clean_data[[#This Row],[Profit]]/clean_data[[#This Row],[Revenue]]</f>
        <v>0.55000000000000004</v>
      </c>
      <c r="T515" t="str" cm="1">
        <f t="array" ref="T515">_xlfn.IFS(clean_data[[#This Row],[Revenue]]&lt;300000,"Small",
     clean_data[[#This Row],[Revenue]]&lt;700000,"Medium",
     TRUE,"Large")</f>
        <v>Small</v>
      </c>
      <c r="U515" t="str" cm="1">
        <f t="array" ref="U515">_xlfn.IFS(clean_data[[#This Row],[profit margin%]]&lt;0.5,"Low Profit",
     clean_data[[#This Row],[profit margin%]]&lt;0.6,"Medium Profit",
     TRUE,"High Profit")</f>
        <v>Medium Profit</v>
      </c>
      <c r="V515" t="str">
        <f>TEXT(clean_data[[#This Row],[Date]],"mmm-yyyy")</f>
        <v>Aug-2024</v>
      </c>
      <c r="W515" s="8">
        <f>EOMONTH(clean_data[[#This Row],[Date]],-1)+1</f>
        <v>45505</v>
      </c>
    </row>
    <row r="516" spans="1:23" x14ac:dyDescent="0.3">
      <c r="A516" t="s">
        <v>588</v>
      </c>
      <c r="B516" s="1">
        <v>45635</v>
      </c>
      <c r="C516" t="s">
        <v>46</v>
      </c>
      <c r="D516" t="s">
        <v>47</v>
      </c>
      <c r="E516" t="s">
        <v>78</v>
      </c>
      <c r="F516" t="s">
        <v>20</v>
      </c>
      <c r="G516" t="s">
        <v>21</v>
      </c>
      <c r="H516">
        <v>42</v>
      </c>
      <c r="I516">
        <v>3500</v>
      </c>
      <c r="J516">
        <v>10</v>
      </c>
      <c r="K516">
        <v>132300</v>
      </c>
      <c r="L516">
        <v>52920</v>
      </c>
      <c r="M516">
        <v>79380</v>
      </c>
      <c r="N516" t="s">
        <v>30</v>
      </c>
      <c r="O516" t="s">
        <v>35</v>
      </c>
      <c r="P516" t="s">
        <v>24</v>
      </c>
      <c r="Q516" t="str">
        <f>TEXT(clean_data[[#This Row],[Date]],"mmm")</f>
        <v>Dec</v>
      </c>
      <c r="R516">
        <f>YEAR(clean_data[[#This Row],[Date]])</f>
        <v>2024</v>
      </c>
      <c r="S516" s="2">
        <f>clean_data[[#This Row],[Profit]]/clean_data[[#This Row],[Revenue]]</f>
        <v>0.6</v>
      </c>
      <c r="T516" t="str" cm="1">
        <f t="array" ref="T516">_xlfn.IFS(clean_data[[#This Row],[Revenue]]&lt;300000,"Small",
     clean_data[[#This Row],[Revenue]]&lt;700000,"Medium",
     TRUE,"Large")</f>
        <v>Small</v>
      </c>
      <c r="U516" t="str" cm="1">
        <f t="array" ref="U516">_xlfn.IFS(clean_data[[#This Row],[profit margin%]]&lt;0.5,"Low Profit",
     clean_data[[#This Row],[profit margin%]]&lt;0.6,"Medium Profit",
     TRUE,"High Profit")</f>
        <v>High Profit</v>
      </c>
      <c r="V516" t="str">
        <f>TEXT(clean_data[[#This Row],[Date]],"mmm-yyyy")</f>
        <v>Dec-2024</v>
      </c>
      <c r="W516" s="8">
        <f>EOMONTH(clean_data[[#This Row],[Date]],-1)+1</f>
        <v>45627</v>
      </c>
    </row>
    <row r="517" spans="1:23" x14ac:dyDescent="0.3">
      <c r="A517" t="s">
        <v>589</v>
      </c>
      <c r="B517" s="1">
        <v>45149</v>
      </c>
      <c r="C517" t="s">
        <v>26</v>
      </c>
      <c r="D517" t="s">
        <v>27</v>
      </c>
      <c r="E517" t="s">
        <v>52</v>
      </c>
      <c r="F517" t="s">
        <v>65</v>
      </c>
      <c r="G517" t="s">
        <v>104</v>
      </c>
      <c r="H517">
        <v>11</v>
      </c>
      <c r="I517">
        <v>3000</v>
      </c>
      <c r="J517">
        <v>10</v>
      </c>
      <c r="K517">
        <v>29700</v>
      </c>
      <c r="L517">
        <v>13365</v>
      </c>
      <c r="M517">
        <v>16335</v>
      </c>
      <c r="N517" t="s">
        <v>22</v>
      </c>
      <c r="O517" t="s">
        <v>67</v>
      </c>
      <c r="P517" t="s">
        <v>40</v>
      </c>
      <c r="Q517" t="str">
        <f>TEXT(clean_data[[#This Row],[Date]],"mmm")</f>
        <v>Aug</v>
      </c>
      <c r="R517">
        <f>YEAR(clean_data[[#This Row],[Date]])</f>
        <v>2023</v>
      </c>
      <c r="S517" s="2">
        <f>clean_data[[#This Row],[Profit]]/clean_data[[#This Row],[Revenue]]</f>
        <v>0.55000000000000004</v>
      </c>
      <c r="T517" t="str" cm="1">
        <f t="array" ref="T517">_xlfn.IFS(clean_data[[#This Row],[Revenue]]&lt;300000,"Small",
     clean_data[[#This Row],[Revenue]]&lt;700000,"Medium",
     TRUE,"Large")</f>
        <v>Small</v>
      </c>
      <c r="U517" t="str" cm="1">
        <f t="array" ref="U517">_xlfn.IFS(clean_data[[#This Row],[profit margin%]]&lt;0.5,"Low Profit",
     clean_data[[#This Row],[profit margin%]]&lt;0.6,"Medium Profit",
     TRUE,"High Profit")</f>
        <v>Medium Profit</v>
      </c>
      <c r="V517" t="str">
        <f>TEXT(clean_data[[#This Row],[Date]],"mmm-yyyy")</f>
        <v>Aug-2023</v>
      </c>
      <c r="W517" s="8">
        <f>EOMONTH(clean_data[[#This Row],[Date]],-1)+1</f>
        <v>45139</v>
      </c>
    </row>
    <row r="518" spans="1:23" x14ac:dyDescent="0.3">
      <c r="A518" t="s">
        <v>590</v>
      </c>
      <c r="B518" s="1">
        <v>45632</v>
      </c>
      <c r="C518" t="s">
        <v>58</v>
      </c>
      <c r="D518" t="s">
        <v>64</v>
      </c>
      <c r="E518" t="s">
        <v>38</v>
      </c>
      <c r="F518" t="s">
        <v>33</v>
      </c>
      <c r="G518" t="s">
        <v>39</v>
      </c>
      <c r="H518">
        <v>6</v>
      </c>
      <c r="I518">
        <v>5000</v>
      </c>
      <c r="J518">
        <v>10</v>
      </c>
      <c r="K518">
        <v>27000</v>
      </c>
      <c r="L518">
        <v>13500</v>
      </c>
      <c r="M518">
        <v>13500</v>
      </c>
      <c r="N518" t="s">
        <v>49</v>
      </c>
      <c r="O518" t="s">
        <v>23</v>
      </c>
      <c r="P518" t="s">
        <v>24</v>
      </c>
      <c r="Q518" t="str">
        <f>TEXT(clean_data[[#This Row],[Date]],"mmm")</f>
        <v>Dec</v>
      </c>
      <c r="R518">
        <f>YEAR(clean_data[[#This Row],[Date]])</f>
        <v>2024</v>
      </c>
      <c r="S518" s="2">
        <f>clean_data[[#This Row],[Profit]]/clean_data[[#This Row],[Revenue]]</f>
        <v>0.5</v>
      </c>
      <c r="T518" t="str" cm="1">
        <f t="array" ref="T518">_xlfn.IFS(clean_data[[#This Row],[Revenue]]&lt;300000,"Small",
     clean_data[[#This Row],[Revenue]]&lt;700000,"Medium",
     TRUE,"Large")</f>
        <v>Small</v>
      </c>
      <c r="U518" t="str" cm="1">
        <f t="array" ref="U518">_xlfn.IFS(clean_data[[#This Row],[profit margin%]]&lt;0.5,"Low Profit",
     clean_data[[#This Row],[profit margin%]]&lt;0.6,"Medium Profit",
     TRUE,"High Profit")</f>
        <v>Medium Profit</v>
      </c>
      <c r="V518" t="str">
        <f>TEXT(clean_data[[#This Row],[Date]],"mmm-yyyy")</f>
        <v>Dec-2024</v>
      </c>
      <c r="W518" s="8">
        <f>EOMONTH(clean_data[[#This Row],[Date]],-1)+1</f>
        <v>45627</v>
      </c>
    </row>
    <row r="519" spans="1:23" x14ac:dyDescent="0.3">
      <c r="A519" t="s">
        <v>591</v>
      </c>
      <c r="B519" s="1">
        <v>44706</v>
      </c>
      <c r="C519" t="s">
        <v>58</v>
      </c>
      <c r="D519" t="s">
        <v>64</v>
      </c>
      <c r="E519" t="s">
        <v>52</v>
      </c>
      <c r="F519" t="s">
        <v>33</v>
      </c>
      <c r="G519" t="s">
        <v>48</v>
      </c>
      <c r="H519">
        <v>9</v>
      </c>
      <c r="I519">
        <v>1500</v>
      </c>
      <c r="J519">
        <v>0</v>
      </c>
      <c r="K519">
        <v>13500</v>
      </c>
      <c r="L519">
        <v>6750</v>
      </c>
      <c r="M519">
        <v>6750</v>
      </c>
      <c r="N519" t="s">
        <v>49</v>
      </c>
      <c r="O519" t="s">
        <v>67</v>
      </c>
      <c r="P519" t="s">
        <v>24</v>
      </c>
      <c r="Q519" t="str">
        <f>TEXT(clean_data[[#This Row],[Date]],"mmm")</f>
        <v>May</v>
      </c>
      <c r="R519">
        <f>YEAR(clean_data[[#This Row],[Date]])</f>
        <v>2022</v>
      </c>
      <c r="S519" s="2">
        <f>clean_data[[#This Row],[Profit]]/clean_data[[#This Row],[Revenue]]</f>
        <v>0.5</v>
      </c>
      <c r="T519" t="str" cm="1">
        <f t="array" ref="T519">_xlfn.IFS(clean_data[[#This Row],[Revenue]]&lt;300000,"Small",
     clean_data[[#This Row],[Revenue]]&lt;700000,"Medium",
     TRUE,"Large")</f>
        <v>Small</v>
      </c>
      <c r="U519" t="str" cm="1">
        <f t="array" ref="U519">_xlfn.IFS(clean_data[[#This Row],[profit margin%]]&lt;0.5,"Low Profit",
     clean_data[[#This Row],[profit margin%]]&lt;0.6,"Medium Profit",
     TRUE,"High Profit")</f>
        <v>Medium Profit</v>
      </c>
      <c r="V519" t="str">
        <f>TEXT(clean_data[[#This Row],[Date]],"mmm-yyyy")</f>
        <v>May-2022</v>
      </c>
      <c r="W519" s="8">
        <f>EOMONTH(clean_data[[#This Row],[Date]],-1)+1</f>
        <v>44682</v>
      </c>
    </row>
    <row r="520" spans="1:23" x14ac:dyDescent="0.3">
      <c r="A520" t="s">
        <v>592</v>
      </c>
      <c r="B520" s="1">
        <v>45368</v>
      </c>
      <c r="C520" t="s">
        <v>46</v>
      </c>
      <c r="D520" t="s">
        <v>47</v>
      </c>
      <c r="E520" t="s">
        <v>38</v>
      </c>
      <c r="F520" t="s">
        <v>28</v>
      </c>
      <c r="G520" t="s">
        <v>95</v>
      </c>
      <c r="H520">
        <v>37</v>
      </c>
      <c r="I520">
        <v>75000</v>
      </c>
      <c r="J520">
        <v>20</v>
      </c>
      <c r="K520">
        <v>2220000</v>
      </c>
      <c r="L520">
        <v>1221000</v>
      </c>
      <c r="M520">
        <v>999000</v>
      </c>
      <c r="N520" t="s">
        <v>49</v>
      </c>
      <c r="O520" t="s">
        <v>67</v>
      </c>
      <c r="P520" t="s">
        <v>24</v>
      </c>
      <c r="Q520" t="str">
        <f>TEXT(clean_data[[#This Row],[Date]],"mmm")</f>
        <v>Mar</v>
      </c>
      <c r="R520">
        <f>YEAR(clean_data[[#This Row],[Date]])</f>
        <v>2024</v>
      </c>
      <c r="S520" s="2">
        <f>clean_data[[#This Row],[Profit]]/clean_data[[#This Row],[Revenue]]</f>
        <v>0.45</v>
      </c>
      <c r="T520" t="str" cm="1">
        <f t="array" ref="T520">_xlfn.IFS(clean_data[[#This Row],[Revenue]]&lt;300000,"Small",
     clean_data[[#This Row],[Revenue]]&lt;700000,"Medium",
     TRUE,"Large")</f>
        <v>Large</v>
      </c>
      <c r="U520" t="str" cm="1">
        <f t="array" ref="U520">_xlfn.IFS(clean_data[[#This Row],[profit margin%]]&lt;0.5,"Low Profit",
     clean_data[[#This Row],[profit margin%]]&lt;0.6,"Medium Profit",
     TRUE,"High Profit")</f>
        <v>Low Profit</v>
      </c>
      <c r="V520" t="str">
        <f>TEXT(clean_data[[#This Row],[Date]],"mmm-yyyy")</f>
        <v>Mar-2024</v>
      </c>
      <c r="W520" s="8">
        <f>EOMONTH(clean_data[[#This Row],[Date]],-1)+1</f>
        <v>45352</v>
      </c>
    </row>
    <row r="521" spans="1:23" x14ac:dyDescent="0.3">
      <c r="A521" t="s">
        <v>593</v>
      </c>
      <c r="B521" s="1">
        <v>45121</v>
      </c>
      <c r="C521" t="s">
        <v>17</v>
      </c>
      <c r="D521" t="s">
        <v>37</v>
      </c>
      <c r="E521" t="s">
        <v>111</v>
      </c>
      <c r="F521" t="s">
        <v>33</v>
      </c>
      <c r="G521" t="s">
        <v>76</v>
      </c>
      <c r="H521">
        <v>40</v>
      </c>
      <c r="I521">
        <v>8500</v>
      </c>
      <c r="J521">
        <v>20</v>
      </c>
      <c r="K521">
        <v>272000</v>
      </c>
      <c r="L521">
        <v>136000</v>
      </c>
      <c r="M521">
        <v>136000</v>
      </c>
      <c r="N521" t="s">
        <v>22</v>
      </c>
      <c r="O521" t="s">
        <v>23</v>
      </c>
      <c r="P521" t="s">
        <v>24</v>
      </c>
      <c r="Q521" t="str">
        <f>TEXT(clean_data[[#This Row],[Date]],"mmm")</f>
        <v>Jul</v>
      </c>
      <c r="R521">
        <f>YEAR(clean_data[[#This Row],[Date]])</f>
        <v>2023</v>
      </c>
      <c r="S521" s="2">
        <f>clean_data[[#This Row],[Profit]]/clean_data[[#This Row],[Revenue]]</f>
        <v>0.5</v>
      </c>
      <c r="T521" t="str" cm="1">
        <f t="array" ref="T521">_xlfn.IFS(clean_data[[#This Row],[Revenue]]&lt;300000,"Small",
     clean_data[[#This Row],[Revenue]]&lt;700000,"Medium",
     TRUE,"Large")</f>
        <v>Small</v>
      </c>
      <c r="U521" t="str" cm="1">
        <f t="array" ref="U521">_xlfn.IFS(clean_data[[#This Row],[profit margin%]]&lt;0.5,"Low Profit",
     clean_data[[#This Row],[profit margin%]]&lt;0.6,"Medium Profit",
     TRUE,"High Profit")</f>
        <v>Medium Profit</v>
      </c>
      <c r="V521" t="str">
        <f>TEXT(clean_data[[#This Row],[Date]],"mmm-yyyy")</f>
        <v>Jul-2023</v>
      </c>
      <c r="W521" s="8">
        <f>EOMONTH(clean_data[[#This Row],[Date]],-1)+1</f>
        <v>45108</v>
      </c>
    </row>
    <row r="522" spans="1:23" x14ac:dyDescent="0.3">
      <c r="A522" t="s">
        <v>594</v>
      </c>
      <c r="B522" s="1">
        <v>45530</v>
      </c>
      <c r="C522" t="s">
        <v>46</v>
      </c>
      <c r="D522" t="s">
        <v>47</v>
      </c>
      <c r="E522" t="s">
        <v>73</v>
      </c>
      <c r="F522" t="s">
        <v>20</v>
      </c>
      <c r="G522" t="s">
        <v>21</v>
      </c>
      <c r="H522">
        <v>8</v>
      </c>
      <c r="I522">
        <v>3500</v>
      </c>
      <c r="J522">
        <v>0</v>
      </c>
      <c r="K522">
        <v>28000</v>
      </c>
      <c r="L522">
        <v>11200</v>
      </c>
      <c r="M522">
        <v>16800</v>
      </c>
      <c r="N522" t="s">
        <v>22</v>
      </c>
      <c r="O522" t="s">
        <v>35</v>
      </c>
      <c r="P522" t="s">
        <v>24</v>
      </c>
      <c r="Q522" t="str">
        <f>TEXT(clean_data[[#This Row],[Date]],"mmm")</f>
        <v>Aug</v>
      </c>
      <c r="R522">
        <f>YEAR(clean_data[[#This Row],[Date]])</f>
        <v>2024</v>
      </c>
      <c r="S522" s="2">
        <f>clean_data[[#This Row],[Profit]]/clean_data[[#This Row],[Revenue]]</f>
        <v>0.6</v>
      </c>
      <c r="T522" t="str" cm="1">
        <f t="array" ref="T522">_xlfn.IFS(clean_data[[#This Row],[Revenue]]&lt;300000,"Small",
     clean_data[[#This Row],[Revenue]]&lt;700000,"Medium",
     TRUE,"Large")</f>
        <v>Small</v>
      </c>
      <c r="U522" t="str" cm="1">
        <f t="array" ref="U522">_xlfn.IFS(clean_data[[#This Row],[profit margin%]]&lt;0.5,"Low Profit",
     clean_data[[#This Row],[profit margin%]]&lt;0.6,"Medium Profit",
     TRUE,"High Profit")</f>
        <v>High Profit</v>
      </c>
      <c r="V522" t="str">
        <f>TEXT(clean_data[[#This Row],[Date]],"mmm-yyyy")</f>
        <v>Aug-2024</v>
      </c>
      <c r="W522" s="8">
        <f>EOMONTH(clean_data[[#This Row],[Date]],-1)+1</f>
        <v>45505</v>
      </c>
    </row>
    <row r="523" spans="1:23" x14ac:dyDescent="0.3">
      <c r="A523" t="s">
        <v>595</v>
      </c>
      <c r="B523" s="1">
        <v>44983</v>
      </c>
      <c r="C523" t="s">
        <v>58</v>
      </c>
      <c r="D523" t="s">
        <v>59</v>
      </c>
      <c r="E523" t="s">
        <v>56</v>
      </c>
      <c r="F523" t="s">
        <v>33</v>
      </c>
      <c r="G523" t="s">
        <v>34</v>
      </c>
      <c r="H523">
        <v>36</v>
      </c>
      <c r="I523">
        <v>25000</v>
      </c>
      <c r="J523">
        <v>5</v>
      </c>
      <c r="K523">
        <v>855000</v>
      </c>
      <c r="L523">
        <v>427500</v>
      </c>
      <c r="M523">
        <v>427500</v>
      </c>
      <c r="N523" t="s">
        <v>22</v>
      </c>
      <c r="O523" t="s">
        <v>44</v>
      </c>
      <c r="P523" t="s">
        <v>24</v>
      </c>
      <c r="Q523" t="str">
        <f>TEXT(clean_data[[#This Row],[Date]],"mmm")</f>
        <v>Feb</v>
      </c>
      <c r="R523">
        <f>YEAR(clean_data[[#This Row],[Date]])</f>
        <v>2023</v>
      </c>
      <c r="S523" s="2">
        <f>clean_data[[#This Row],[Profit]]/clean_data[[#This Row],[Revenue]]</f>
        <v>0.5</v>
      </c>
      <c r="T523" t="str" cm="1">
        <f t="array" ref="T523">_xlfn.IFS(clean_data[[#This Row],[Revenue]]&lt;300000,"Small",
     clean_data[[#This Row],[Revenue]]&lt;700000,"Medium",
     TRUE,"Large")</f>
        <v>Large</v>
      </c>
      <c r="U523" t="str" cm="1">
        <f t="array" ref="U523">_xlfn.IFS(clean_data[[#This Row],[profit margin%]]&lt;0.5,"Low Profit",
     clean_data[[#This Row],[profit margin%]]&lt;0.6,"Medium Profit",
     TRUE,"High Profit")</f>
        <v>Medium Profit</v>
      </c>
      <c r="V523" t="str">
        <f>TEXT(clean_data[[#This Row],[Date]],"mmm-yyyy")</f>
        <v>Feb-2023</v>
      </c>
      <c r="W523" s="8">
        <f>EOMONTH(clean_data[[#This Row],[Date]],-1)+1</f>
        <v>44958</v>
      </c>
    </row>
    <row r="524" spans="1:23" x14ac:dyDescent="0.3">
      <c r="A524" t="s">
        <v>596</v>
      </c>
      <c r="B524" s="1">
        <v>45116</v>
      </c>
      <c r="C524" t="s">
        <v>26</v>
      </c>
      <c r="D524" t="s">
        <v>69</v>
      </c>
      <c r="E524" t="s">
        <v>73</v>
      </c>
      <c r="F524" t="s">
        <v>33</v>
      </c>
      <c r="G524" t="s">
        <v>39</v>
      </c>
      <c r="H524">
        <v>8</v>
      </c>
      <c r="I524">
        <v>5000</v>
      </c>
      <c r="J524">
        <v>10</v>
      </c>
      <c r="K524">
        <v>36000</v>
      </c>
      <c r="L524">
        <v>18000</v>
      </c>
      <c r="M524">
        <v>18000</v>
      </c>
      <c r="N524" t="s">
        <v>49</v>
      </c>
      <c r="O524" t="s">
        <v>67</v>
      </c>
      <c r="P524" t="s">
        <v>24</v>
      </c>
      <c r="Q524" t="str">
        <f>TEXT(clean_data[[#This Row],[Date]],"mmm")</f>
        <v>Jul</v>
      </c>
      <c r="R524">
        <f>YEAR(clean_data[[#This Row],[Date]])</f>
        <v>2023</v>
      </c>
      <c r="S524" s="2">
        <f>clean_data[[#This Row],[Profit]]/clean_data[[#This Row],[Revenue]]</f>
        <v>0.5</v>
      </c>
      <c r="T524" t="str" cm="1">
        <f t="array" ref="T524">_xlfn.IFS(clean_data[[#This Row],[Revenue]]&lt;300000,"Small",
     clean_data[[#This Row],[Revenue]]&lt;700000,"Medium",
     TRUE,"Large")</f>
        <v>Small</v>
      </c>
      <c r="U524" t="str" cm="1">
        <f t="array" ref="U524">_xlfn.IFS(clean_data[[#This Row],[profit margin%]]&lt;0.5,"Low Profit",
     clean_data[[#This Row],[profit margin%]]&lt;0.6,"Medium Profit",
     TRUE,"High Profit")</f>
        <v>Medium Profit</v>
      </c>
      <c r="V524" t="str">
        <f>TEXT(clean_data[[#This Row],[Date]],"mmm-yyyy")</f>
        <v>Jul-2023</v>
      </c>
      <c r="W524" s="8">
        <f>EOMONTH(clean_data[[#This Row],[Date]],-1)+1</f>
        <v>45108</v>
      </c>
    </row>
    <row r="525" spans="1:23" x14ac:dyDescent="0.3">
      <c r="A525" t="s">
        <v>597</v>
      </c>
      <c r="B525" s="1">
        <v>44619</v>
      </c>
      <c r="C525" t="s">
        <v>46</v>
      </c>
      <c r="D525" t="s">
        <v>47</v>
      </c>
      <c r="E525" t="s">
        <v>70</v>
      </c>
      <c r="F525" t="s">
        <v>33</v>
      </c>
      <c r="G525" t="s">
        <v>48</v>
      </c>
      <c r="H525">
        <v>31</v>
      </c>
      <c r="I525">
        <v>1500</v>
      </c>
      <c r="J525">
        <v>0</v>
      </c>
      <c r="K525">
        <v>46500</v>
      </c>
      <c r="L525">
        <v>23250</v>
      </c>
      <c r="M525">
        <v>23250</v>
      </c>
      <c r="N525" t="s">
        <v>49</v>
      </c>
      <c r="O525" t="s">
        <v>44</v>
      </c>
      <c r="P525" t="s">
        <v>24</v>
      </c>
      <c r="Q525" t="str">
        <f>TEXT(clean_data[[#This Row],[Date]],"mmm")</f>
        <v>Feb</v>
      </c>
      <c r="R525">
        <f>YEAR(clean_data[[#This Row],[Date]])</f>
        <v>2022</v>
      </c>
      <c r="S525" s="2">
        <f>clean_data[[#This Row],[Profit]]/clean_data[[#This Row],[Revenue]]</f>
        <v>0.5</v>
      </c>
      <c r="T525" t="str" cm="1">
        <f t="array" ref="T525">_xlfn.IFS(clean_data[[#This Row],[Revenue]]&lt;300000,"Small",
     clean_data[[#This Row],[Revenue]]&lt;700000,"Medium",
     TRUE,"Large")</f>
        <v>Small</v>
      </c>
      <c r="U525" t="str" cm="1">
        <f t="array" ref="U525">_xlfn.IFS(clean_data[[#This Row],[profit margin%]]&lt;0.5,"Low Profit",
     clean_data[[#This Row],[profit margin%]]&lt;0.6,"Medium Profit",
     TRUE,"High Profit")</f>
        <v>Medium Profit</v>
      </c>
      <c r="V525" t="str">
        <f>TEXT(clean_data[[#This Row],[Date]],"mmm-yyyy")</f>
        <v>Feb-2022</v>
      </c>
      <c r="W525" s="8">
        <f>EOMONTH(clean_data[[#This Row],[Date]],-1)+1</f>
        <v>44593</v>
      </c>
    </row>
    <row r="526" spans="1:23" x14ac:dyDescent="0.3">
      <c r="A526" t="s">
        <v>598</v>
      </c>
      <c r="B526" s="1">
        <v>45471</v>
      </c>
      <c r="C526" t="s">
        <v>17</v>
      </c>
      <c r="D526" t="s">
        <v>37</v>
      </c>
      <c r="E526" t="s">
        <v>32</v>
      </c>
      <c r="F526" t="s">
        <v>28</v>
      </c>
      <c r="G526" t="s">
        <v>29</v>
      </c>
      <c r="H526">
        <v>20</v>
      </c>
      <c r="I526">
        <v>15000</v>
      </c>
      <c r="J526">
        <v>20</v>
      </c>
      <c r="K526">
        <v>240000</v>
      </c>
      <c r="L526">
        <v>132000</v>
      </c>
      <c r="M526">
        <v>108000</v>
      </c>
      <c r="N526" t="s">
        <v>22</v>
      </c>
      <c r="O526" t="s">
        <v>67</v>
      </c>
      <c r="P526" t="s">
        <v>24</v>
      </c>
      <c r="Q526" t="str">
        <f>TEXT(clean_data[[#This Row],[Date]],"mmm")</f>
        <v>Jun</v>
      </c>
      <c r="R526">
        <f>YEAR(clean_data[[#This Row],[Date]])</f>
        <v>2024</v>
      </c>
      <c r="S526" s="2">
        <f>clean_data[[#This Row],[Profit]]/clean_data[[#This Row],[Revenue]]</f>
        <v>0.45</v>
      </c>
      <c r="T526" t="str" cm="1">
        <f t="array" ref="T526">_xlfn.IFS(clean_data[[#This Row],[Revenue]]&lt;300000,"Small",
     clean_data[[#This Row],[Revenue]]&lt;700000,"Medium",
     TRUE,"Large")</f>
        <v>Small</v>
      </c>
      <c r="U526" t="str" cm="1">
        <f t="array" ref="U526">_xlfn.IFS(clean_data[[#This Row],[profit margin%]]&lt;0.5,"Low Profit",
     clean_data[[#This Row],[profit margin%]]&lt;0.6,"Medium Profit",
     TRUE,"High Profit")</f>
        <v>Low Profit</v>
      </c>
      <c r="V526" t="str">
        <f>TEXT(clean_data[[#This Row],[Date]],"mmm-yyyy")</f>
        <v>Jun-2024</v>
      </c>
      <c r="W526" s="8">
        <f>EOMONTH(clean_data[[#This Row],[Date]],-1)+1</f>
        <v>45444</v>
      </c>
    </row>
    <row r="527" spans="1:23" x14ac:dyDescent="0.3">
      <c r="A527" t="s">
        <v>599</v>
      </c>
      <c r="B527" s="1">
        <v>44599</v>
      </c>
      <c r="C527" t="s">
        <v>17</v>
      </c>
      <c r="D527" t="s">
        <v>37</v>
      </c>
      <c r="E527" t="s">
        <v>52</v>
      </c>
      <c r="F527" t="s">
        <v>20</v>
      </c>
      <c r="G527" t="s">
        <v>61</v>
      </c>
      <c r="H527">
        <v>2</v>
      </c>
      <c r="I527">
        <v>800</v>
      </c>
      <c r="J527">
        <v>10</v>
      </c>
      <c r="K527">
        <v>1440</v>
      </c>
      <c r="L527">
        <v>576</v>
      </c>
      <c r="M527">
        <v>864</v>
      </c>
      <c r="N527" t="s">
        <v>22</v>
      </c>
      <c r="O527" t="s">
        <v>67</v>
      </c>
      <c r="P527" t="s">
        <v>24</v>
      </c>
      <c r="Q527" t="str">
        <f>TEXT(clean_data[[#This Row],[Date]],"mmm")</f>
        <v>Feb</v>
      </c>
      <c r="R527">
        <f>YEAR(clean_data[[#This Row],[Date]])</f>
        <v>2022</v>
      </c>
      <c r="S527" s="2">
        <f>clean_data[[#This Row],[Profit]]/clean_data[[#This Row],[Revenue]]</f>
        <v>0.6</v>
      </c>
      <c r="T527" t="str" cm="1">
        <f t="array" ref="T527">_xlfn.IFS(clean_data[[#This Row],[Revenue]]&lt;300000,"Small",
     clean_data[[#This Row],[Revenue]]&lt;700000,"Medium",
     TRUE,"Large")</f>
        <v>Small</v>
      </c>
      <c r="U527" t="str" cm="1">
        <f t="array" ref="U527">_xlfn.IFS(clean_data[[#This Row],[profit margin%]]&lt;0.5,"Low Profit",
     clean_data[[#This Row],[profit margin%]]&lt;0.6,"Medium Profit",
     TRUE,"High Profit")</f>
        <v>High Profit</v>
      </c>
      <c r="V527" t="str">
        <f>TEXT(clean_data[[#This Row],[Date]],"mmm-yyyy")</f>
        <v>Feb-2022</v>
      </c>
      <c r="W527" s="8">
        <f>EOMONTH(clean_data[[#This Row],[Date]],-1)+1</f>
        <v>44593</v>
      </c>
    </row>
    <row r="528" spans="1:23" x14ac:dyDescent="0.3">
      <c r="A528" t="s">
        <v>600</v>
      </c>
      <c r="B528" s="1">
        <v>44884</v>
      </c>
      <c r="C528" t="s">
        <v>58</v>
      </c>
      <c r="D528" t="s">
        <v>84</v>
      </c>
      <c r="E528" t="s">
        <v>38</v>
      </c>
      <c r="F528" t="s">
        <v>28</v>
      </c>
      <c r="G528" t="s">
        <v>71</v>
      </c>
      <c r="H528">
        <v>46</v>
      </c>
      <c r="I528">
        <v>35000</v>
      </c>
      <c r="J528">
        <v>10</v>
      </c>
      <c r="K528">
        <v>1449000</v>
      </c>
      <c r="L528">
        <v>796950</v>
      </c>
      <c r="M528">
        <v>652050</v>
      </c>
      <c r="N528" t="s">
        <v>49</v>
      </c>
      <c r="O528" t="s">
        <v>23</v>
      </c>
      <c r="P528" t="s">
        <v>24</v>
      </c>
      <c r="Q528" t="str">
        <f>TEXT(clean_data[[#This Row],[Date]],"mmm")</f>
        <v>Nov</v>
      </c>
      <c r="R528">
        <f>YEAR(clean_data[[#This Row],[Date]])</f>
        <v>2022</v>
      </c>
      <c r="S528" s="2">
        <f>clean_data[[#This Row],[Profit]]/clean_data[[#This Row],[Revenue]]</f>
        <v>0.45</v>
      </c>
      <c r="T528" t="str" cm="1">
        <f t="array" ref="T528">_xlfn.IFS(clean_data[[#This Row],[Revenue]]&lt;300000,"Small",
     clean_data[[#This Row],[Revenue]]&lt;700000,"Medium",
     TRUE,"Large")</f>
        <v>Large</v>
      </c>
      <c r="U528" t="str" cm="1">
        <f t="array" ref="U528">_xlfn.IFS(clean_data[[#This Row],[profit margin%]]&lt;0.5,"Low Profit",
     clean_data[[#This Row],[profit margin%]]&lt;0.6,"Medium Profit",
     TRUE,"High Profit")</f>
        <v>Low Profit</v>
      </c>
      <c r="V528" t="str">
        <f>TEXT(clean_data[[#This Row],[Date]],"mmm-yyyy")</f>
        <v>Nov-2022</v>
      </c>
      <c r="W528" s="8">
        <f>EOMONTH(clean_data[[#This Row],[Date]],-1)+1</f>
        <v>44866</v>
      </c>
    </row>
    <row r="529" spans="1:23" x14ac:dyDescent="0.3">
      <c r="A529" t="s">
        <v>601</v>
      </c>
      <c r="B529" s="1">
        <v>44728</v>
      </c>
      <c r="C529" t="s">
        <v>46</v>
      </c>
      <c r="D529" t="s">
        <v>55</v>
      </c>
      <c r="E529" t="s">
        <v>60</v>
      </c>
      <c r="F529" t="s">
        <v>33</v>
      </c>
      <c r="G529" t="s">
        <v>76</v>
      </c>
      <c r="H529">
        <v>34</v>
      </c>
      <c r="I529">
        <v>8500</v>
      </c>
      <c r="J529">
        <v>10</v>
      </c>
      <c r="K529">
        <v>260100</v>
      </c>
      <c r="L529">
        <v>130050</v>
      </c>
      <c r="M529">
        <v>130050</v>
      </c>
      <c r="N529" t="s">
        <v>30</v>
      </c>
      <c r="O529" t="s">
        <v>50</v>
      </c>
      <c r="P529" t="s">
        <v>24</v>
      </c>
      <c r="Q529" t="str">
        <f>TEXT(clean_data[[#This Row],[Date]],"mmm")</f>
        <v>Jun</v>
      </c>
      <c r="R529">
        <f>YEAR(clean_data[[#This Row],[Date]])</f>
        <v>2022</v>
      </c>
      <c r="S529" s="2">
        <f>clean_data[[#This Row],[Profit]]/clean_data[[#This Row],[Revenue]]</f>
        <v>0.5</v>
      </c>
      <c r="T529" t="str" cm="1">
        <f t="array" ref="T529">_xlfn.IFS(clean_data[[#This Row],[Revenue]]&lt;300000,"Small",
     clean_data[[#This Row],[Revenue]]&lt;700000,"Medium",
     TRUE,"Large")</f>
        <v>Small</v>
      </c>
      <c r="U529" t="str" cm="1">
        <f t="array" ref="U529">_xlfn.IFS(clean_data[[#This Row],[profit margin%]]&lt;0.5,"Low Profit",
     clean_data[[#This Row],[profit margin%]]&lt;0.6,"Medium Profit",
     TRUE,"High Profit")</f>
        <v>Medium Profit</v>
      </c>
      <c r="V529" t="str">
        <f>TEXT(clean_data[[#This Row],[Date]],"mmm-yyyy")</f>
        <v>Jun-2022</v>
      </c>
      <c r="W529" s="8">
        <f>EOMONTH(clean_data[[#This Row],[Date]],-1)+1</f>
        <v>44713</v>
      </c>
    </row>
    <row r="530" spans="1:23" x14ac:dyDescent="0.3">
      <c r="A530" t="s">
        <v>602</v>
      </c>
      <c r="B530" s="1">
        <v>44645</v>
      </c>
      <c r="C530" t="s">
        <v>46</v>
      </c>
      <c r="D530" t="s">
        <v>47</v>
      </c>
      <c r="E530" t="s">
        <v>60</v>
      </c>
      <c r="F530" t="s">
        <v>28</v>
      </c>
      <c r="G530" t="s">
        <v>85</v>
      </c>
      <c r="H530">
        <v>33</v>
      </c>
      <c r="I530">
        <v>8000</v>
      </c>
      <c r="J530">
        <v>5</v>
      </c>
      <c r="K530">
        <v>250800</v>
      </c>
      <c r="L530">
        <v>137940</v>
      </c>
      <c r="M530">
        <v>112860</v>
      </c>
      <c r="N530" t="s">
        <v>49</v>
      </c>
      <c r="O530" t="s">
        <v>23</v>
      </c>
      <c r="P530" t="s">
        <v>24</v>
      </c>
      <c r="Q530" t="str">
        <f>TEXT(clean_data[[#This Row],[Date]],"mmm")</f>
        <v>Mar</v>
      </c>
      <c r="R530">
        <f>YEAR(clean_data[[#This Row],[Date]])</f>
        <v>2022</v>
      </c>
      <c r="S530" s="2">
        <f>clean_data[[#This Row],[Profit]]/clean_data[[#This Row],[Revenue]]</f>
        <v>0.45</v>
      </c>
      <c r="T530" t="str" cm="1">
        <f t="array" ref="T530">_xlfn.IFS(clean_data[[#This Row],[Revenue]]&lt;300000,"Small",
     clean_data[[#This Row],[Revenue]]&lt;700000,"Medium",
     TRUE,"Large")</f>
        <v>Small</v>
      </c>
      <c r="U530" t="str" cm="1">
        <f t="array" ref="U530">_xlfn.IFS(clean_data[[#This Row],[profit margin%]]&lt;0.5,"Low Profit",
     clean_data[[#This Row],[profit margin%]]&lt;0.6,"Medium Profit",
     TRUE,"High Profit")</f>
        <v>Low Profit</v>
      </c>
      <c r="V530" t="str">
        <f>TEXT(clean_data[[#This Row],[Date]],"mmm-yyyy")</f>
        <v>Mar-2022</v>
      </c>
      <c r="W530" s="8">
        <f>EOMONTH(clean_data[[#This Row],[Date]],-1)+1</f>
        <v>44621</v>
      </c>
    </row>
    <row r="531" spans="1:23" x14ac:dyDescent="0.3">
      <c r="A531" t="s">
        <v>603</v>
      </c>
      <c r="B531" s="1">
        <v>45575</v>
      </c>
      <c r="C531" t="s">
        <v>17</v>
      </c>
      <c r="D531" t="s">
        <v>18</v>
      </c>
      <c r="E531" t="s">
        <v>52</v>
      </c>
      <c r="F531" t="s">
        <v>20</v>
      </c>
      <c r="G531" t="s">
        <v>74</v>
      </c>
      <c r="H531">
        <v>47</v>
      </c>
      <c r="I531">
        <v>4200</v>
      </c>
      <c r="J531">
        <v>0</v>
      </c>
      <c r="K531">
        <v>197400</v>
      </c>
      <c r="L531">
        <v>78960</v>
      </c>
      <c r="M531">
        <v>118440</v>
      </c>
      <c r="N531" t="s">
        <v>49</v>
      </c>
      <c r="O531" t="s">
        <v>67</v>
      </c>
      <c r="P531" t="s">
        <v>24</v>
      </c>
      <c r="Q531" t="str">
        <f>TEXT(clean_data[[#This Row],[Date]],"mmm")</f>
        <v>Oct</v>
      </c>
      <c r="R531">
        <f>YEAR(clean_data[[#This Row],[Date]])</f>
        <v>2024</v>
      </c>
      <c r="S531" s="2">
        <f>clean_data[[#This Row],[Profit]]/clean_data[[#This Row],[Revenue]]</f>
        <v>0.6</v>
      </c>
      <c r="T531" t="str" cm="1">
        <f t="array" ref="T531">_xlfn.IFS(clean_data[[#This Row],[Revenue]]&lt;300000,"Small",
     clean_data[[#This Row],[Revenue]]&lt;700000,"Medium",
     TRUE,"Large")</f>
        <v>Small</v>
      </c>
      <c r="U531" t="str" cm="1">
        <f t="array" ref="U531">_xlfn.IFS(clean_data[[#This Row],[profit margin%]]&lt;0.5,"Low Profit",
     clean_data[[#This Row],[profit margin%]]&lt;0.6,"Medium Profit",
     TRUE,"High Profit")</f>
        <v>High Profit</v>
      </c>
      <c r="V531" t="str">
        <f>TEXT(clean_data[[#This Row],[Date]],"mmm-yyyy")</f>
        <v>Oct-2024</v>
      </c>
      <c r="W531" s="8">
        <f>EOMONTH(clean_data[[#This Row],[Date]],-1)+1</f>
        <v>45566</v>
      </c>
    </row>
    <row r="532" spans="1:23" x14ac:dyDescent="0.3">
      <c r="A532" t="s">
        <v>604</v>
      </c>
      <c r="B532" s="1">
        <v>44774</v>
      </c>
      <c r="C532" t="s">
        <v>17</v>
      </c>
      <c r="D532" t="s">
        <v>18</v>
      </c>
      <c r="E532" t="s">
        <v>38</v>
      </c>
      <c r="F532" t="s">
        <v>28</v>
      </c>
      <c r="G532" t="s">
        <v>71</v>
      </c>
      <c r="H532">
        <v>30</v>
      </c>
      <c r="I532">
        <v>35000</v>
      </c>
      <c r="J532">
        <v>0</v>
      </c>
      <c r="K532">
        <v>1050000</v>
      </c>
      <c r="L532">
        <v>577500</v>
      </c>
      <c r="M532">
        <v>472500</v>
      </c>
      <c r="N532" t="s">
        <v>22</v>
      </c>
      <c r="O532" t="s">
        <v>50</v>
      </c>
      <c r="P532" t="s">
        <v>24</v>
      </c>
      <c r="Q532" t="str">
        <f>TEXT(clean_data[[#This Row],[Date]],"mmm")</f>
        <v>Aug</v>
      </c>
      <c r="R532">
        <f>YEAR(clean_data[[#This Row],[Date]])</f>
        <v>2022</v>
      </c>
      <c r="S532" s="2">
        <f>clean_data[[#This Row],[Profit]]/clean_data[[#This Row],[Revenue]]</f>
        <v>0.45</v>
      </c>
      <c r="T532" t="str" cm="1">
        <f t="array" ref="T532">_xlfn.IFS(clean_data[[#This Row],[Revenue]]&lt;300000,"Small",
     clean_data[[#This Row],[Revenue]]&lt;700000,"Medium",
     TRUE,"Large")</f>
        <v>Large</v>
      </c>
      <c r="U532" t="str" cm="1">
        <f t="array" ref="U532">_xlfn.IFS(clean_data[[#This Row],[profit margin%]]&lt;0.5,"Low Profit",
     clean_data[[#This Row],[profit margin%]]&lt;0.6,"Medium Profit",
     TRUE,"High Profit")</f>
        <v>Low Profit</v>
      </c>
      <c r="V532" t="str">
        <f>TEXT(clean_data[[#This Row],[Date]],"mmm-yyyy")</f>
        <v>Aug-2022</v>
      </c>
      <c r="W532" s="8">
        <f>EOMONTH(clean_data[[#This Row],[Date]],-1)+1</f>
        <v>44774</v>
      </c>
    </row>
    <row r="533" spans="1:23" x14ac:dyDescent="0.3">
      <c r="A533" t="s">
        <v>605</v>
      </c>
      <c r="B533" s="1">
        <v>44611</v>
      </c>
      <c r="C533" t="s">
        <v>17</v>
      </c>
      <c r="D533" t="s">
        <v>42</v>
      </c>
      <c r="E533" t="s">
        <v>19</v>
      </c>
      <c r="F533" t="s">
        <v>33</v>
      </c>
      <c r="G533" t="s">
        <v>76</v>
      </c>
      <c r="H533">
        <v>13</v>
      </c>
      <c r="I533">
        <v>8500</v>
      </c>
      <c r="J533">
        <v>10</v>
      </c>
      <c r="K533">
        <v>99450</v>
      </c>
      <c r="L533">
        <v>49725</v>
      </c>
      <c r="M533">
        <v>49725</v>
      </c>
      <c r="N533" t="s">
        <v>22</v>
      </c>
      <c r="O533" t="s">
        <v>50</v>
      </c>
      <c r="P533" t="s">
        <v>24</v>
      </c>
      <c r="Q533" t="str">
        <f>TEXT(clean_data[[#This Row],[Date]],"mmm")</f>
        <v>Feb</v>
      </c>
      <c r="R533">
        <f>YEAR(clean_data[[#This Row],[Date]])</f>
        <v>2022</v>
      </c>
      <c r="S533" s="2">
        <f>clean_data[[#This Row],[Profit]]/clean_data[[#This Row],[Revenue]]</f>
        <v>0.5</v>
      </c>
      <c r="T533" t="str" cm="1">
        <f t="array" ref="T533">_xlfn.IFS(clean_data[[#This Row],[Revenue]]&lt;300000,"Small",
     clean_data[[#This Row],[Revenue]]&lt;700000,"Medium",
     TRUE,"Large")</f>
        <v>Small</v>
      </c>
      <c r="U533" t="str" cm="1">
        <f t="array" ref="U533">_xlfn.IFS(clean_data[[#This Row],[profit margin%]]&lt;0.5,"Low Profit",
     clean_data[[#This Row],[profit margin%]]&lt;0.6,"Medium Profit",
     TRUE,"High Profit")</f>
        <v>Medium Profit</v>
      </c>
      <c r="V533" t="str">
        <f>TEXT(clean_data[[#This Row],[Date]],"mmm-yyyy")</f>
        <v>Feb-2022</v>
      </c>
      <c r="W533" s="8">
        <f>EOMONTH(clean_data[[#This Row],[Date]],-1)+1</f>
        <v>44593</v>
      </c>
    </row>
    <row r="534" spans="1:23" x14ac:dyDescent="0.3">
      <c r="A534" t="s">
        <v>606</v>
      </c>
      <c r="B534" s="1">
        <v>45434</v>
      </c>
      <c r="C534" t="s">
        <v>26</v>
      </c>
      <c r="D534" t="s">
        <v>69</v>
      </c>
      <c r="E534" t="s">
        <v>78</v>
      </c>
      <c r="F534" t="s">
        <v>20</v>
      </c>
      <c r="G534" t="s">
        <v>61</v>
      </c>
      <c r="H534">
        <v>8</v>
      </c>
      <c r="I534">
        <v>800</v>
      </c>
      <c r="J534">
        <v>0</v>
      </c>
      <c r="K534">
        <v>6400</v>
      </c>
      <c r="L534">
        <v>2560</v>
      </c>
      <c r="M534">
        <v>3840</v>
      </c>
      <c r="N534" t="s">
        <v>22</v>
      </c>
      <c r="O534" t="s">
        <v>67</v>
      </c>
      <c r="P534" t="s">
        <v>40</v>
      </c>
      <c r="Q534" t="str">
        <f>TEXT(clean_data[[#This Row],[Date]],"mmm")</f>
        <v>May</v>
      </c>
      <c r="R534">
        <f>YEAR(clean_data[[#This Row],[Date]])</f>
        <v>2024</v>
      </c>
      <c r="S534" s="2">
        <f>clean_data[[#This Row],[Profit]]/clean_data[[#This Row],[Revenue]]</f>
        <v>0.6</v>
      </c>
      <c r="T534" t="str" cm="1">
        <f t="array" ref="T534">_xlfn.IFS(clean_data[[#This Row],[Revenue]]&lt;300000,"Small",
     clean_data[[#This Row],[Revenue]]&lt;700000,"Medium",
     TRUE,"Large")</f>
        <v>Small</v>
      </c>
      <c r="U534" t="str" cm="1">
        <f t="array" ref="U534">_xlfn.IFS(clean_data[[#This Row],[profit margin%]]&lt;0.5,"Low Profit",
     clean_data[[#This Row],[profit margin%]]&lt;0.6,"Medium Profit",
     TRUE,"High Profit")</f>
        <v>High Profit</v>
      </c>
      <c r="V534" t="str">
        <f>TEXT(clean_data[[#This Row],[Date]],"mmm-yyyy")</f>
        <v>May-2024</v>
      </c>
      <c r="W534" s="8">
        <f>EOMONTH(clean_data[[#This Row],[Date]],-1)+1</f>
        <v>45413</v>
      </c>
    </row>
    <row r="535" spans="1:23" x14ac:dyDescent="0.3">
      <c r="A535" t="s">
        <v>607</v>
      </c>
      <c r="B535" s="1">
        <v>44749</v>
      </c>
      <c r="C535" t="s">
        <v>17</v>
      </c>
      <c r="D535" t="s">
        <v>42</v>
      </c>
      <c r="E535" t="s">
        <v>70</v>
      </c>
      <c r="F535" t="s">
        <v>33</v>
      </c>
      <c r="G535" t="s">
        <v>76</v>
      </c>
      <c r="H535">
        <v>46</v>
      </c>
      <c r="I535">
        <v>8500</v>
      </c>
      <c r="J535">
        <v>10</v>
      </c>
      <c r="K535">
        <v>351900</v>
      </c>
      <c r="L535">
        <v>175950</v>
      </c>
      <c r="M535">
        <v>175950</v>
      </c>
      <c r="N535" t="s">
        <v>30</v>
      </c>
      <c r="O535" t="s">
        <v>44</v>
      </c>
      <c r="P535" t="s">
        <v>40</v>
      </c>
      <c r="Q535" t="str">
        <f>TEXT(clean_data[[#This Row],[Date]],"mmm")</f>
        <v>Jul</v>
      </c>
      <c r="R535">
        <f>YEAR(clean_data[[#This Row],[Date]])</f>
        <v>2022</v>
      </c>
      <c r="S535" s="2">
        <f>clean_data[[#This Row],[Profit]]/clean_data[[#This Row],[Revenue]]</f>
        <v>0.5</v>
      </c>
      <c r="T535" t="str" cm="1">
        <f t="array" ref="T535">_xlfn.IFS(clean_data[[#This Row],[Revenue]]&lt;300000,"Small",
     clean_data[[#This Row],[Revenue]]&lt;700000,"Medium",
     TRUE,"Large")</f>
        <v>Medium</v>
      </c>
      <c r="U535" t="str" cm="1">
        <f t="array" ref="U535">_xlfn.IFS(clean_data[[#This Row],[profit margin%]]&lt;0.5,"Low Profit",
     clean_data[[#This Row],[profit margin%]]&lt;0.6,"Medium Profit",
     TRUE,"High Profit")</f>
        <v>Medium Profit</v>
      </c>
      <c r="V535" t="str">
        <f>TEXT(clean_data[[#This Row],[Date]],"mmm-yyyy")</f>
        <v>Jul-2022</v>
      </c>
      <c r="W535" s="8">
        <f>EOMONTH(clean_data[[#This Row],[Date]],-1)+1</f>
        <v>44743</v>
      </c>
    </row>
    <row r="536" spans="1:23" x14ac:dyDescent="0.3">
      <c r="A536" t="s">
        <v>608</v>
      </c>
      <c r="B536" s="1">
        <v>44691</v>
      </c>
      <c r="C536" t="s">
        <v>17</v>
      </c>
      <c r="D536" t="s">
        <v>42</v>
      </c>
      <c r="E536" t="s">
        <v>60</v>
      </c>
      <c r="F536" t="s">
        <v>28</v>
      </c>
      <c r="G536" t="s">
        <v>87</v>
      </c>
      <c r="H536">
        <v>2</v>
      </c>
      <c r="I536">
        <v>45000</v>
      </c>
      <c r="J536">
        <v>15</v>
      </c>
      <c r="K536">
        <v>76500</v>
      </c>
      <c r="L536">
        <v>42075</v>
      </c>
      <c r="M536">
        <v>34425</v>
      </c>
      <c r="N536" t="s">
        <v>30</v>
      </c>
      <c r="O536" t="s">
        <v>23</v>
      </c>
      <c r="P536" t="s">
        <v>24</v>
      </c>
      <c r="Q536" t="str">
        <f>TEXT(clean_data[[#This Row],[Date]],"mmm")</f>
        <v>May</v>
      </c>
      <c r="R536">
        <f>YEAR(clean_data[[#This Row],[Date]])</f>
        <v>2022</v>
      </c>
      <c r="S536" s="2">
        <f>clean_data[[#This Row],[Profit]]/clean_data[[#This Row],[Revenue]]</f>
        <v>0.45</v>
      </c>
      <c r="T536" t="str" cm="1">
        <f t="array" ref="T536">_xlfn.IFS(clean_data[[#This Row],[Revenue]]&lt;300000,"Small",
     clean_data[[#This Row],[Revenue]]&lt;700000,"Medium",
     TRUE,"Large")</f>
        <v>Small</v>
      </c>
      <c r="U536" t="str" cm="1">
        <f t="array" ref="U536">_xlfn.IFS(clean_data[[#This Row],[profit margin%]]&lt;0.5,"Low Profit",
     clean_data[[#This Row],[profit margin%]]&lt;0.6,"Medium Profit",
     TRUE,"High Profit")</f>
        <v>Low Profit</v>
      </c>
      <c r="V536" t="str">
        <f>TEXT(clean_data[[#This Row],[Date]],"mmm-yyyy")</f>
        <v>May-2022</v>
      </c>
      <c r="W536" s="8">
        <f>EOMONTH(clean_data[[#This Row],[Date]],-1)+1</f>
        <v>44682</v>
      </c>
    </row>
    <row r="537" spans="1:23" x14ac:dyDescent="0.3">
      <c r="A537" t="s">
        <v>609</v>
      </c>
      <c r="B537" s="1">
        <v>44654</v>
      </c>
      <c r="C537" t="s">
        <v>58</v>
      </c>
      <c r="D537" t="s">
        <v>59</v>
      </c>
      <c r="E537" t="s">
        <v>78</v>
      </c>
      <c r="F537" t="s">
        <v>65</v>
      </c>
      <c r="G537" t="s">
        <v>79</v>
      </c>
      <c r="H537">
        <v>23</v>
      </c>
      <c r="I537">
        <v>900</v>
      </c>
      <c r="J537">
        <v>10</v>
      </c>
      <c r="K537">
        <v>18630</v>
      </c>
      <c r="L537">
        <v>8383.5</v>
      </c>
      <c r="M537">
        <v>10246.5</v>
      </c>
      <c r="N537" t="s">
        <v>30</v>
      </c>
      <c r="O537" t="s">
        <v>67</v>
      </c>
      <c r="P537" t="s">
        <v>24</v>
      </c>
      <c r="Q537" t="str">
        <f>TEXT(clean_data[[#This Row],[Date]],"mmm")</f>
        <v>Apr</v>
      </c>
      <c r="R537">
        <f>YEAR(clean_data[[#This Row],[Date]])</f>
        <v>2022</v>
      </c>
      <c r="S537" s="2">
        <f>clean_data[[#This Row],[Profit]]/clean_data[[#This Row],[Revenue]]</f>
        <v>0.55000000000000004</v>
      </c>
      <c r="T537" t="str" cm="1">
        <f t="array" ref="T537">_xlfn.IFS(clean_data[[#This Row],[Revenue]]&lt;300000,"Small",
     clean_data[[#This Row],[Revenue]]&lt;700000,"Medium",
     TRUE,"Large")</f>
        <v>Small</v>
      </c>
      <c r="U537" t="str" cm="1">
        <f t="array" ref="U537">_xlfn.IFS(clean_data[[#This Row],[profit margin%]]&lt;0.5,"Low Profit",
     clean_data[[#This Row],[profit margin%]]&lt;0.6,"Medium Profit",
     TRUE,"High Profit")</f>
        <v>Medium Profit</v>
      </c>
      <c r="V537" t="str">
        <f>TEXT(clean_data[[#This Row],[Date]],"mmm-yyyy")</f>
        <v>Apr-2022</v>
      </c>
      <c r="W537" s="8">
        <f>EOMONTH(clean_data[[#This Row],[Date]],-1)+1</f>
        <v>44652</v>
      </c>
    </row>
    <row r="538" spans="1:23" x14ac:dyDescent="0.3">
      <c r="A538" t="s">
        <v>610</v>
      </c>
      <c r="B538" s="1">
        <v>44737</v>
      </c>
      <c r="C538" t="s">
        <v>58</v>
      </c>
      <c r="D538" t="s">
        <v>64</v>
      </c>
      <c r="E538" t="s">
        <v>78</v>
      </c>
      <c r="F538" t="s">
        <v>28</v>
      </c>
      <c r="G538" t="s">
        <v>85</v>
      </c>
      <c r="H538">
        <v>7</v>
      </c>
      <c r="I538">
        <v>8000</v>
      </c>
      <c r="J538">
        <v>15</v>
      </c>
      <c r="K538">
        <v>47600</v>
      </c>
      <c r="L538">
        <v>26180</v>
      </c>
      <c r="M538">
        <v>21420</v>
      </c>
      <c r="N538" t="s">
        <v>22</v>
      </c>
      <c r="O538" t="s">
        <v>23</v>
      </c>
      <c r="P538" t="s">
        <v>24</v>
      </c>
      <c r="Q538" t="str">
        <f>TEXT(clean_data[[#This Row],[Date]],"mmm")</f>
        <v>Jun</v>
      </c>
      <c r="R538">
        <f>YEAR(clean_data[[#This Row],[Date]])</f>
        <v>2022</v>
      </c>
      <c r="S538" s="2">
        <f>clean_data[[#This Row],[Profit]]/clean_data[[#This Row],[Revenue]]</f>
        <v>0.45</v>
      </c>
      <c r="T538" t="str" cm="1">
        <f t="array" ref="T538">_xlfn.IFS(clean_data[[#This Row],[Revenue]]&lt;300000,"Small",
     clean_data[[#This Row],[Revenue]]&lt;700000,"Medium",
     TRUE,"Large")</f>
        <v>Small</v>
      </c>
      <c r="U538" t="str" cm="1">
        <f t="array" ref="U538">_xlfn.IFS(clean_data[[#This Row],[profit margin%]]&lt;0.5,"Low Profit",
     clean_data[[#This Row],[profit margin%]]&lt;0.6,"Medium Profit",
     TRUE,"High Profit")</f>
        <v>Low Profit</v>
      </c>
      <c r="V538" t="str">
        <f>TEXT(clean_data[[#This Row],[Date]],"mmm-yyyy")</f>
        <v>Jun-2022</v>
      </c>
      <c r="W538" s="8">
        <f>EOMONTH(clean_data[[#This Row],[Date]],-1)+1</f>
        <v>44713</v>
      </c>
    </row>
    <row r="539" spans="1:23" x14ac:dyDescent="0.3">
      <c r="A539" t="s">
        <v>611</v>
      </c>
      <c r="B539" s="1">
        <v>45481</v>
      </c>
      <c r="C539" t="s">
        <v>46</v>
      </c>
      <c r="D539" t="s">
        <v>47</v>
      </c>
      <c r="E539" t="s">
        <v>38</v>
      </c>
      <c r="F539" t="s">
        <v>33</v>
      </c>
      <c r="G539" t="s">
        <v>34</v>
      </c>
      <c r="H539">
        <v>26</v>
      </c>
      <c r="I539">
        <v>25000</v>
      </c>
      <c r="J539">
        <v>5</v>
      </c>
      <c r="K539">
        <v>617500</v>
      </c>
      <c r="L539">
        <v>308750</v>
      </c>
      <c r="M539">
        <v>308750</v>
      </c>
      <c r="N539" t="s">
        <v>49</v>
      </c>
      <c r="O539" t="s">
        <v>23</v>
      </c>
      <c r="P539" t="s">
        <v>24</v>
      </c>
      <c r="Q539" t="str">
        <f>TEXT(clean_data[[#This Row],[Date]],"mmm")</f>
        <v>Jul</v>
      </c>
      <c r="R539">
        <f>YEAR(clean_data[[#This Row],[Date]])</f>
        <v>2024</v>
      </c>
      <c r="S539" s="2">
        <f>clean_data[[#This Row],[Profit]]/clean_data[[#This Row],[Revenue]]</f>
        <v>0.5</v>
      </c>
      <c r="T539" t="str" cm="1">
        <f t="array" ref="T539">_xlfn.IFS(clean_data[[#This Row],[Revenue]]&lt;300000,"Small",
     clean_data[[#This Row],[Revenue]]&lt;700000,"Medium",
     TRUE,"Large")</f>
        <v>Medium</v>
      </c>
      <c r="U539" t="str" cm="1">
        <f t="array" ref="U539">_xlfn.IFS(clean_data[[#This Row],[profit margin%]]&lt;0.5,"Low Profit",
     clean_data[[#This Row],[profit margin%]]&lt;0.6,"Medium Profit",
     TRUE,"High Profit")</f>
        <v>Medium Profit</v>
      </c>
      <c r="V539" t="str">
        <f>TEXT(clean_data[[#This Row],[Date]],"mmm-yyyy")</f>
        <v>Jul-2024</v>
      </c>
      <c r="W539" s="8">
        <f>EOMONTH(clean_data[[#This Row],[Date]],-1)+1</f>
        <v>45474</v>
      </c>
    </row>
    <row r="540" spans="1:23" x14ac:dyDescent="0.3">
      <c r="A540" t="s">
        <v>612</v>
      </c>
      <c r="B540" s="1">
        <v>45505</v>
      </c>
      <c r="C540" t="s">
        <v>26</v>
      </c>
      <c r="D540" t="s">
        <v>69</v>
      </c>
      <c r="E540" t="s">
        <v>52</v>
      </c>
      <c r="F540" t="s">
        <v>33</v>
      </c>
      <c r="G540" t="s">
        <v>48</v>
      </c>
      <c r="H540">
        <v>30</v>
      </c>
      <c r="I540">
        <v>1500</v>
      </c>
      <c r="J540">
        <v>5</v>
      </c>
      <c r="K540">
        <v>42750</v>
      </c>
      <c r="L540">
        <v>21375</v>
      </c>
      <c r="M540">
        <v>21375</v>
      </c>
      <c r="N540" t="s">
        <v>49</v>
      </c>
      <c r="O540" t="s">
        <v>67</v>
      </c>
      <c r="P540" t="s">
        <v>24</v>
      </c>
      <c r="Q540" t="str">
        <f>TEXT(clean_data[[#This Row],[Date]],"mmm")</f>
        <v>Aug</v>
      </c>
      <c r="R540">
        <f>YEAR(clean_data[[#This Row],[Date]])</f>
        <v>2024</v>
      </c>
      <c r="S540" s="2">
        <f>clean_data[[#This Row],[Profit]]/clean_data[[#This Row],[Revenue]]</f>
        <v>0.5</v>
      </c>
      <c r="T540" t="str" cm="1">
        <f t="array" ref="T540">_xlfn.IFS(clean_data[[#This Row],[Revenue]]&lt;300000,"Small",
     clean_data[[#This Row],[Revenue]]&lt;700000,"Medium",
     TRUE,"Large")</f>
        <v>Small</v>
      </c>
      <c r="U540" t="str" cm="1">
        <f t="array" ref="U540">_xlfn.IFS(clean_data[[#This Row],[profit margin%]]&lt;0.5,"Low Profit",
     clean_data[[#This Row],[profit margin%]]&lt;0.6,"Medium Profit",
     TRUE,"High Profit")</f>
        <v>Medium Profit</v>
      </c>
      <c r="V540" t="str">
        <f>TEXT(clean_data[[#This Row],[Date]],"mmm-yyyy")</f>
        <v>Aug-2024</v>
      </c>
      <c r="W540" s="8">
        <f>EOMONTH(clean_data[[#This Row],[Date]],-1)+1</f>
        <v>45505</v>
      </c>
    </row>
    <row r="541" spans="1:23" x14ac:dyDescent="0.3">
      <c r="A541" t="s">
        <v>613</v>
      </c>
      <c r="B541" s="1">
        <v>44821</v>
      </c>
      <c r="C541" t="s">
        <v>26</v>
      </c>
      <c r="D541" t="s">
        <v>69</v>
      </c>
      <c r="E541" t="s">
        <v>52</v>
      </c>
      <c r="F541" t="s">
        <v>33</v>
      </c>
      <c r="G541" t="s">
        <v>43</v>
      </c>
      <c r="H541">
        <v>42</v>
      </c>
      <c r="I541">
        <v>4000</v>
      </c>
      <c r="J541">
        <v>0</v>
      </c>
      <c r="K541">
        <v>168000</v>
      </c>
      <c r="L541">
        <v>84000</v>
      </c>
      <c r="M541">
        <v>84000</v>
      </c>
      <c r="N541" t="s">
        <v>22</v>
      </c>
      <c r="O541" t="s">
        <v>23</v>
      </c>
      <c r="P541" t="s">
        <v>24</v>
      </c>
      <c r="Q541" t="str">
        <f>TEXT(clean_data[[#This Row],[Date]],"mmm")</f>
        <v>Sep</v>
      </c>
      <c r="R541">
        <f>YEAR(clean_data[[#This Row],[Date]])</f>
        <v>2022</v>
      </c>
      <c r="S541" s="2">
        <f>clean_data[[#This Row],[Profit]]/clean_data[[#This Row],[Revenue]]</f>
        <v>0.5</v>
      </c>
      <c r="T541" t="str" cm="1">
        <f t="array" ref="T541">_xlfn.IFS(clean_data[[#This Row],[Revenue]]&lt;300000,"Small",
     clean_data[[#This Row],[Revenue]]&lt;700000,"Medium",
     TRUE,"Large")</f>
        <v>Small</v>
      </c>
      <c r="U541" t="str" cm="1">
        <f t="array" ref="U541">_xlfn.IFS(clean_data[[#This Row],[profit margin%]]&lt;0.5,"Low Profit",
     clean_data[[#This Row],[profit margin%]]&lt;0.6,"Medium Profit",
     TRUE,"High Profit")</f>
        <v>Medium Profit</v>
      </c>
      <c r="V541" t="str">
        <f>TEXT(clean_data[[#This Row],[Date]],"mmm-yyyy")</f>
        <v>Sep-2022</v>
      </c>
      <c r="W541" s="8">
        <f>EOMONTH(clean_data[[#This Row],[Date]],-1)+1</f>
        <v>44805</v>
      </c>
    </row>
    <row r="542" spans="1:23" x14ac:dyDescent="0.3">
      <c r="A542" t="s">
        <v>614</v>
      </c>
      <c r="B542" s="1">
        <v>45341</v>
      </c>
      <c r="C542" t="s">
        <v>58</v>
      </c>
      <c r="D542" t="s">
        <v>84</v>
      </c>
      <c r="E542" t="s">
        <v>38</v>
      </c>
      <c r="F542" t="s">
        <v>20</v>
      </c>
      <c r="G542" t="s">
        <v>53</v>
      </c>
      <c r="H542">
        <v>11</v>
      </c>
      <c r="I542">
        <v>600</v>
      </c>
      <c r="J542">
        <v>15</v>
      </c>
      <c r="K542">
        <v>5610</v>
      </c>
      <c r="L542">
        <v>2244</v>
      </c>
      <c r="M542">
        <v>3366</v>
      </c>
      <c r="N542" t="s">
        <v>30</v>
      </c>
      <c r="O542" t="s">
        <v>50</v>
      </c>
      <c r="P542" t="s">
        <v>24</v>
      </c>
      <c r="Q542" t="str">
        <f>TEXT(clean_data[[#This Row],[Date]],"mmm")</f>
        <v>Feb</v>
      </c>
      <c r="R542">
        <f>YEAR(clean_data[[#This Row],[Date]])</f>
        <v>2024</v>
      </c>
      <c r="S542" s="2">
        <f>clean_data[[#This Row],[Profit]]/clean_data[[#This Row],[Revenue]]</f>
        <v>0.6</v>
      </c>
      <c r="T542" t="str" cm="1">
        <f t="array" ref="T542">_xlfn.IFS(clean_data[[#This Row],[Revenue]]&lt;300000,"Small",
     clean_data[[#This Row],[Revenue]]&lt;700000,"Medium",
     TRUE,"Large")</f>
        <v>Small</v>
      </c>
      <c r="U542" t="str" cm="1">
        <f t="array" ref="U542">_xlfn.IFS(clean_data[[#This Row],[profit margin%]]&lt;0.5,"Low Profit",
     clean_data[[#This Row],[profit margin%]]&lt;0.6,"Medium Profit",
     TRUE,"High Profit")</f>
        <v>High Profit</v>
      </c>
      <c r="V542" t="str">
        <f>TEXT(clean_data[[#This Row],[Date]],"mmm-yyyy")</f>
        <v>Feb-2024</v>
      </c>
      <c r="W542" s="8">
        <f>EOMONTH(clean_data[[#This Row],[Date]],-1)+1</f>
        <v>45323</v>
      </c>
    </row>
    <row r="543" spans="1:23" x14ac:dyDescent="0.3">
      <c r="A543" t="s">
        <v>615</v>
      </c>
      <c r="B543" s="1">
        <v>44984</v>
      </c>
      <c r="C543" t="s">
        <v>58</v>
      </c>
      <c r="D543" t="s">
        <v>59</v>
      </c>
      <c r="E543" t="s">
        <v>38</v>
      </c>
      <c r="F543" t="s">
        <v>33</v>
      </c>
      <c r="G543" t="s">
        <v>43</v>
      </c>
      <c r="H543">
        <v>45</v>
      </c>
      <c r="I543">
        <v>4000</v>
      </c>
      <c r="J543">
        <v>5</v>
      </c>
      <c r="K543">
        <v>171000</v>
      </c>
      <c r="L543">
        <v>85500</v>
      </c>
      <c r="M543">
        <v>85500</v>
      </c>
      <c r="N543" t="s">
        <v>22</v>
      </c>
      <c r="O543" t="s">
        <v>35</v>
      </c>
      <c r="P543" t="s">
        <v>24</v>
      </c>
      <c r="Q543" t="str">
        <f>TEXT(clean_data[[#This Row],[Date]],"mmm")</f>
        <v>Feb</v>
      </c>
      <c r="R543">
        <f>YEAR(clean_data[[#This Row],[Date]])</f>
        <v>2023</v>
      </c>
      <c r="S543" s="2">
        <f>clean_data[[#This Row],[Profit]]/clean_data[[#This Row],[Revenue]]</f>
        <v>0.5</v>
      </c>
      <c r="T543" t="str" cm="1">
        <f t="array" ref="T543">_xlfn.IFS(clean_data[[#This Row],[Revenue]]&lt;300000,"Small",
     clean_data[[#This Row],[Revenue]]&lt;700000,"Medium",
     TRUE,"Large")</f>
        <v>Small</v>
      </c>
      <c r="U543" t="str" cm="1">
        <f t="array" ref="U543">_xlfn.IFS(clean_data[[#This Row],[profit margin%]]&lt;0.5,"Low Profit",
     clean_data[[#This Row],[profit margin%]]&lt;0.6,"Medium Profit",
     TRUE,"High Profit")</f>
        <v>Medium Profit</v>
      </c>
      <c r="V543" t="str">
        <f>TEXT(clean_data[[#This Row],[Date]],"mmm-yyyy")</f>
        <v>Feb-2023</v>
      </c>
      <c r="W543" s="8">
        <f>EOMONTH(clean_data[[#This Row],[Date]],-1)+1</f>
        <v>44958</v>
      </c>
    </row>
    <row r="544" spans="1:23" x14ac:dyDescent="0.3">
      <c r="A544" t="s">
        <v>616</v>
      </c>
      <c r="B544" s="1">
        <v>45508</v>
      </c>
      <c r="C544" t="s">
        <v>58</v>
      </c>
      <c r="D544" t="s">
        <v>59</v>
      </c>
      <c r="E544" t="s">
        <v>111</v>
      </c>
      <c r="F544" t="s">
        <v>28</v>
      </c>
      <c r="G544" t="s">
        <v>85</v>
      </c>
      <c r="H544">
        <v>12</v>
      </c>
      <c r="I544">
        <v>8000</v>
      </c>
      <c r="J544">
        <v>10</v>
      </c>
      <c r="K544">
        <v>86400</v>
      </c>
      <c r="L544">
        <v>47520</v>
      </c>
      <c r="M544">
        <v>38880</v>
      </c>
      <c r="N544" t="s">
        <v>30</v>
      </c>
      <c r="O544" t="s">
        <v>67</v>
      </c>
      <c r="P544" t="s">
        <v>24</v>
      </c>
      <c r="Q544" t="str">
        <f>TEXT(clean_data[[#This Row],[Date]],"mmm")</f>
        <v>Aug</v>
      </c>
      <c r="R544">
        <f>YEAR(clean_data[[#This Row],[Date]])</f>
        <v>2024</v>
      </c>
      <c r="S544" s="2">
        <f>clean_data[[#This Row],[Profit]]/clean_data[[#This Row],[Revenue]]</f>
        <v>0.45</v>
      </c>
      <c r="T544" t="str" cm="1">
        <f t="array" ref="T544">_xlfn.IFS(clean_data[[#This Row],[Revenue]]&lt;300000,"Small",
     clean_data[[#This Row],[Revenue]]&lt;700000,"Medium",
     TRUE,"Large")</f>
        <v>Small</v>
      </c>
      <c r="U544" t="str" cm="1">
        <f t="array" ref="U544">_xlfn.IFS(clean_data[[#This Row],[profit margin%]]&lt;0.5,"Low Profit",
     clean_data[[#This Row],[profit margin%]]&lt;0.6,"Medium Profit",
     TRUE,"High Profit")</f>
        <v>Low Profit</v>
      </c>
      <c r="V544" t="str">
        <f>TEXT(clean_data[[#This Row],[Date]],"mmm-yyyy")</f>
        <v>Aug-2024</v>
      </c>
      <c r="W544" s="8">
        <f>EOMONTH(clean_data[[#This Row],[Date]],-1)+1</f>
        <v>45505</v>
      </c>
    </row>
    <row r="545" spans="1:23" x14ac:dyDescent="0.3">
      <c r="A545" t="s">
        <v>617</v>
      </c>
      <c r="B545" s="1">
        <v>44764</v>
      </c>
      <c r="C545" t="s">
        <v>58</v>
      </c>
      <c r="D545" t="s">
        <v>59</v>
      </c>
      <c r="E545" t="s">
        <v>60</v>
      </c>
      <c r="F545" t="s">
        <v>28</v>
      </c>
      <c r="G545" t="s">
        <v>95</v>
      </c>
      <c r="H545">
        <v>14</v>
      </c>
      <c r="I545">
        <v>75000</v>
      </c>
      <c r="J545">
        <v>5</v>
      </c>
      <c r="K545">
        <v>997500</v>
      </c>
      <c r="L545">
        <v>548625</v>
      </c>
      <c r="M545">
        <v>448875</v>
      </c>
      <c r="N545" t="s">
        <v>22</v>
      </c>
      <c r="O545" t="s">
        <v>35</v>
      </c>
      <c r="P545" t="s">
        <v>40</v>
      </c>
      <c r="Q545" t="str">
        <f>TEXT(clean_data[[#This Row],[Date]],"mmm")</f>
        <v>Jul</v>
      </c>
      <c r="R545">
        <f>YEAR(clean_data[[#This Row],[Date]])</f>
        <v>2022</v>
      </c>
      <c r="S545" s="2">
        <f>clean_data[[#This Row],[Profit]]/clean_data[[#This Row],[Revenue]]</f>
        <v>0.45</v>
      </c>
      <c r="T545" t="str" cm="1">
        <f t="array" ref="T545">_xlfn.IFS(clean_data[[#This Row],[Revenue]]&lt;300000,"Small",
     clean_data[[#This Row],[Revenue]]&lt;700000,"Medium",
     TRUE,"Large")</f>
        <v>Large</v>
      </c>
      <c r="U545" t="str" cm="1">
        <f t="array" ref="U545">_xlfn.IFS(clean_data[[#This Row],[profit margin%]]&lt;0.5,"Low Profit",
     clean_data[[#This Row],[profit margin%]]&lt;0.6,"Medium Profit",
     TRUE,"High Profit")</f>
        <v>Low Profit</v>
      </c>
      <c r="V545" t="str">
        <f>TEXT(clean_data[[#This Row],[Date]],"mmm-yyyy")</f>
        <v>Jul-2022</v>
      </c>
      <c r="W545" s="8">
        <f>EOMONTH(clean_data[[#This Row],[Date]],-1)+1</f>
        <v>44743</v>
      </c>
    </row>
    <row r="546" spans="1:23" x14ac:dyDescent="0.3">
      <c r="A546" t="s">
        <v>618</v>
      </c>
      <c r="B546" s="1">
        <v>44856</v>
      </c>
      <c r="C546" t="s">
        <v>46</v>
      </c>
      <c r="D546" t="s">
        <v>55</v>
      </c>
      <c r="E546" t="s">
        <v>111</v>
      </c>
      <c r="F546" t="s">
        <v>33</v>
      </c>
      <c r="G546" t="s">
        <v>48</v>
      </c>
      <c r="H546">
        <v>40</v>
      </c>
      <c r="I546">
        <v>1500</v>
      </c>
      <c r="J546">
        <v>20</v>
      </c>
      <c r="K546">
        <v>48000</v>
      </c>
      <c r="L546">
        <v>24000</v>
      </c>
      <c r="M546">
        <v>24000</v>
      </c>
      <c r="N546" t="s">
        <v>30</v>
      </c>
      <c r="O546" t="s">
        <v>44</v>
      </c>
      <c r="P546" t="s">
        <v>24</v>
      </c>
      <c r="Q546" t="str">
        <f>TEXT(clean_data[[#This Row],[Date]],"mmm")</f>
        <v>Oct</v>
      </c>
      <c r="R546">
        <f>YEAR(clean_data[[#This Row],[Date]])</f>
        <v>2022</v>
      </c>
      <c r="S546" s="2">
        <f>clean_data[[#This Row],[Profit]]/clean_data[[#This Row],[Revenue]]</f>
        <v>0.5</v>
      </c>
      <c r="T546" t="str" cm="1">
        <f t="array" ref="T546">_xlfn.IFS(clean_data[[#This Row],[Revenue]]&lt;300000,"Small",
     clean_data[[#This Row],[Revenue]]&lt;700000,"Medium",
     TRUE,"Large")</f>
        <v>Small</v>
      </c>
      <c r="U546" t="str" cm="1">
        <f t="array" ref="U546">_xlfn.IFS(clean_data[[#This Row],[profit margin%]]&lt;0.5,"Low Profit",
     clean_data[[#This Row],[profit margin%]]&lt;0.6,"Medium Profit",
     TRUE,"High Profit")</f>
        <v>Medium Profit</v>
      </c>
      <c r="V546" t="str">
        <f>TEXT(clean_data[[#This Row],[Date]],"mmm-yyyy")</f>
        <v>Oct-2022</v>
      </c>
      <c r="W546" s="8">
        <f>EOMONTH(clean_data[[#This Row],[Date]],-1)+1</f>
        <v>44835</v>
      </c>
    </row>
    <row r="547" spans="1:23" x14ac:dyDescent="0.3">
      <c r="A547" t="s">
        <v>619</v>
      </c>
      <c r="B547" s="1">
        <v>45179</v>
      </c>
      <c r="C547" t="s">
        <v>17</v>
      </c>
      <c r="D547" t="s">
        <v>37</v>
      </c>
      <c r="E547" t="s">
        <v>70</v>
      </c>
      <c r="F547" t="s">
        <v>28</v>
      </c>
      <c r="G547" t="s">
        <v>29</v>
      </c>
      <c r="H547">
        <v>1</v>
      </c>
      <c r="I547">
        <v>15000</v>
      </c>
      <c r="J547">
        <v>20</v>
      </c>
      <c r="K547">
        <v>12000</v>
      </c>
      <c r="L547">
        <v>6600</v>
      </c>
      <c r="M547">
        <v>5400</v>
      </c>
      <c r="N547" t="s">
        <v>49</v>
      </c>
      <c r="O547" t="s">
        <v>44</v>
      </c>
      <c r="P547" t="s">
        <v>40</v>
      </c>
      <c r="Q547" t="str">
        <f>TEXT(clean_data[[#This Row],[Date]],"mmm")</f>
        <v>Sep</v>
      </c>
      <c r="R547">
        <f>YEAR(clean_data[[#This Row],[Date]])</f>
        <v>2023</v>
      </c>
      <c r="S547" s="2">
        <f>clean_data[[#This Row],[Profit]]/clean_data[[#This Row],[Revenue]]</f>
        <v>0.45</v>
      </c>
      <c r="T547" t="str" cm="1">
        <f t="array" ref="T547">_xlfn.IFS(clean_data[[#This Row],[Revenue]]&lt;300000,"Small",
     clean_data[[#This Row],[Revenue]]&lt;700000,"Medium",
     TRUE,"Large")</f>
        <v>Small</v>
      </c>
      <c r="U547" t="str" cm="1">
        <f t="array" ref="U547">_xlfn.IFS(clean_data[[#This Row],[profit margin%]]&lt;0.5,"Low Profit",
     clean_data[[#This Row],[profit margin%]]&lt;0.6,"Medium Profit",
     TRUE,"High Profit")</f>
        <v>Low Profit</v>
      </c>
      <c r="V547" t="str">
        <f>TEXT(clean_data[[#This Row],[Date]],"mmm-yyyy")</f>
        <v>Sep-2023</v>
      </c>
      <c r="W547" s="8">
        <f>EOMONTH(clean_data[[#This Row],[Date]],-1)+1</f>
        <v>45170</v>
      </c>
    </row>
    <row r="548" spans="1:23" x14ac:dyDescent="0.3">
      <c r="A548" t="s">
        <v>620</v>
      </c>
      <c r="B548" s="1">
        <v>45109</v>
      </c>
      <c r="C548" t="s">
        <v>17</v>
      </c>
      <c r="D548" t="s">
        <v>42</v>
      </c>
      <c r="E548" t="s">
        <v>56</v>
      </c>
      <c r="F548" t="s">
        <v>28</v>
      </c>
      <c r="G548" t="s">
        <v>29</v>
      </c>
      <c r="H548">
        <v>23</v>
      </c>
      <c r="I548">
        <v>15000</v>
      </c>
      <c r="J548">
        <v>0</v>
      </c>
      <c r="K548">
        <v>345000</v>
      </c>
      <c r="L548">
        <v>189750</v>
      </c>
      <c r="M548">
        <v>155250</v>
      </c>
      <c r="N548" t="s">
        <v>30</v>
      </c>
      <c r="O548" t="s">
        <v>44</v>
      </c>
      <c r="P548" t="s">
        <v>24</v>
      </c>
      <c r="Q548" t="str">
        <f>TEXT(clean_data[[#This Row],[Date]],"mmm")</f>
        <v>Jul</v>
      </c>
      <c r="R548">
        <f>YEAR(clean_data[[#This Row],[Date]])</f>
        <v>2023</v>
      </c>
      <c r="S548" s="2">
        <f>clean_data[[#This Row],[Profit]]/clean_data[[#This Row],[Revenue]]</f>
        <v>0.45</v>
      </c>
      <c r="T548" t="str" cm="1">
        <f t="array" ref="T548">_xlfn.IFS(clean_data[[#This Row],[Revenue]]&lt;300000,"Small",
     clean_data[[#This Row],[Revenue]]&lt;700000,"Medium",
     TRUE,"Large")</f>
        <v>Medium</v>
      </c>
      <c r="U548" t="str" cm="1">
        <f t="array" ref="U548">_xlfn.IFS(clean_data[[#This Row],[profit margin%]]&lt;0.5,"Low Profit",
     clean_data[[#This Row],[profit margin%]]&lt;0.6,"Medium Profit",
     TRUE,"High Profit")</f>
        <v>Low Profit</v>
      </c>
      <c r="V548" t="str">
        <f>TEXT(clean_data[[#This Row],[Date]],"mmm-yyyy")</f>
        <v>Jul-2023</v>
      </c>
      <c r="W548" s="8">
        <f>EOMONTH(clean_data[[#This Row],[Date]],-1)+1</f>
        <v>45108</v>
      </c>
    </row>
    <row r="549" spans="1:23" x14ac:dyDescent="0.3">
      <c r="A549" t="s">
        <v>621</v>
      </c>
      <c r="B549" s="1">
        <v>45405</v>
      </c>
      <c r="C549" t="s">
        <v>58</v>
      </c>
      <c r="D549" t="s">
        <v>64</v>
      </c>
      <c r="E549" t="s">
        <v>70</v>
      </c>
      <c r="F549" t="s">
        <v>65</v>
      </c>
      <c r="G549" t="s">
        <v>66</v>
      </c>
      <c r="H549">
        <v>25</v>
      </c>
      <c r="I549">
        <v>5500</v>
      </c>
      <c r="J549">
        <v>15</v>
      </c>
      <c r="K549">
        <v>116875</v>
      </c>
      <c r="L549">
        <v>52593.75</v>
      </c>
      <c r="M549">
        <v>64281.25</v>
      </c>
      <c r="N549" t="s">
        <v>30</v>
      </c>
      <c r="O549" t="s">
        <v>44</v>
      </c>
      <c r="P549" t="s">
        <v>40</v>
      </c>
      <c r="Q549" t="str">
        <f>TEXT(clean_data[[#This Row],[Date]],"mmm")</f>
        <v>Apr</v>
      </c>
      <c r="R549">
        <f>YEAR(clean_data[[#This Row],[Date]])</f>
        <v>2024</v>
      </c>
      <c r="S549" s="2">
        <f>clean_data[[#This Row],[Profit]]/clean_data[[#This Row],[Revenue]]</f>
        <v>0.55000000000000004</v>
      </c>
      <c r="T549" t="str" cm="1">
        <f t="array" ref="T549">_xlfn.IFS(clean_data[[#This Row],[Revenue]]&lt;300000,"Small",
     clean_data[[#This Row],[Revenue]]&lt;700000,"Medium",
     TRUE,"Large")</f>
        <v>Small</v>
      </c>
      <c r="U549" t="str" cm="1">
        <f t="array" ref="U549">_xlfn.IFS(clean_data[[#This Row],[profit margin%]]&lt;0.5,"Low Profit",
     clean_data[[#This Row],[profit margin%]]&lt;0.6,"Medium Profit",
     TRUE,"High Profit")</f>
        <v>Medium Profit</v>
      </c>
      <c r="V549" t="str">
        <f>TEXT(clean_data[[#This Row],[Date]],"mmm-yyyy")</f>
        <v>Apr-2024</v>
      </c>
      <c r="W549" s="8">
        <f>EOMONTH(clean_data[[#This Row],[Date]],-1)+1</f>
        <v>45383</v>
      </c>
    </row>
    <row r="550" spans="1:23" x14ac:dyDescent="0.3">
      <c r="A550" t="s">
        <v>622</v>
      </c>
      <c r="B550" s="1">
        <v>45478</v>
      </c>
      <c r="C550" t="s">
        <v>46</v>
      </c>
      <c r="D550" t="s">
        <v>55</v>
      </c>
      <c r="E550" t="s">
        <v>70</v>
      </c>
      <c r="F550" t="s">
        <v>65</v>
      </c>
      <c r="G550" t="s">
        <v>104</v>
      </c>
      <c r="H550">
        <v>19</v>
      </c>
      <c r="I550">
        <v>3000</v>
      </c>
      <c r="J550">
        <v>5</v>
      </c>
      <c r="K550">
        <v>54150</v>
      </c>
      <c r="L550">
        <v>24367.5</v>
      </c>
      <c r="M550">
        <v>29782.5</v>
      </c>
      <c r="N550" t="s">
        <v>30</v>
      </c>
      <c r="O550" t="s">
        <v>35</v>
      </c>
      <c r="P550" t="s">
        <v>24</v>
      </c>
      <c r="Q550" t="str">
        <f>TEXT(clean_data[[#This Row],[Date]],"mmm")</f>
        <v>Jul</v>
      </c>
      <c r="R550">
        <f>YEAR(clean_data[[#This Row],[Date]])</f>
        <v>2024</v>
      </c>
      <c r="S550" s="2">
        <f>clean_data[[#This Row],[Profit]]/clean_data[[#This Row],[Revenue]]</f>
        <v>0.55000000000000004</v>
      </c>
      <c r="T550" t="str" cm="1">
        <f t="array" ref="T550">_xlfn.IFS(clean_data[[#This Row],[Revenue]]&lt;300000,"Small",
     clean_data[[#This Row],[Revenue]]&lt;700000,"Medium",
     TRUE,"Large")</f>
        <v>Small</v>
      </c>
      <c r="U550" t="str" cm="1">
        <f t="array" ref="U550">_xlfn.IFS(clean_data[[#This Row],[profit margin%]]&lt;0.5,"Low Profit",
     clean_data[[#This Row],[profit margin%]]&lt;0.6,"Medium Profit",
     TRUE,"High Profit")</f>
        <v>Medium Profit</v>
      </c>
      <c r="V550" t="str">
        <f>TEXT(clean_data[[#This Row],[Date]],"mmm-yyyy")</f>
        <v>Jul-2024</v>
      </c>
      <c r="W550" s="8">
        <f>EOMONTH(clean_data[[#This Row],[Date]],-1)+1</f>
        <v>45474</v>
      </c>
    </row>
    <row r="551" spans="1:23" x14ac:dyDescent="0.3">
      <c r="A551" t="s">
        <v>623</v>
      </c>
      <c r="B551" s="1">
        <v>44597</v>
      </c>
      <c r="C551" t="s">
        <v>58</v>
      </c>
      <c r="D551" t="s">
        <v>64</v>
      </c>
      <c r="E551" t="s">
        <v>32</v>
      </c>
      <c r="F551" t="s">
        <v>20</v>
      </c>
      <c r="G551" t="s">
        <v>21</v>
      </c>
      <c r="H551">
        <v>9</v>
      </c>
      <c r="I551">
        <v>3500</v>
      </c>
      <c r="J551">
        <v>15</v>
      </c>
      <c r="K551">
        <v>26775</v>
      </c>
      <c r="L551">
        <v>10710</v>
      </c>
      <c r="M551">
        <v>16065</v>
      </c>
      <c r="N551" t="s">
        <v>22</v>
      </c>
      <c r="O551" t="s">
        <v>67</v>
      </c>
      <c r="P551" t="s">
        <v>24</v>
      </c>
      <c r="Q551" t="str">
        <f>TEXT(clean_data[[#This Row],[Date]],"mmm")</f>
        <v>Feb</v>
      </c>
      <c r="R551">
        <f>YEAR(clean_data[[#This Row],[Date]])</f>
        <v>2022</v>
      </c>
      <c r="S551" s="2">
        <f>clean_data[[#This Row],[Profit]]/clean_data[[#This Row],[Revenue]]</f>
        <v>0.6</v>
      </c>
      <c r="T551" t="str" cm="1">
        <f t="array" ref="T551">_xlfn.IFS(clean_data[[#This Row],[Revenue]]&lt;300000,"Small",
     clean_data[[#This Row],[Revenue]]&lt;700000,"Medium",
     TRUE,"Large")</f>
        <v>Small</v>
      </c>
      <c r="U551" t="str" cm="1">
        <f t="array" ref="U551">_xlfn.IFS(clean_data[[#This Row],[profit margin%]]&lt;0.5,"Low Profit",
     clean_data[[#This Row],[profit margin%]]&lt;0.6,"Medium Profit",
     TRUE,"High Profit")</f>
        <v>High Profit</v>
      </c>
      <c r="V551" t="str">
        <f>TEXT(clean_data[[#This Row],[Date]],"mmm-yyyy")</f>
        <v>Feb-2022</v>
      </c>
      <c r="W551" s="8">
        <f>EOMONTH(clean_data[[#This Row],[Date]],-1)+1</f>
        <v>44593</v>
      </c>
    </row>
    <row r="552" spans="1:23" x14ac:dyDescent="0.3">
      <c r="A552" t="s">
        <v>624</v>
      </c>
      <c r="B552" s="1">
        <v>45402</v>
      </c>
      <c r="C552" t="s">
        <v>46</v>
      </c>
      <c r="D552" t="s">
        <v>55</v>
      </c>
      <c r="E552" t="s">
        <v>111</v>
      </c>
      <c r="F552" t="s">
        <v>65</v>
      </c>
      <c r="G552" t="s">
        <v>79</v>
      </c>
      <c r="H552">
        <v>29</v>
      </c>
      <c r="I552">
        <v>900</v>
      </c>
      <c r="J552">
        <v>15</v>
      </c>
      <c r="K552">
        <v>22185</v>
      </c>
      <c r="L552">
        <v>9983.25</v>
      </c>
      <c r="M552">
        <v>12201.75</v>
      </c>
      <c r="N552" t="s">
        <v>30</v>
      </c>
      <c r="O552" t="s">
        <v>44</v>
      </c>
      <c r="P552" t="s">
        <v>24</v>
      </c>
      <c r="Q552" t="str">
        <f>TEXT(clean_data[[#This Row],[Date]],"mmm")</f>
        <v>Apr</v>
      </c>
      <c r="R552">
        <f>YEAR(clean_data[[#This Row],[Date]])</f>
        <v>2024</v>
      </c>
      <c r="S552" s="2">
        <f>clean_data[[#This Row],[Profit]]/clean_data[[#This Row],[Revenue]]</f>
        <v>0.55000000000000004</v>
      </c>
      <c r="T552" t="str" cm="1">
        <f t="array" ref="T552">_xlfn.IFS(clean_data[[#This Row],[Revenue]]&lt;300000,"Small",
     clean_data[[#This Row],[Revenue]]&lt;700000,"Medium",
     TRUE,"Large")</f>
        <v>Small</v>
      </c>
      <c r="U552" t="str" cm="1">
        <f t="array" ref="U552">_xlfn.IFS(clean_data[[#This Row],[profit margin%]]&lt;0.5,"Low Profit",
     clean_data[[#This Row],[profit margin%]]&lt;0.6,"Medium Profit",
     TRUE,"High Profit")</f>
        <v>Medium Profit</v>
      </c>
      <c r="V552" t="str">
        <f>TEXT(clean_data[[#This Row],[Date]],"mmm-yyyy")</f>
        <v>Apr-2024</v>
      </c>
      <c r="W552" s="8">
        <f>EOMONTH(clean_data[[#This Row],[Date]],-1)+1</f>
        <v>45383</v>
      </c>
    </row>
    <row r="553" spans="1:23" x14ac:dyDescent="0.3">
      <c r="A553" t="s">
        <v>625</v>
      </c>
      <c r="B553" s="1">
        <v>45402</v>
      </c>
      <c r="C553" t="s">
        <v>26</v>
      </c>
      <c r="D553" t="s">
        <v>69</v>
      </c>
      <c r="E553" t="s">
        <v>19</v>
      </c>
      <c r="F553" t="s">
        <v>33</v>
      </c>
      <c r="G553" t="s">
        <v>48</v>
      </c>
      <c r="H553">
        <v>35</v>
      </c>
      <c r="I553">
        <v>1500</v>
      </c>
      <c r="J553">
        <v>20</v>
      </c>
      <c r="K553">
        <v>42000</v>
      </c>
      <c r="L553">
        <v>21000</v>
      </c>
      <c r="M553">
        <v>21000</v>
      </c>
      <c r="N553" t="s">
        <v>30</v>
      </c>
      <c r="O553" t="s">
        <v>35</v>
      </c>
      <c r="P553" t="s">
        <v>24</v>
      </c>
      <c r="Q553" t="str">
        <f>TEXT(clean_data[[#This Row],[Date]],"mmm")</f>
        <v>Apr</v>
      </c>
      <c r="R553">
        <f>YEAR(clean_data[[#This Row],[Date]])</f>
        <v>2024</v>
      </c>
      <c r="S553" s="2">
        <f>clean_data[[#This Row],[Profit]]/clean_data[[#This Row],[Revenue]]</f>
        <v>0.5</v>
      </c>
      <c r="T553" t="str" cm="1">
        <f t="array" ref="T553">_xlfn.IFS(clean_data[[#This Row],[Revenue]]&lt;300000,"Small",
     clean_data[[#This Row],[Revenue]]&lt;700000,"Medium",
     TRUE,"Large")</f>
        <v>Small</v>
      </c>
      <c r="U553" t="str" cm="1">
        <f t="array" ref="U553">_xlfn.IFS(clean_data[[#This Row],[profit margin%]]&lt;0.5,"Low Profit",
     clean_data[[#This Row],[profit margin%]]&lt;0.6,"Medium Profit",
     TRUE,"High Profit")</f>
        <v>Medium Profit</v>
      </c>
      <c r="V553" t="str">
        <f>TEXT(clean_data[[#This Row],[Date]],"mmm-yyyy")</f>
        <v>Apr-2024</v>
      </c>
      <c r="W553" s="8">
        <f>EOMONTH(clean_data[[#This Row],[Date]],-1)+1</f>
        <v>45383</v>
      </c>
    </row>
    <row r="554" spans="1:23" x14ac:dyDescent="0.3">
      <c r="A554" t="s">
        <v>626</v>
      </c>
      <c r="B554" s="1">
        <v>45496</v>
      </c>
      <c r="C554" t="s">
        <v>17</v>
      </c>
      <c r="D554" t="s">
        <v>18</v>
      </c>
      <c r="E554" t="s">
        <v>38</v>
      </c>
      <c r="F554" t="s">
        <v>65</v>
      </c>
      <c r="G554" t="s">
        <v>117</v>
      </c>
      <c r="H554">
        <v>10</v>
      </c>
      <c r="I554">
        <v>1200</v>
      </c>
      <c r="J554">
        <v>20</v>
      </c>
      <c r="K554">
        <v>9600</v>
      </c>
      <c r="L554">
        <v>4320</v>
      </c>
      <c r="M554">
        <v>5280</v>
      </c>
      <c r="N554" t="s">
        <v>49</v>
      </c>
      <c r="O554" t="s">
        <v>67</v>
      </c>
      <c r="P554" t="s">
        <v>24</v>
      </c>
      <c r="Q554" t="str">
        <f>TEXT(clean_data[[#This Row],[Date]],"mmm")</f>
        <v>Jul</v>
      </c>
      <c r="R554">
        <f>YEAR(clean_data[[#This Row],[Date]])</f>
        <v>2024</v>
      </c>
      <c r="S554" s="2">
        <f>clean_data[[#This Row],[Profit]]/clean_data[[#This Row],[Revenue]]</f>
        <v>0.55000000000000004</v>
      </c>
      <c r="T554" t="str" cm="1">
        <f t="array" ref="T554">_xlfn.IFS(clean_data[[#This Row],[Revenue]]&lt;300000,"Small",
     clean_data[[#This Row],[Revenue]]&lt;700000,"Medium",
     TRUE,"Large")</f>
        <v>Small</v>
      </c>
      <c r="U554" t="str" cm="1">
        <f t="array" ref="U554">_xlfn.IFS(clean_data[[#This Row],[profit margin%]]&lt;0.5,"Low Profit",
     clean_data[[#This Row],[profit margin%]]&lt;0.6,"Medium Profit",
     TRUE,"High Profit")</f>
        <v>Medium Profit</v>
      </c>
      <c r="V554" t="str">
        <f>TEXT(clean_data[[#This Row],[Date]],"mmm-yyyy")</f>
        <v>Jul-2024</v>
      </c>
      <c r="W554" s="8">
        <f>EOMONTH(clean_data[[#This Row],[Date]],-1)+1</f>
        <v>45474</v>
      </c>
    </row>
    <row r="555" spans="1:23" x14ac:dyDescent="0.3">
      <c r="A555" t="s">
        <v>627</v>
      </c>
      <c r="B555" s="1">
        <v>44729</v>
      </c>
      <c r="C555" t="s">
        <v>26</v>
      </c>
      <c r="D555" t="s">
        <v>27</v>
      </c>
      <c r="E555" t="s">
        <v>60</v>
      </c>
      <c r="F555" t="s">
        <v>28</v>
      </c>
      <c r="G555" t="s">
        <v>29</v>
      </c>
      <c r="H555">
        <v>38</v>
      </c>
      <c r="I555">
        <v>15000</v>
      </c>
      <c r="J555">
        <v>10</v>
      </c>
      <c r="K555">
        <v>513000</v>
      </c>
      <c r="L555">
        <v>282150</v>
      </c>
      <c r="M555">
        <v>230850</v>
      </c>
      <c r="N555" t="s">
        <v>30</v>
      </c>
      <c r="O555" t="s">
        <v>50</v>
      </c>
      <c r="P555" t="s">
        <v>40</v>
      </c>
      <c r="Q555" t="str">
        <f>TEXT(clean_data[[#This Row],[Date]],"mmm")</f>
        <v>Jun</v>
      </c>
      <c r="R555">
        <f>YEAR(clean_data[[#This Row],[Date]])</f>
        <v>2022</v>
      </c>
      <c r="S555" s="2">
        <f>clean_data[[#This Row],[Profit]]/clean_data[[#This Row],[Revenue]]</f>
        <v>0.45</v>
      </c>
      <c r="T555" t="str" cm="1">
        <f t="array" ref="T555">_xlfn.IFS(clean_data[[#This Row],[Revenue]]&lt;300000,"Small",
     clean_data[[#This Row],[Revenue]]&lt;700000,"Medium",
     TRUE,"Large")</f>
        <v>Medium</v>
      </c>
      <c r="U555" t="str" cm="1">
        <f t="array" ref="U555">_xlfn.IFS(clean_data[[#This Row],[profit margin%]]&lt;0.5,"Low Profit",
     clean_data[[#This Row],[profit margin%]]&lt;0.6,"Medium Profit",
     TRUE,"High Profit")</f>
        <v>Low Profit</v>
      </c>
      <c r="V555" t="str">
        <f>TEXT(clean_data[[#This Row],[Date]],"mmm-yyyy")</f>
        <v>Jun-2022</v>
      </c>
      <c r="W555" s="8">
        <f>EOMONTH(clean_data[[#This Row],[Date]],-1)+1</f>
        <v>44713</v>
      </c>
    </row>
    <row r="556" spans="1:23" x14ac:dyDescent="0.3">
      <c r="A556" t="s">
        <v>628</v>
      </c>
      <c r="B556" s="1">
        <v>45621</v>
      </c>
      <c r="C556" t="s">
        <v>26</v>
      </c>
      <c r="D556" t="s">
        <v>69</v>
      </c>
      <c r="E556" t="s">
        <v>60</v>
      </c>
      <c r="F556" t="s">
        <v>65</v>
      </c>
      <c r="G556" t="s">
        <v>79</v>
      </c>
      <c r="H556">
        <v>47</v>
      </c>
      <c r="I556">
        <v>900</v>
      </c>
      <c r="J556">
        <v>10</v>
      </c>
      <c r="K556">
        <v>38070</v>
      </c>
      <c r="L556">
        <v>17131.5</v>
      </c>
      <c r="M556">
        <v>20938.5</v>
      </c>
      <c r="N556" t="s">
        <v>49</v>
      </c>
      <c r="O556" t="s">
        <v>50</v>
      </c>
      <c r="P556" t="s">
        <v>24</v>
      </c>
      <c r="Q556" t="str">
        <f>TEXT(clean_data[[#This Row],[Date]],"mmm")</f>
        <v>Nov</v>
      </c>
      <c r="R556">
        <f>YEAR(clean_data[[#This Row],[Date]])</f>
        <v>2024</v>
      </c>
      <c r="S556" s="2">
        <f>clean_data[[#This Row],[Profit]]/clean_data[[#This Row],[Revenue]]</f>
        <v>0.55000000000000004</v>
      </c>
      <c r="T556" t="str" cm="1">
        <f t="array" ref="T556">_xlfn.IFS(clean_data[[#This Row],[Revenue]]&lt;300000,"Small",
     clean_data[[#This Row],[Revenue]]&lt;700000,"Medium",
     TRUE,"Large")</f>
        <v>Small</v>
      </c>
      <c r="U556" t="str" cm="1">
        <f t="array" ref="U556">_xlfn.IFS(clean_data[[#This Row],[profit margin%]]&lt;0.5,"Low Profit",
     clean_data[[#This Row],[profit margin%]]&lt;0.6,"Medium Profit",
     TRUE,"High Profit")</f>
        <v>Medium Profit</v>
      </c>
      <c r="V556" t="str">
        <f>TEXT(clean_data[[#This Row],[Date]],"mmm-yyyy")</f>
        <v>Nov-2024</v>
      </c>
      <c r="W556" s="8">
        <f>EOMONTH(clean_data[[#This Row],[Date]],-1)+1</f>
        <v>45597</v>
      </c>
    </row>
    <row r="557" spans="1:23" x14ac:dyDescent="0.3">
      <c r="A557" t="s">
        <v>629</v>
      </c>
      <c r="B557" s="1">
        <v>45113</v>
      </c>
      <c r="C557" t="s">
        <v>26</v>
      </c>
      <c r="D557" t="s">
        <v>69</v>
      </c>
      <c r="E557" t="s">
        <v>38</v>
      </c>
      <c r="F557" t="s">
        <v>33</v>
      </c>
      <c r="G557" t="s">
        <v>39</v>
      </c>
      <c r="H557">
        <v>41</v>
      </c>
      <c r="I557">
        <v>5000</v>
      </c>
      <c r="J557">
        <v>15</v>
      </c>
      <c r="K557">
        <v>174250</v>
      </c>
      <c r="L557">
        <v>87125</v>
      </c>
      <c r="M557">
        <v>87125</v>
      </c>
      <c r="N557" t="s">
        <v>30</v>
      </c>
      <c r="O557" t="s">
        <v>67</v>
      </c>
      <c r="P557" t="s">
        <v>40</v>
      </c>
      <c r="Q557" t="str">
        <f>TEXT(clean_data[[#This Row],[Date]],"mmm")</f>
        <v>Jul</v>
      </c>
      <c r="R557">
        <f>YEAR(clean_data[[#This Row],[Date]])</f>
        <v>2023</v>
      </c>
      <c r="S557" s="2">
        <f>clean_data[[#This Row],[Profit]]/clean_data[[#This Row],[Revenue]]</f>
        <v>0.5</v>
      </c>
      <c r="T557" t="str" cm="1">
        <f t="array" ref="T557">_xlfn.IFS(clean_data[[#This Row],[Revenue]]&lt;300000,"Small",
     clean_data[[#This Row],[Revenue]]&lt;700000,"Medium",
     TRUE,"Large")</f>
        <v>Small</v>
      </c>
      <c r="U557" t="str" cm="1">
        <f t="array" ref="U557">_xlfn.IFS(clean_data[[#This Row],[profit margin%]]&lt;0.5,"Low Profit",
     clean_data[[#This Row],[profit margin%]]&lt;0.6,"Medium Profit",
     TRUE,"High Profit")</f>
        <v>Medium Profit</v>
      </c>
      <c r="V557" t="str">
        <f>TEXT(clean_data[[#This Row],[Date]],"mmm-yyyy")</f>
        <v>Jul-2023</v>
      </c>
      <c r="W557" s="8">
        <f>EOMONTH(clean_data[[#This Row],[Date]],-1)+1</f>
        <v>45108</v>
      </c>
    </row>
    <row r="558" spans="1:23" x14ac:dyDescent="0.3">
      <c r="A558" t="s">
        <v>630</v>
      </c>
      <c r="B558" s="1">
        <v>44673</v>
      </c>
      <c r="C558" t="s">
        <v>17</v>
      </c>
      <c r="D558" t="s">
        <v>42</v>
      </c>
      <c r="E558" t="s">
        <v>38</v>
      </c>
      <c r="F558" t="s">
        <v>28</v>
      </c>
      <c r="G558" t="s">
        <v>71</v>
      </c>
      <c r="H558">
        <v>32</v>
      </c>
      <c r="I558">
        <v>35000</v>
      </c>
      <c r="J558">
        <v>0</v>
      </c>
      <c r="K558">
        <v>1120000</v>
      </c>
      <c r="L558">
        <v>616000</v>
      </c>
      <c r="M558">
        <v>504000</v>
      </c>
      <c r="N558" t="s">
        <v>22</v>
      </c>
      <c r="O558" t="s">
        <v>35</v>
      </c>
      <c r="P558" t="s">
        <v>24</v>
      </c>
      <c r="Q558" t="str">
        <f>TEXT(clean_data[[#This Row],[Date]],"mmm")</f>
        <v>Apr</v>
      </c>
      <c r="R558">
        <f>YEAR(clean_data[[#This Row],[Date]])</f>
        <v>2022</v>
      </c>
      <c r="S558" s="2">
        <f>clean_data[[#This Row],[Profit]]/clean_data[[#This Row],[Revenue]]</f>
        <v>0.45</v>
      </c>
      <c r="T558" t="str" cm="1">
        <f t="array" ref="T558">_xlfn.IFS(clean_data[[#This Row],[Revenue]]&lt;300000,"Small",
     clean_data[[#This Row],[Revenue]]&lt;700000,"Medium",
     TRUE,"Large")</f>
        <v>Large</v>
      </c>
      <c r="U558" t="str" cm="1">
        <f t="array" ref="U558">_xlfn.IFS(clean_data[[#This Row],[profit margin%]]&lt;0.5,"Low Profit",
     clean_data[[#This Row],[profit margin%]]&lt;0.6,"Medium Profit",
     TRUE,"High Profit")</f>
        <v>Low Profit</v>
      </c>
      <c r="V558" t="str">
        <f>TEXT(clean_data[[#This Row],[Date]],"mmm-yyyy")</f>
        <v>Apr-2022</v>
      </c>
      <c r="W558" s="8">
        <f>EOMONTH(clean_data[[#This Row],[Date]],-1)+1</f>
        <v>44652</v>
      </c>
    </row>
    <row r="559" spans="1:23" x14ac:dyDescent="0.3">
      <c r="A559" t="s">
        <v>631</v>
      </c>
      <c r="B559" s="1">
        <v>45086</v>
      </c>
      <c r="C559" t="s">
        <v>46</v>
      </c>
      <c r="D559" t="s">
        <v>55</v>
      </c>
      <c r="E559" t="s">
        <v>73</v>
      </c>
      <c r="F559" t="s">
        <v>33</v>
      </c>
      <c r="G559" t="s">
        <v>39</v>
      </c>
      <c r="H559">
        <v>48</v>
      </c>
      <c r="I559">
        <v>5000</v>
      </c>
      <c r="J559">
        <v>0</v>
      </c>
      <c r="K559">
        <v>240000</v>
      </c>
      <c r="L559">
        <v>120000</v>
      </c>
      <c r="M559">
        <v>120000</v>
      </c>
      <c r="N559" t="s">
        <v>30</v>
      </c>
      <c r="O559" t="s">
        <v>67</v>
      </c>
      <c r="P559" t="s">
        <v>40</v>
      </c>
      <c r="Q559" t="str">
        <f>TEXT(clean_data[[#This Row],[Date]],"mmm")</f>
        <v>Jun</v>
      </c>
      <c r="R559">
        <f>YEAR(clean_data[[#This Row],[Date]])</f>
        <v>2023</v>
      </c>
      <c r="S559" s="2">
        <f>clean_data[[#This Row],[Profit]]/clean_data[[#This Row],[Revenue]]</f>
        <v>0.5</v>
      </c>
      <c r="T559" t="str" cm="1">
        <f t="array" ref="T559">_xlfn.IFS(clean_data[[#This Row],[Revenue]]&lt;300000,"Small",
     clean_data[[#This Row],[Revenue]]&lt;700000,"Medium",
     TRUE,"Large")</f>
        <v>Small</v>
      </c>
      <c r="U559" t="str" cm="1">
        <f t="array" ref="U559">_xlfn.IFS(clean_data[[#This Row],[profit margin%]]&lt;0.5,"Low Profit",
     clean_data[[#This Row],[profit margin%]]&lt;0.6,"Medium Profit",
     TRUE,"High Profit")</f>
        <v>Medium Profit</v>
      </c>
      <c r="V559" t="str">
        <f>TEXT(clean_data[[#This Row],[Date]],"mmm-yyyy")</f>
        <v>Jun-2023</v>
      </c>
      <c r="W559" s="8">
        <f>EOMONTH(clean_data[[#This Row],[Date]],-1)+1</f>
        <v>45078</v>
      </c>
    </row>
    <row r="560" spans="1:23" x14ac:dyDescent="0.3">
      <c r="A560" t="s">
        <v>632</v>
      </c>
      <c r="B560" s="1">
        <v>44856</v>
      </c>
      <c r="C560" t="s">
        <v>58</v>
      </c>
      <c r="D560" t="s">
        <v>59</v>
      </c>
      <c r="E560" t="s">
        <v>78</v>
      </c>
      <c r="F560" t="s">
        <v>33</v>
      </c>
      <c r="G560" t="s">
        <v>76</v>
      </c>
      <c r="H560">
        <v>32</v>
      </c>
      <c r="I560">
        <v>8500</v>
      </c>
      <c r="J560">
        <v>5</v>
      </c>
      <c r="K560">
        <v>258400</v>
      </c>
      <c r="L560">
        <v>129200</v>
      </c>
      <c r="M560">
        <v>129200</v>
      </c>
      <c r="N560" t="s">
        <v>30</v>
      </c>
      <c r="O560" t="s">
        <v>50</v>
      </c>
      <c r="P560" t="s">
        <v>40</v>
      </c>
      <c r="Q560" t="str">
        <f>TEXT(clean_data[[#This Row],[Date]],"mmm")</f>
        <v>Oct</v>
      </c>
      <c r="R560">
        <f>YEAR(clean_data[[#This Row],[Date]])</f>
        <v>2022</v>
      </c>
      <c r="S560" s="2">
        <f>clean_data[[#This Row],[Profit]]/clean_data[[#This Row],[Revenue]]</f>
        <v>0.5</v>
      </c>
      <c r="T560" t="str" cm="1">
        <f t="array" ref="T560">_xlfn.IFS(clean_data[[#This Row],[Revenue]]&lt;300000,"Small",
     clean_data[[#This Row],[Revenue]]&lt;700000,"Medium",
     TRUE,"Large")</f>
        <v>Small</v>
      </c>
      <c r="U560" t="str" cm="1">
        <f t="array" ref="U560">_xlfn.IFS(clean_data[[#This Row],[profit margin%]]&lt;0.5,"Low Profit",
     clean_data[[#This Row],[profit margin%]]&lt;0.6,"Medium Profit",
     TRUE,"High Profit")</f>
        <v>Medium Profit</v>
      </c>
      <c r="V560" t="str">
        <f>TEXT(clean_data[[#This Row],[Date]],"mmm-yyyy")</f>
        <v>Oct-2022</v>
      </c>
      <c r="W560" s="8">
        <f>EOMONTH(clean_data[[#This Row],[Date]],-1)+1</f>
        <v>44835</v>
      </c>
    </row>
    <row r="561" spans="1:23" x14ac:dyDescent="0.3">
      <c r="A561" t="s">
        <v>633</v>
      </c>
      <c r="B561" s="1">
        <v>44717</v>
      </c>
      <c r="C561" t="s">
        <v>46</v>
      </c>
      <c r="D561" t="s">
        <v>55</v>
      </c>
      <c r="E561" t="s">
        <v>32</v>
      </c>
      <c r="F561" t="s">
        <v>65</v>
      </c>
      <c r="G561" t="s">
        <v>104</v>
      </c>
      <c r="H561">
        <v>43</v>
      </c>
      <c r="I561">
        <v>3000</v>
      </c>
      <c r="J561">
        <v>15</v>
      </c>
      <c r="K561">
        <v>109650</v>
      </c>
      <c r="L561">
        <v>49342.5</v>
      </c>
      <c r="M561">
        <v>60307.5</v>
      </c>
      <c r="N561" t="s">
        <v>30</v>
      </c>
      <c r="O561" t="s">
        <v>67</v>
      </c>
      <c r="P561" t="s">
        <v>24</v>
      </c>
      <c r="Q561" t="str">
        <f>TEXT(clean_data[[#This Row],[Date]],"mmm")</f>
        <v>Jun</v>
      </c>
      <c r="R561">
        <f>YEAR(clean_data[[#This Row],[Date]])</f>
        <v>2022</v>
      </c>
      <c r="S561" s="2">
        <f>clean_data[[#This Row],[Profit]]/clean_data[[#This Row],[Revenue]]</f>
        <v>0.55000000000000004</v>
      </c>
      <c r="T561" t="str" cm="1">
        <f t="array" ref="T561">_xlfn.IFS(clean_data[[#This Row],[Revenue]]&lt;300000,"Small",
     clean_data[[#This Row],[Revenue]]&lt;700000,"Medium",
     TRUE,"Large")</f>
        <v>Small</v>
      </c>
      <c r="U561" t="str" cm="1">
        <f t="array" ref="U561">_xlfn.IFS(clean_data[[#This Row],[profit margin%]]&lt;0.5,"Low Profit",
     clean_data[[#This Row],[profit margin%]]&lt;0.6,"Medium Profit",
     TRUE,"High Profit")</f>
        <v>Medium Profit</v>
      </c>
      <c r="V561" t="str">
        <f>TEXT(clean_data[[#This Row],[Date]],"mmm-yyyy")</f>
        <v>Jun-2022</v>
      </c>
      <c r="W561" s="8">
        <f>EOMONTH(clean_data[[#This Row],[Date]],-1)+1</f>
        <v>44713</v>
      </c>
    </row>
    <row r="562" spans="1:23" x14ac:dyDescent="0.3">
      <c r="A562" t="s">
        <v>634</v>
      </c>
      <c r="B562" s="1">
        <v>45232</v>
      </c>
      <c r="C562" t="s">
        <v>17</v>
      </c>
      <c r="D562" t="s">
        <v>18</v>
      </c>
      <c r="E562" t="s">
        <v>56</v>
      </c>
      <c r="F562" t="s">
        <v>20</v>
      </c>
      <c r="G562" t="s">
        <v>115</v>
      </c>
      <c r="H562">
        <v>26</v>
      </c>
      <c r="I562">
        <v>2500</v>
      </c>
      <c r="J562">
        <v>15</v>
      </c>
      <c r="K562">
        <v>55250</v>
      </c>
      <c r="L562">
        <v>22100</v>
      </c>
      <c r="M562">
        <v>33150</v>
      </c>
      <c r="N562" t="s">
        <v>49</v>
      </c>
      <c r="O562" t="s">
        <v>67</v>
      </c>
      <c r="P562" t="s">
        <v>24</v>
      </c>
      <c r="Q562" t="str">
        <f>TEXT(clean_data[[#This Row],[Date]],"mmm")</f>
        <v>Nov</v>
      </c>
      <c r="R562">
        <f>YEAR(clean_data[[#This Row],[Date]])</f>
        <v>2023</v>
      </c>
      <c r="S562" s="2">
        <f>clean_data[[#This Row],[Profit]]/clean_data[[#This Row],[Revenue]]</f>
        <v>0.6</v>
      </c>
      <c r="T562" t="str" cm="1">
        <f t="array" ref="T562">_xlfn.IFS(clean_data[[#This Row],[Revenue]]&lt;300000,"Small",
     clean_data[[#This Row],[Revenue]]&lt;700000,"Medium",
     TRUE,"Large")</f>
        <v>Small</v>
      </c>
      <c r="U562" t="str" cm="1">
        <f t="array" ref="U562">_xlfn.IFS(clean_data[[#This Row],[profit margin%]]&lt;0.5,"Low Profit",
     clean_data[[#This Row],[profit margin%]]&lt;0.6,"Medium Profit",
     TRUE,"High Profit")</f>
        <v>High Profit</v>
      </c>
      <c r="V562" t="str">
        <f>TEXT(clean_data[[#This Row],[Date]],"mmm-yyyy")</f>
        <v>Nov-2023</v>
      </c>
      <c r="W562" s="8">
        <f>EOMONTH(clean_data[[#This Row],[Date]],-1)+1</f>
        <v>45231</v>
      </c>
    </row>
    <row r="563" spans="1:23" x14ac:dyDescent="0.3">
      <c r="A563" t="s">
        <v>635</v>
      </c>
      <c r="B563" s="1">
        <v>44998</v>
      </c>
      <c r="C563" t="s">
        <v>58</v>
      </c>
      <c r="D563" t="s">
        <v>59</v>
      </c>
      <c r="E563" t="s">
        <v>73</v>
      </c>
      <c r="F563" t="s">
        <v>20</v>
      </c>
      <c r="G563" t="s">
        <v>53</v>
      </c>
      <c r="H563">
        <v>28</v>
      </c>
      <c r="I563">
        <v>600</v>
      </c>
      <c r="J563">
        <v>0</v>
      </c>
      <c r="K563">
        <v>16800</v>
      </c>
      <c r="L563">
        <v>6720</v>
      </c>
      <c r="M563">
        <v>10080</v>
      </c>
      <c r="N563" t="s">
        <v>49</v>
      </c>
      <c r="O563" t="s">
        <v>23</v>
      </c>
      <c r="P563" t="s">
        <v>24</v>
      </c>
      <c r="Q563" t="str">
        <f>TEXT(clean_data[[#This Row],[Date]],"mmm")</f>
        <v>Mar</v>
      </c>
      <c r="R563">
        <f>YEAR(clean_data[[#This Row],[Date]])</f>
        <v>2023</v>
      </c>
      <c r="S563" s="2">
        <f>clean_data[[#This Row],[Profit]]/clean_data[[#This Row],[Revenue]]</f>
        <v>0.6</v>
      </c>
      <c r="T563" t="str" cm="1">
        <f t="array" ref="T563">_xlfn.IFS(clean_data[[#This Row],[Revenue]]&lt;300000,"Small",
     clean_data[[#This Row],[Revenue]]&lt;700000,"Medium",
     TRUE,"Large")</f>
        <v>Small</v>
      </c>
      <c r="U563" t="str" cm="1">
        <f t="array" ref="U563">_xlfn.IFS(clean_data[[#This Row],[profit margin%]]&lt;0.5,"Low Profit",
     clean_data[[#This Row],[profit margin%]]&lt;0.6,"Medium Profit",
     TRUE,"High Profit")</f>
        <v>High Profit</v>
      </c>
      <c r="V563" t="str">
        <f>TEXT(clean_data[[#This Row],[Date]],"mmm-yyyy")</f>
        <v>Mar-2023</v>
      </c>
      <c r="W563" s="8">
        <f>EOMONTH(clean_data[[#This Row],[Date]],-1)+1</f>
        <v>44986</v>
      </c>
    </row>
    <row r="564" spans="1:23" x14ac:dyDescent="0.3">
      <c r="A564" t="s">
        <v>636</v>
      </c>
      <c r="B564" s="1">
        <v>45186</v>
      </c>
      <c r="C564" t="s">
        <v>26</v>
      </c>
      <c r="D564" t="s">
        <v>27</v>
      </c>
      <c r="E564" t="s">
        <v>111</v>
      </c>
      <c r="F564" t="s">
        <v>33</v>
      </c>
      <c r="G564" t="s">
        <v>48</v>
      </c>
      <c r="H564">
        <v>40</v>
      </c>
      <c r="I564">
        <v>1500</v>
      </c>
      <c r="J564">
        <v>10</v>
      </c>
      <c r="K564">
        <v>54000</v>
      </c>
      <c r="L564">
        <v>27000</v>
      </c>
      <c r="M564">
        <v>27000</v>
      </c>
      <c r="N564" t="s">
        <v>49</v>
      </c>
      <c r="O564" t="s">
        <v>50</v>
      </c>
      <c r="P564" t="s">
        <v>24</v>
      </c>
      <c r="Q564" t="str">
        <f>TEXT(clean_data[[#This Row],[Date]],"mmm")</f>
        <v>Sep</v>
      </c>
      <c r="R564">
        <f>YEAR(clean_data[[#This Row],[Date]])</f>
        <v>2023</v>
      </c>
      <c r="S564" s="2">
        <f>clean_data[[#This Row],[Profit]]/clean_data[[#This Row],[Revenue]]</f>
        <v>0.5</v>
      </c>
      <c r="T564" t="str" cm="1">
        <f t="array" ref="T564">_xlfn.IFS(clean_data[[#This Row],[Revenue]]&lt;300000,"Small",
     clean_data[[#This Row],[Revenue]]&lt;700000,"Medium",
     TRUE,"Large")</f>
        <v>Small</v>
      </c>
      <c r="U564" t="str" cm="1">
        <f t="array" ref="U564">_xlfn.IFS(clean_data[[#This Row],[profit margin%]]&lt;0.5,"Low Profit",
     clean_data[[#This Row],[profit margin%]]&lt;0.6,"Medium Profit",
     TRUE,"High Profit")</f>
        <v>Medium Profit</v>
      </c>
      <c r="V564" t="str">
        <f>TEXT(clean_data[[#This Row],[Date]],"mmm-yyyy")</f>
        <v>Sep-2023</v>
      </c>
      <c r="W564" s="8">
        <f>EOMONTH(clean_data[[#This Row],[Date]],-1)+1</f>
        <v>45170</v>
      </c>
    </row>
    <row r="565" spans="1:23" x14ac:dyDescent="0.3">
      <c r="A565" t="s">
        <v>637</v>
      </c>
      <c r="B565" s="1">
        <v>44751</v>
      </c>
      <c r="C565" t="s">
        <v>58</v>
      </c>
      <c r="D565" t="s">
        <v>59</v>
      </c>
      <c r="E565" t="s">
        <v>19</v>
      </c>
      <c r="F565" t="s">
        <v>20</v>
      </c>
      <c r="G565" t="s">
        <v>53</v>
      </c>
      <c r="H565">
        <v>22</v>
      </c>
      <c r="I565">
        <v>600</v>
      </c>
      <c r="J565">
        <v>5</v>
      </c>
      <c r="K565">
        <v>12540</v>
      </c>
      <c r="L565">
        <v>5016</v>
      </c>
      <c r="M565">
        <v>7524</v>
      </c>
      <c r="N565" t="s">
        <v>22</v>
      </c>
      <c r="O565" t="s">
        <v>35</v>
      </c>
      <c r="P565" t="s">
        <v>24</v>
      </c>
      <c r="Q565" t="str">
        <f>TEXT(clean_data[[#This Row],[Date]],"mmm")</f>
        <v>Jul</v>
      </c>
      <c r="R565">
        <f>YEAR(clean_data[[#This Row],[Date]])</f>
        <v>2022</v>
      </c>
      <c r="S565" s="2">
        <f>clean_data[[#This Row],[Profit]]/clean_data[[#This Row],[Revenue]]</f>
        <v>0.6</v>
      </c>
      <c r="T565" t="str" cm="1">
        <f t="array" ref="T565">_xlfn.IFS(clean_data[[#This Row],[Revenue]]&lt;300000,"Small",
     clean_data[[#This Row],[Revenue]]&lt;700000,"Medium",
     TRUE,"Large")</f>
        <v>Small</v>
      </c>
      <c r="U565" t="str" cm="1">
        <f t="array" ref="U565">_xlfn.IFS(clean_data[[#This Row],[profit margin%]]&lt;0.5,"Low Profit",
     clean_data[[#This Row],[profit margin%]]&lt;0.6,"Medium Profit",
     TRUE,"High Profit")</f>
        <v>High Profit</v>
      </c>
      <c r="V565" t="str">
        <f>TEXT(clean_data[[#This Row],[Date]],"mmm-yyyy")</f>
        <v>Jul-2022</v>
      </c>
      <c r="W565" s="8">
        <f>EOMONTH(clean_data[[#This Row],[Date]],-1)+1</f>
        <v>44743</v>
      </c>
    </row>
    <row r="566" spans="1:23" x14ac:dyDescent="0.3">
      <c r="A566" t="s">
        <v>638</v>
      </c>
      <c r="B566" s="1">
        <v>44588</v>
      </c>
      <c r="C566" t="s">
        <v>26</v>
      </c>
      <c r="D566" t="s">
        <v>27</v>
      </c>
      <c r="E566" t="s">
        <v>32</v>
      </c>
      <c r="F566" t="s">
        <v>28</v>
      </c>
      <c r="G566" t="s">
        <v>29</v>
      </c>
      <c r="H566">
        <v>7</v>
      </c>
      <c r="I566">
        <v>15000</v>
      </c>
      <c r="J566">
        <v>15</v>
      </c>
      <c r="K566">
        <v>89250</v>
      </c>
      <c r="L566">
        <v>49087.5</v>
      </c>
      <c r="M566">
        <v>40162.5</v>
      </c>
      <c r="N566" t="s">
        <v>30</v>
      </c>
      <c r="O566" t="s">
        <v>50</v>
      </c>
      <c r="P566" t="s">
        <v>24</v>
      </c>
      <c r="Q566" t="str">
        <f>TEXT(clean_data[[#This Row],[Date]],"mmm")</f>
        <v>Jan</v>
      </c>
      <c r="R566">
        <f>YEAR(clean_data[[#This Row],[Date]])</f>
        <v>2022</v>
      </c>
      <c r="S566" s="2">
        <f>clean_data[[#This Row],[Profit]]/clean_data[[#This Row],[Revenue]]</f>
        <v>0.45</v>
      </c>
      <c r="T566" t="str" cm="1">
        <f t="array" ref="T566">_xlfn.IFS(clean_data[[#This Row],[Revenue]]&lt;300000,"Small",
     clean_data[[#This Row],[Revenue]]&lt;700000,"Medium",
     TRUE,"Large")</f>
        <v>Small</v>
      </c>
      <c r="U566" t="str" cm="1">
        <f t="array" ref="U566">_xlfn.IFS(clean_data[[#This Row],[profit margin%]]&lt;0.5,"Low Profit",
     clean_data[[#This Row],[profit margin%]]&lt;0.6,"Medium Profit",
     TRUE,"High Profit")</f>
        <v>Low Profit</v>
      </c>
      <c r="V566" t="str">
        <f>TEXT(clean_data[[#This Row],[Date]],"mmm-yyyy")</f>
        <v>Jan-2022</v>
      </c>
      <c r="W566" s="8">
        <f>EOMONTH(clean_data[[#This Row],[Date]],-1)+1</f>
        <v>44562</v>
      </c>
    </row>
    <row r="567" spans="1:23" x14ac:dyDescent="0.3">
      <c r="A567" t="s">
        <v>639</v>
      </c>
      <c r="B567" s="1">
        <v>45053</v>
      </c>
      <c r="C567" t="s">
        <v>26</v>
      </c>
      <c r="D567" t="s">
        <v>27</v>
      </c>
      <c r="E567" t="s">
        <v>38</v>
      </c>
      <c r="F567" t="s">
        <v>28</v>
      </c>
      <c r="G567" t="s">
        <v>95</v>
      </c>
      <c r="H567">
        <v>39</v>
      </c>
      <c r="I567">
        <v>75000</v>
      </c>
      <c r="J567">
        <v>5</v>
      </c>
      <c r="K567">
        <v>2778750</v>
      </c>
      <c r="L567">
        <v>1528312.5</v>
      </c>
      <c r="M567">
        <v>1250437.5</v>
      </c>
      <c r="N567" t="s">
        <v>22</v>
      </c>
      <c r="O567" t="s">
        <v>35</v>
      </c>
      <c r="P567" t="s">
        <v>40</v>
      </c>
      <c r="Q567" t="str">
        <f>TEXT(clean_data[[#This Row],[Date]],"mmm")</f>
        <v>May</v>
      </c>
      <c r="R567">
        <f>YEAR(clean_data[[#This Row],[Date]])</f>
        <v>2023</v>
      </c>
      <c r="S567" s="2">
        <f>clean_data[[#This Row],[Profit]]/clean_data[[#This Row],[Revenue]]</f>
        <v>0.45</v>
      </c>
      <c r="T567" t="str" cm="1">
        <f t="array" ref="T567">_xlfn.IFS(clean_data[[#This Row],[Revenue]]&lt;300000,"Small",
     clean_data[[#This Row],[Revenue]]&lt;700000,"Medium",
     TRUE,"Large")</f>
        <v>Large</v>
      </c>
      <c r="U567" t="str" cm="1">
        <f t="array" ref="U567">_xlfn.IFS(clean_data[[#This Row],[profit margin%]]&lt;0.5,"Low Profit",
     clean_data[[#This Row],[profit margin%]]&lt;0.6,"Medium Profit",
     TRUE,"High Profit")</f>
        <v>Low Profit</v>
      </c>
      <c r="V567" t="str">
        <f>TEXT(clean_data[[#This Row],[Date]],"mmm-yyyy")</f>
        <v>May-2023</v>
      </c>
      <c r="W567" s="8">
        <f>EOMONTH(clean_data[[#This Row],[Date]],-1)+1</f>
        <v>45047</v>
      </c>
    </row>
    <row r="568" spans="1:23" x14ac:dyDescent="0.3">
      <c r="A568" t="s">
        <v>640</v>
      </c>
      <c r="B568" s="1">
        <v>44776</v>
      </c>
      <c r="C568" t="s">
        <v>46</v>
      </c>
      <c r="D568" t="s">
        <v>55</v>
      </c>
      <c r="E568" t="s">
        <v>38</v>
      </c>
      <c r="F568" t="s">
        <v>20</v>
      </c>
      <c r="G568" t="s">
        <v>21</v>
      </c>
      <c r="H568">
        <v>45</v>
      </c>
      <c r="I568">
        <v>3500</v>
      </c>
      <c r="J568">
        <v>5</v>
      </c>
      <c r="K568">
        <v>149625</v>
      </c>
      <c r="L568">
        <v>59850</v>
      </c>
      <c r="M568">
        <v>89775</v>
      </c>
      <c r="N568" t="s">
        <v>49</v>
      </c>
      <c r="O568" t="s">
        <v>23</v>
      </c>
      <c r="P568" t="s">
        <v>24</v>
      </c>
      <c r="Q568" t="str">
        <f>TEXT(clean_data[[#This Row],[Date]],"mmm")</f>
        <v>Aug</v>
      </c>
      <c r="R568">
        <f>YEAR(clean_data[[#This Row],[Date]])</f>
        <v>2022</v>
      </c>
      <c r="S568" s="2">
        <f>clean_data[[#This Row],[Profit]]/clean_data[[#This Row],[Revenue]]</f>
        <v>0.6</v>
      </c>
      <c r="T568" t="str" cm="1">
        <f t="array" ref="T568">_xlfn.IFS(clean_data[[#This Row],[Revenue]]&lt;300000,"Small",
     clean_data[[#This Row],[Revenue]]&lt;700000,"Medium",
     TRUE,"Large")</f>
        <v>Small</v>
      </c>
      <c r="U568" t="str" cm="1">
        <f t="array" ref="U568">_xlfn.IFS(clean_data[[#This Row],[profit margin%]]&lt;0.5,"Low Profit",
     clean_data[[#This Row],[profit margin%]]&lt;0.6,"Medium Profit",
     TRUE,"High Profit")</f>
        <v>High Profit</v>
      </c>
      <c r="V568" t="str">
        <f>TEXT(clean_data[[#This Row],[Date]],"mmm-yyyy")</f>
        <v>Aug-2022</v>
      </c>
      <c r="W568" s="8">
        <f>EOMONTH(clean_data[[#This Row],[Date]],-1)+1</f>
        <v>44774</v>
      </c>
    </row>
    <row r="569" spans="1:23" x14ac:dyDescent="0.3">
      <c r="A569" t="s">
        <v>641</v>
      </c>
      <c r="B569" s="1">
        <v>44702</v>
      </c>
      <c r="C569" t="s">
        <v>58</v>
      </c>
      <c r="D569" t="s">
        <v>59</v>
      </c>
      <c r="E569" t="s">
        <v>32</v>
      </c>
      <c r="F569" t="s">
        <v>33</v>
      </c>
      <c r="G569" t="s">
        <v>34</v>
      </c>
      <c r="H569">
        <v>11</v>
      </c>
      <c r="I569">
        <v>25000</v>
      </c>
      <c r="J569">
        <v>0</v>
      </c>
      <c r="K569">
        <v>275000</v>
      </c>
      <c r="L569">
        <v>137500</v>
      </c>
      <c r="M569">
        <v>137500</v>
      </c>
      <c r="N569" t="s">
        <v>30</v>
      </c>
      <c r="O569" t="s">
        <v>23</v>
      </c>
      <c r="P569" t="s">
        <v>24</v>
      </c>
      <c r="Q569" t="str">
        <f>TEXT(clean_data[[#This Row],[Date]],"mmm")</f>
        <v>May</v>
      </c>
      <c r="R569">
        <f>YEAR(clean_data[[#This Row],[Date]])</f>
        <v>2022</v>
      </c>
      <c r="S569" s="2">
        <f>clean_data[[#This Row],[Profit]]/clean_data[[#This Row],[Revenue]]</f>
        <v>0.5</v>
      </c>
      <c r="T569" t="str" cm="1">
        <f t="array" ref="T569">_xlfn.IFS(clean_data[[#This Row],[Revenue]]&lt;300000,"Small",
     clean_data[[#This Row],[Revenue]]&lt;700000,"Medium",
     TRUE,"Large")</f>
        <v>Small</v>
      </c>
      <c r="U569" t="str" cm="1">
        <f t="array" ref="U569">_xlfn.IFS(clean_data[[#This Row],[profit margin%]]&lt;0.5,"Low Profit",
     clean_data[[#This Row],[profit margin%]]&lt;0.6,"Medium Profit",
     TRUE,"High Profit")</f>
        <v>Medium Profit</v>
      </c>
      <c r="V569" t="str">
        <f>TEXT(clean_data[[#This Row],[Date]],"mmm-yyyy")</f>
        <v>May-2022</v>
      </c>
      <c r="W569" s="8">
        <f>EOMONTH(clean_data[[#This Row],[Date]],-1)+1</f>
        <v>44682</v>
      </c>
    </row>
    <row r="570" spans="1:23" x14ac:dyDescent="0.3">
      <c r="A570" t="s">
        <v>642</v>
      </c>
      <c r="B570" s="1">
        <v>45302</v>
      </c>
      <c r="C570" t="s">
        <v>26</v>
      </c>
      <c r="D570" t="s">
        <v>69</v>
      </c>
      <c r="E570" t="s">
        <v>73</v>
      </c>
      <c r="F570" t="s">
        <v>20</v>
      </c>
      <c r="G570" t="s">
        <v>115</v>
      </c>
      <c r="H570">
        <v>5</v>
      </c>
      <c r="I570">
        <v>2500</v>
      </c>
      <c r="J570">
        <v>15</v>
      </c>
      <c r="K570">
        <v>10625</v>
      </c>
      <c r="L570">
        <v>4250</v>
      </c>
      <c r="M570">
        <v>6375</v>
      </c>
      <c r="N570" t="s">
        <v>22</v>
      </c>
      <c r="O570" t="s">
        <v>23</v>
      </c>
      <c r="P570" t="s">
        <v>24</v>
      </c>
      <c r="Q570" t="str">
        <f>TEXT(clean_data[[#This Row],[Date]],"mmm")</f>
        <v>Jan</v>
      </c>
      <c r="R570">
        <f>YEAR(clean_data[[#This Row],[Date]])</f>
        <v>2024</v>
      </c>
      <c r="S570" s="2">
        <f>clean_data[[#This Row],[Profit]]/clean_data[[#This Row],[Revenue]]</f>
        <v>0.6</v>
      </c>
      <c r="T570" t="str" cm="1">
        <f t="array" ref="T570">_xlfn.IFS(clean_data[[#This Row],[Revenue]]&lt;300000,"Small",
     clean_data[[#This Row],[Revenue]]&lt;700000,"Medium",
     TRUE,"Large")</f>
        <v>Small</v>
      </c>
      <c r="U570" t="str" cm="1">
        <f t="array" ref="U570">_xlfn.IFS(clean_data[[#This Row],[profit margin%]]&lt;0.5,"Low Profit",
     clean_data[[#This Row],[profit margin%]]&lt;0.6,"Medium Profit",
     TRUE,"High Profit")</f>
        <v>High Profit</v>
      </c>
      <c r="V570" t="str">
        <f>TEXT(clean_data[[#This Row],[Date]],"mmm-yyyy")</f>
        <v>Jan-2024</v>
      </c>
      <c r="W570" s="8">
        <f>EOMONTH(clean_data[[#This Row],[Date]],-1)+1</f>
        <v>45292</v>
      </c>
    </row>
    <row r="571" spans="1:23" x14ac:dyDescent="0.3">
      <c r="A571" t="s">
        <v>643</v>
      </c>
      <c r="B571" s="1">
        <v>44916</v>
      </c>
      <c r="C571" t="s">
        <v>58</v>
      </c>
      <c r="D571" t="s">
        <v>84</v>
      </c>
      <c r="E571" t="s">
        <v>78</v>
      </c>
      <c r="F571" t="s">
        <v>65</v>
      </c>
      <c r="G571" t="s">
        <v>104</v>
      </c>
      <c r="H571">
        <v>40</v>
      </c>
      <c r="I571">
        <v>3000</v>
      </c>
      <c r="J571">
        <v>0</v>
      </c>
      <c r="K571">
        <v>120000</v>
      </c>
      <c r="L571">
        <v>54000</v>
      </c>
      <c r="M571">
        <v>66000</v>
      </c>
      <c r="N571" t="s">
        <v>22</v>
      </c>
      <c r="O571" t="s">
        <v>50</v>
      </c>
      <c r="P571" t="s">
        <v>24</v>
      </c>
      <c r="Q571" t="str">
        <f>TEXT(clean_data[[#This Row],[Date]],"mmm")</f>
        <v>Dec</v>
      </c>
      <c r="R571">
        <f>YEAR(clean_data[[#This Row],[Date]])</f>
        <v>2022</v>
      </c>
      <c r="S571" s="2">
        <f>clean_data[[#This Row],[Profit]]/clean_data[[#This Row],[Revenue]]</f>
        <v>0.55000000000000004</v>
      </c>
      <c r="T571" t="str" cm="1">
        <f t="array" ref="T571">_xlfn.IFS(clean_data[[#This Row],[Revenue]]&lt;300000,"Small",
     clean_data[[#This Row],[Revenue]]&lt;700000,"Medium",
     TRUE,"Large")</f>
        <v>Small</v>
      </c>
      <c r="U571" t="str" cm="1">
        <f t="array" ref="U571">_xlfn.IFS(clean_data[[#This Row],[profit margin%]]&lt;0.5,"Low Profit",
     clean_data[[#This Row],[profit margin%]]&lt;0.6,"Medium Profit",
     TRUE,"High Profit")</f>
        <v>Medium Profit</v>
      </c>
      <c r="V571" t="str">
        <f>TEXT(clean_data[[#This Row],[Date]],"mmm-yyyy")</f>
        <v>Dec-2022</v>
      </c>
      <c r="W571" s="8">
        <f>EOMONTH(clean_data[[#This Row],[Date]],-1)+1</f>
        <v>44896</v>
      </c>
    </row>
    <row r="572" spans="1:23" x14ac:dyDescent="0.3">
      <c r="A572" t="s">
        <v>644</v>
      </c>
      <c r="B572" s="1">
        <v>44744</v>
      </c>
      <c r="C572" t="s">
        <v>26</v>
      </c>
      <c r="D572" t="s">
        <v>27</v>
      </c>
      <c r="E572" t="s">
        <v>38</v>
      </c>
      <c r="F572" t="s">
        <v>33</v>
      </c>
      <c r="G572" t="s">
        <v>48</v>
      </c>
      <c r="H572">
        <v>2</v>
      </c>
      <c r="I572">
        <v>1500</v>
      </c>
      <c r="J572">
        <v>15</v>
      </c>
      <c r="K572">
        <v>2550</v>
      </c>
      <c r="L572">
        <v>1275</v>
      </c>
      <c r="M572">
        <v>1275</v>
      </c>
      <c r="N572" t="s">
        <v>22</v>
      </c>
      <c r="O572" t="s">
        <v>35</v>
      </c>
      <c r="P572" t="s">
        <v>24</v>
      </c>
      <c r="Q572" t="str">
        <f>TEXT(clean_data[[#This Row],[Date]],"mmm")</f>
        <v>Jul</v>
      </c>
      <c r="R572">
        <f>YEAR(clean_data[[#This Row],[Date]])</f>
        <v>2022</v>
      </c>
      <c r="S572" s="2">
        <f>clean_data[[#This Row],[Profit]]/clean_data[[#This Row],[Revenue]]</f>
        <v>0.5</v>
      </c>
      <c r="T572" t="str" cm="1">
        <f t="array" ref="T572">_xlfn.IFS(clean_data[[#This Row],[Revenue]]&lt;300000,"Small",
     clean_data[[#This Row],[Revenue]]&lt;700000,"Medium",
     TRUE,"Large")</f>
        <v>Small</v>
      </c>
      <c r="U572" t="str" cm="1">
        <f t="array" ref="U572">_xlfn.IFS(clean_data[[#This Row],[profit margin%]]&lt;0.5,"Low Profit",
     clean_data[[#This Row],[profit margin%]]&lt;0.6,"Medium Profit",
     TRUE,"High Profit")</f>
        <v>Medium Profit</v>
      </c>
      <c r="V572" t="str">
        <f>TEXT(clean_data[[#This Row],[Date]],"mmm-yyyy")</f>
        <v>Jul-2022</v>
      </c>
      <c r="W572" s="8">
        <f>EOMONTH(clean_data[[#This Row],[Date]],-1)+1</f>
        <v>44743</v>
      </c>
    </row>
    <row r="573" spans="1:23" x14ac:dyDescent="0.3">
      <c r="A573" t="s">
        <v>645</v>
      </c>
      <c r="B573" s="1">
        <v>44642</v>
      </c>
      <c r="C573" t="s">
        <v>58</v>
      </c>
      <c r="D573" t="s">
        <v>59</v>
      </c>
      <c r="E573" t="s">
        <v>78</v>
      </c>
      <c r="F573" t="s">
        <v>33</v>
      </c>
      <c r="G573" t="s">
        <v>48</v>
      </c>
      <c r="H573">
        <v>37</v>
      </c>
      <c r="I573">
        <v>1500</v>
      </c>
      <c r="J573">
        <v>0</v>
      </c>
      <c r="K573">
        <v>55500</v>
      </c>
      <c r="L573">
        <v>27750</v>
      </c>
      <c r="M573">
        <v>27750</v>
      </c>
      <c r="N573" t="s">
        <v>22</v>
      </c>
      <c r="O573" t="s">
        <v>23</v>
      </c>
      <c r="P573" t="s">
        <v>40</v>
      </c>
      <c r="Q573" t="str">
        <f>TEXT(clean_data[[#This Row],[Date]],"mmm")</f>
        <v>Mar</v>
      </c>
      <c r="R573">
        <f>YEAR(clean_data[[#This Row],[Date]])</f>
        <v>2022</v>
      </c>
      <c r="S573" s="2">
        <f>clean_data[[#This Row],[Profit]]/clean_data[[#This Row],[Revenue]]</f>
        <v>0.5</v>
      </c>
      <c r="T573" t="str" cm="1">
        <f t="array" ref="T573">_xlfn.IFS(clean_data[[#This Row],[Revenue]]&lt;300000,"Small",
     clean_data[[#This Row],[Revenue]]&lt;700000,"Medium",
     TRUE,"Large")</f>
        <v>Small</v>
      </c>
      <c r="U573" t="str" cm="1">
        <f t="array" ref="U573">_xlfn.IFS(clean_data[[#This Row],[profit margin%]]&lt;0.5,"Low Profit",
     clean_data[[#This Row],[profit margin%]]&lt;0.6,"Medium Profit",
     TRUE,"High Profit")</f>
        <v>Medium Profit</v>
      </c>
      <c r="V573" t="str">
        <f>TEXT(clean_data[[#This Row],[Date]],"mmm-yyyy")</f>
        <v>Mar-2022</v>
      </c>
      <c r="W573" s="8">
        <f>EOMONTH(clean_data[[#This Row],[Date]],-1)+1</f>
        <v>44621</v>
      </c>
    </row>
    <row r="574" spans="1:23" x14ac:dyDescent="0.3">
      <c r="A574" t="s">
        <v>646</v>
      </c>
      <c r="B574" s="1">
        <v>45487</v>
      </c>
      <c r="C574" t="s">
        <v>58</v>
      </c>
      <c r="D574" t="s">
        <v>64</v>
      </c>
      <c r="E574" t="s">
        <v>52</v>
      </c>
      <c r="F574" t="s">
        <v>20</v>
      </c>
      <c r="G574" t="s">
        <v>21</v>
      </c>
      <c r="H574">
        <v>25</v>
      </c>
      <c r="I574">
        <v>3500</v>
      </c>
      <c r="J574">
        <v>15</v>
      </c>
      <c r="K574">
        <v>74375</v>
      </c>
      <c r="L574">
        <v>29750</v>
      </c>
      <c r="M574">
        <v>44625</v>
      </c>
      <c r="N574" t="s">
        <v>22</v>
      </c>
      <c r="O574" t="s">
        <v>67</v>
      </c>
      <c r="P574" t="s">
        <v>24</v>
      </c>
      <c r="Q574" t="str">
        <f>TEXT(clean_data[[#This Row],[Date]],"mmm")</f>
        <v>Jul</v>
      </c>
      <c r="R574">
        <f>YEAR(clean_data[[#This Row],[Date]])</f>
        <v>2024</v>
      </c>
      <c r="S574" s="2">
        <f>clean_data[[#This Row],[Profit]]/clean_data[[#This Row],[Revenue]]</f>
        <v>0.6</v>
      </c>
      <c r="T574" t="str" cm="1">
        <f t="array" ref="T574">_xlfn.IFS(clean_data[[#This Row],[Revenue]]&lt;300000,"Small",
     clean_data[[#This Row],[Revenue]]&lt;700000,"Medium",
     TRUE,"Large")</f>
        <v>Small</v>
      </c>
      <c r="U574" t="str" cm="1">
        <f t="array" ref="U574">_xlfn.IFS(clean_data[[#This Row],[profit margin%]]&lt;0.5,"Low Profit",
     clean_data[[#This Row],[profit margin%]]&lt;0.6,"Medium Profit",
     TRUE,"High Profit")</f>
        <v>High Profit</v>
      </c>
      <c r="V574" t="str">
        <f>TEXT(clean_data[[#This Row],[Date]],"mmm-yyyy")</f>
        <v>Jul-2024</v>
      </c>
      <c r="W574" s="8">
        <f>EOMONTH(clean_data[[#This Row],[Date]],-1)+1</f>
        <v>45474</v>
      </c>
    </row>
    <row r="575" spans="1:23" x14ac:dyDescent="0.3">
      <c r="A575" t="s">
        <v>647</v>
      </c>
      <c r="B575" s="1">
        <v>45241</v>
      </c>
      <c r="C575" t="s">
        <v>17</v>
      </c>
      <c r="D575" t="s">
        <v>37</v>
      </c>
      <c r="E575" t="s">
        <v>56</v>
      </c>
      <c r="F575" t="s">
        <v>28</v>
      </c>
      <c r="G575" t="s">
        <v>71</v>
      </c>
      <c r="H575">
        <v>35</v>
      </c>
      <c r="I575">
        <v>35000</v>
      </c>
      <c r="J575">
        <v>10</v>
      </c>
      <c r="K575">
        <v>1102500</v>
      </c>
      <c r="L575">
        <v>606375</v>
      </c>
      <c r="M575">
        <v>496125</v>
      </c>
      <c r="N575" t="s">
        <v>49</v>
      </c>
      <c r="O575" t="s">
        <v>50</v>
      </c>
      <c r="P575" t="s">
        <v>24</v>
      </c>
      <c r="Q575" t="str">
        <f>TEXT(clean_data[[#This Row],[Date]],"mmm")</f>
        <v>Nov</v>
      </c>
      <c r="R575">
        <f>YEAR(clean_data[[#This Row],[Date]])</f>
        <v>2023</v>
      </c>
      <c r="S575" s="2">
        <f>clean_data[[#This Row],[Profit]]/clean_data[[#This Row],[Revenue]]</f>
        <v>0.45</v>
      </c>
      <c r="T575" t="str" cm="1">
        <f t="array" ref="T575">_xlfn.IFS(clean_data[[#This Row],[Revenue]]&lt;300000,"Small",
     clean_data[[#This Row],[Revenue]]&lt;700000,"Medium",
     TRUE,"Large")</f>
        <v>Large</v>
      </c>
      <c r="U575" t="str" cm="1">
        <f t="array" ref="U575">_xlfn.IFS(clean_data[[#This Row],[profit margin%]]&lt;0.5,"Low Profit",
     clean_data[[#This Row],[profit margin%]]&lt;0.6,"Medium Profit",
     TRUE,"High Profit")</f>
        <v>Low Profit</v>
      </c>
      <c r="V575" t="str">
        <f>TEXT(clean_data[[#This Row],[Date]],"mmm-yyyy")</f>
        <v>Nov-2023</v>
      </c>
      <c r="W575" s="8">
        <f>EOMONTH(clean_data[[#This Row],[Date]],-1)+1</f>
        <v>45231</v>
      </c>
    </row>
    <row r="576" spans="1:23" x14ac:dyDescent="0.3">
      <c r="A576" t="s">
        <v>648</v>
      </c>
      <c r="B576" s="1">
        <v>44932</v>
      </c>
      <c r="C576" t="s">
        <v>26</v>
      </c>
      <c r="D576" t="s">
        <v>69</v>
      </c>
      <c r="E576" t="s">
        <v>19</v>
      </c>
      <c r="F576" t="s">
        <v>33</v>
      </c>
      <c r="G576" t="s">
        <v>48</v>
      </c>
      <c r="H576">
        <v>7</v>
      </c>
      <c r="I576">
        <v>1500</v>
      </c>
      <c r="J576">
        <v>10</v>
      </c>
      <c r="K576">
        <v>9450</v>
      </c>
      <c r="L576">
        <v>4725</v>
      </c>
      <c r="M576">
        <v>4725</v>
      </c>
      <c r="N576" t="s">
        <v>30</v>
      </c>
      <c r="O576" t="s">
        <v>23</v>
      </c>
      <c r="P576" t="s">
        <v>24</v>
      </c>
      <c r="Q576" t="str">
        <f>TEXT(clean_data[[#This Row],[Date]],"mmm")</f>
        <v>Jan</v>
      </c>
      <c r="R576">
        <f>YEAR(clean_data[[#This Row],[Date]])</f>
        <v>2023</v>
      </c>
      <c r="S576" s="2">
        <f>clean_data[[#This Row],[Profit]]/clean_data[[#This Row],[Revenue]]</f>
        <v>0.5</v>
      </c>
      <c r="T576" t="str" cm="1">
        <f t="array" ref="T576">_xlfn.IFS(clean_data[[#This Row],[Revenue]]&lt;300000,"Small",
     clean_data[[#This Row],[Revenue]]&lt;700000,"Medium",
     TRUE,"Large")</f>
        <v>Small</v>
      </c>
      <c r="U576" t="str" cm="1">
        <f t="array" ref="U576">_xlfn.IFS(clean_data[[#This Row],[profit margin%]]&lt;0.5,"Low Profit",
     clean_data[[#This Row],[profit margin%]]&lt;0.6,"Medium Profit",
     TRUE,"High Profit")</f>
        <v>Medium Profit</v>
      </c>
      <c r="V576" t="str">
        <f>TEXT(clean_data[[#This Row],[Date]],"mmm-yyyy")</f>
        <v>Jan-2023</v>
      </c>
      <c r="W576" s="8">
        <f>EOMONTH(clean_data[[#This Row],[Date]],-1)+1</f>
        <v>44927</v>
      </c>
    </row>
    <row r="577" spans="1:23" x14ac:dyDescent="0.3">
      <c r="A577" t="s">
        <v>649</v>
      </c>
      <c r="B577" s="1">
        <v>44931</v>
      </c>
      <c r="C577" t="s">
        <v>26</v>
      </c>
      <c r="D577" t="s">
        <v>27</v>
      </c>
      <c r="E577" t="s">
        <v>56</v>
      </c>
      <c r="F577" t="s">
        <v>20</v>
      </c>
      <c r="G577" t="s">
        <v>115</v>
      </c>
      <c r="H577">
        <v>25</v>
      </c>
      <c r="I577">
        <v>2500</v>
      </c>
      <c r="J577">
        <v>0</v>
      </c>
      <c r="K577">
        <v>62500</v>
      </c>
      <c r="L577">
        <v>25000</v>
      </c>
      <c r="M577">
        <v>37500</v>
      </c>
      <c r="N577" t="s">
        <v>22</v>
      </c>
      <c r="O577" t="s">
        <v>50</v>
      </c>
      <c r="P577" t="s">
        <v>40</v>
      </c>
      <c r="Q577" t="str">
        <f>TEXT(clean_data[[#This Row],[Date]],"mmm")</f>
        <v>Jan</v>
      </c>
      <c r="R577">
        <f>YEAR(clean_data[[#This Row],[Date]])</f>
        <v>2023</v>
      </c>
      <c r="S577" s="2">
        <f>clean_data[[#This Row],[Profit]]/clean_data[[#This Row],[Revenue]]</f>
        <v>0.6</v>
      </c>
      <c r="T577" t="str" cm="1">
        <f t="array" ref="T577">_xlfn.IFS(clean_data[[#This Row],[Revenue]]&lt;300000,"Small",
     clean_data[[#This Row],[Revenue]]&lt;700000,"Medium",
     TRUE,"Large")</f>
        <v>Small</v>
      </c>
      <c r="U577" t="str" cm="1">
        <f t="array" ref="U577">_xlfn.IFS(clean_data[[#This Row],[profit margin%]]&lt;0.5,"Low Profit",
     clean_data[[#This Row],[profit margin%]]&lt;0.6,"Medium Profit",
     TRUE,"High Profit")</f>
        <v>High Profit</v>
      </c>
      <c r="V577" t="str">
        <f>TEXT(clean_data[[#This Row],[Date]],"mmm-yyyy")</f>
        <v>Jan-2023</v>
      </c>
      <c r="W577" s="8">
        <f>EOMONTH(clean_data[[#This Row],[Date]],-1)+1</f>
        <v>44927</v>
      </c>
    </row>
    <row r="578" spans="1:23" x14ac:dyDescent="0.3">
      <c r="A578" t="s">
        <v>650</v>
      </c>
      <c r="B578" s="1">
        <v>45522</v>
      </c>
      <c r="C578" t="s">
        <v>58</v>
      </c>
      <c r="D578" t="s">
        <v>84</v>
      </c>
      <c r="E578" t="s">
        <v>56</v>
      </c>
      <c r="F578" t="s">
        <v>33</v>
      </c>
      <c r="G578" t="s">
        <v>39</v>
      </c>
      <c r="H578">
        <v>22</v>
      </c>
      <c r="I578">
        <v>5000</v>
      </c>
      <c r="J578">
        <v>0</v>
      </c>
      <c r="K578">
        <v>110000</v>
      </c>
      <c r="L578">
        <v>55000</v>
      </c>
      <c r="M578">
        <v>55000</v>
      </c>
      <c r="N578" t="s">
        <v>30</v>
      </c>
      <c r="O578" t="s">
        <v>44</v>
      </c>
      <c r="P578" t="s">
        <v>24</v>
      </c>
      <c r="Q578" t="str">
        <f>TEXT(clean_data[[#This Row],[Date]],"mmm")</f>
        <v>Aug</v>
      </c>
      <c r="R578">
        <f>YEAR(clean_data[[#This Row],[Date]])</f>
        <v>2024</v>
      </c>
      <c r="S578" s="2">
        <f>clean_data[[#This Row],[Profit]]/clean_data[[#This Row],[Revenue]]</f>
        <v>0.5</v>
      </c>
      <c r="T578" t="str" cm="1">
        <f t="array" ref="T578">_xlfn.IFS(clean_data[[#This Row],[Revenue]]&lt;300000,"Small",
     clean_data[[#This Row],[Revenue]]&lt;700000,"Medium",
     TRUE,"Large")</f>
        <v>Small</v>
      </c>
      <c r="U578" t="str" cm="1">
        <f t="array" ref="U578">_xlfn.IFS(clean_data[[#This Row],[profit margin%]]&lt;0.5,"Low Profit",
     clean_data[[#This Row],[profit margin%]]&lt;0.6,"Medium Profit",
     TRUE,"High Profit")</f>
        <v>Medium Profit</v>
      </c>
      <c r="V578" t="str">
        <f>TEXT(clean_data[[#This Row],[Date]],"mmm-yyyy")</f>
        <v>Aug-2024</v>
      </c>
      <c r="W578" s="8">
        <f>EOMONTH(clean_data[[#This Row],[Date]],-1)+1</f>
        <v>45505</v>
      </c>
    </row>
    <row r="579" spans="1:23" x14ac:dyDescent="0.3">
      <c r="A579" t="s">
        <v>651</v>
      </c>
      <c r="B579" s="1">
        <v>45580</v>
      </c>
      <c r="C579" t="s">
        <v>46</v>
      </c>
      <c r="D579" t="s">
        <v>47</v>
      </c>
      <c r="E579" t="s">
        <v>52</v>
      </c>
      <c r="F579" t="s">
        <v>28</v>
      </c>
      <c r="G579" t="s">
        <v>87</v>
      </c>
      <c r="H579">
        <v>32</v>
      </c>
      <c r="I579">
        <v>45000</v>
      </c>
      <c r="J579">
        <v>0</v>
      </c>
      <c r="K579">
        <v>1440000</v>
      </c>
      <c r="L579">
        <v>792000</v>
      </c>
      <c r="M579">
        <v>648000</v>
      </c>
      <c r="N579" t="s">
        <v>22</v>
      </c>
      <c r="O579" t="s">
        <v>35</v>
      </c>
      <c r="P579" t="s">
        <v>24</v>
      </c>
      <c r="Q579" t="str">
        <f>TEXT(clean_data[[#This Row],[Date]],"mmm")</f>
        <v>Oct</v>
      </c>
      <c r="R579">
        <f>YEAR(clean_data[[#This Row],[Date]])</f>
        <v>2024</v>
      </c>
      <c r="S579" s="2">
        <f>clean_data[[#This Row],[Profit]]/clean_data[[#This Row],[Revenue]]</f>
        <v>0.45</v>
      </c>
      <c r="T579" t="str" cm="1">
        <f t="array" ref="T579">_xlfn.IFS(clean_data[[#This Row],[Revenue]]&lt;300000,"Small",
     clean_data[[#This Row],[Revenue]]&lt;700000,"Medium",
     TRUE,"Large")</f>
        <v>Large</v>
      </c>
      <c r="U579" t="str" cm="1">
        <f t="array" ref="U579">_xlfn.IFS(clean_data[[#This Row],[profit margin%]]&lt;0.5,"Low Profit",
     clean_data[[#This Row],[profit margin%]]&lt;0.6,"Medium Profit",
     TRUE,"High Profit")</f>
        <v>Low Profit</v>
      </c>
      <c r="V579" t="str">
        <f>TEXT(clean_data[[#This Row],[Date]],"mmm-yyyy")</f>
        <v>Oct-2024</v>
      </c>
      <c r="W579" s="8">
        <f>EOMONTH(clean_data[[#This Row],[Date]],-1)+1</f>
        <v>45566</v>
      </c>
    </row>
    <row r="580" spans="1:23" x14ac:dyDescent="0.3">
      <c r="A580" t="s">
        <v>652</v>
      </c>
      <c r="B580" s="1">
        <v>45039</v>
      </c>
      <c r="C580" t="s">
        <v>46</v>
      </c>
      <c r="D580" t="s">
        <v>47</v>
      </c>
      <c r="E580" t="s">
        <v>78</v>
      </c>
      <c r="F580" t="s">
        <v>28</v>
      </c>
      <c r="G580" t="s">
        <v>71</v>
      </c>
      <c r="H580">
        <v>7</v>
      </c>
      <c r="I580">
        <v>35000</v>
      </c>
      <c r="J580">
        <v>15</v>
      </c>
      <c r="K580">
        <v>208250</v>
      </c>
      <c r="L580">
        <v>114537.5</v>
      </c>
      <c r="M580">
        <v>93712.5</v>
      </c>
      <c r="N580" t="s">
        <v>30</v>
      </c>
      <c r="O580" t="s">
        <v>67</v>
      </c>
      <c r="P580" t="s">
        <v>40</v>
      </c>
      <c r="Q580" t="str">
        <f>TEXT(clean_data[[#This Row],[Date]],"mmm")</f>
        <v>Apr</v>
      </c>
      <c r="R580">
        <f>YEAR(clean_data[[#This Row],[Date]])</f>
        <v>2023</v>
      </c>
      <c r="S580" s="2">
        <f>clean_data[[#This Row],[Profit]]/clean_data[[#This Row],[Revenue]]</f>
        <v>0.45</v>
      </c>
      <c r="T580" t="str" cm="1">
        <f t="array" ref="T580">_xlfn.IFS(clean_data[[#This Row],[Revenue]]&lt;300000,"Small",
     clean_data[[#This Row],[Revenue]]&lt;700000,"Medium",
     TRUE,"Large")</f>
        <v>Small</v>
      </c>
      <c r="U580" t="str" cm="1">
        <f t="array" ref="U580">_xlfn.IFS(clean_data[[#This Row],[profit margin%]]&lt;0.5,"Low Profit",
     clean_data[[#This Row],[profit margin%]]&lt;0.6,"Medium Profit",
     TRUE,"High Profit")</f>
        <v>Low Profit</v>
      </c>
      <c r="V580" t="str">
        <f>TEXT(clean_data[[#This Row],[Date]],"mmm-yyyy")</f>
        <v>Apr-2023</v>
      </c>
      <c r="W580" s="8">
        <f>EOMONTH(clean_data[[#This Row],[Date]],-1)+1</f>
        <v>45017</v>
      </c>
    </row>
    <row r="581" spans="1:23" x14ac:dyDescent="0.3">
      <c r="A581" t="s">
        <v>653</v>
      </c>
      <c r="B581" s="1">
        <v>44708</v>
      </c>
      <c r="C581" t="s">
        <v>26</v>
      </c>
      <c r="D581" t="s">
        <v>27</v>
      </c>
      <c r="E581" t="s">
        <v>60</v>
      </c>
      <c r="F581" t="s">
        <v>20</v>
      </c>
      <c r="G581" t="s">
        <v>21</v>
      </c>
      <c r="H581">
        <v>13</v>
      </c>
      <c r="I581">
        <v>3500</v>
      </c>
      <c r="J581">
        <v>15</v>
      </c>
      <c r="K581">
        <v>38675</v>
      </c>
      <c r="L581">
        <v>15470</v>
      </c>
      <c r="M581">
        <v>23205</v>
      </c>
      <c r="N581" t="s">
        <v>22</v>
      </c>
      <c r="O581" t="s">
        <v>23</v>
      </c>
      <c r="P581" t="s">
        <v>24</v>
      </c>
      <c r="Q581" t="str">
        <f>TEXT(clean_data[[#This Row],[Date]],"mmm")</f>
        <v>May</v>
      </c>
      <c r="R581">
        <f>YEAR(clean_data[[#This Row],[Date]])</f>
        <v>2022</v>
      </c>
      <c r="S581" s="2">
        <f>clean_data[[#This Row],[Profit]]/clean_data[[#This Row],[Revenue]]</f>
        <v>0.6</v>
      </c>
      <c r="T581" t="str" cm="1">
        <f t="array" ref="T581">_xlfn.IFS(clean_data[[#This Row],[Revenue]]&lt;300000,"Small",
     clean_data[[#This Row],[Revenue]]&lt;700000,"Medium",
     TRUE,"Large")</f>
        <v>Small</v>
      </c>
      <c r="U581" t="str" cm="1">
        <f t="array" ref="U581">_xlfn.IFS(clean_data[[#This Row],[profit margin%]]&lt;0.5,"Low Profit",
     clean_data[[#This Row],[profit margin%]]&lt;0.6,"Medium Profit",
     TRUE,"High Profit")</f>
        <v>High Profit</v>
      </c>
      <c r="V581" t="str">
        <f>TEXT(clean_data[[#This Row],[Date]],"mmm-yyyy")</f>
        <v>May-2022</v>
      </c>
      <c r="W581" s="8">
        <f>EOMONTH(clean_data[[#This Row],[Date]],-1)+1</f>
        <v>44682</v>
      </c>
    </row>
    <row r="582" spans="1:23" x14ac:dyDescent="0.3">
      <c r="A582" t="s">
        <v>654</v>
      </c>
      <c r="B582" s="1">
        <v>45173</v>
      </c>
      <c r="C582" t="s">
        <v>46</v>
      </c>
      <c r="D582" t="s">
        <v>55</v>
      </c>
      <c r="E582" t="s">
        <v>19</v>
      </c>
      <c r="F582" t="s">
        <v>28</v>
      </c>
      <c r="G582" t="s">
        <v>29</v>
      </c>
      <c r="H582">
        <v>12</v>
      </c>
      <c r="I582">
        <v>15000</v>
      </c>
      <c r="J582">
        <v>10</v>
      </c>
      <c r="K582">
        <v>162000</v>
      </c>
      <c r="L582">
        <v>89100</v>
      </c>
      <c r="M582">
        <v>72900</v>
      </c>
      <c r="N582" t="s">
        <v>30</v>
      </c>
      <c r="O582" t="s">
        <v>50</v>
      </c>
      <c r="P582" t="s">
        <v>24</v>
      </c>
      <c r="Q582" t="str">
        <f>TEXT(clean_data[[#This Row],[Date]],"mmm")</f>
        <v>Sep</v>
      </c>
      <c r="R582">
        <f>YEAR(clean_data[[#This Row],[Date]])</f>
        <v>2023</v>
      </c>
      <c r="S582" s="2">
        <f>clean_data[[#This Row],[Profit]]/clean_data[[#This Row],[Revenue]]</f>
        <v>0.45</v>
      </c>
      <c r="T582" t="str" cm="1">
        <f t="array" ref="T582">_xlfn.IFS(clean_data[[#This Row],[Revenue]]&lt;300000,"Small",
     clean_data[[#This Row],[Revenue]]&lt;700000,"Medium",
     TRUE,"Large")</f>
        <v>Small</v>
      </c>
      <c r="U582" t="str" cm="1">
        <f t="array" ref="U582">_xlfn.IFS(clean_data[[#This Row],[profit margin%]]&lt;0.5,"Low Profit",
     clean_data[[#This Row],[profit margin%]]&lt;0.6,"Medium Profit",
     TRUE,"High Profit")</f>
        <v>Low Profit</v>
      </c>
      <c r="V582" t="str">
        <f>TEXT(clean_data[[#This Row],[Date]],"mmm-yyyy")</f>
        <v>Sep-2023</v>
      </c>
      <c r="W582" s="8">
        <f>EOMONTH(clean_data[[#This Row],[Date]],-1)+1</f>
        <v>45170</v>
      </c>
    </row>
    <row r="583" spans="1:23" x14ac:dyDescent="0.3">
      <c r="A583" t="s">
        <v>655</v>
      </c>
      <c r="B583" s="1">
        <v>44859</v>
      </c>
      <c r="C583" t="s">
        <v>58</v>
      </c>
      <c r="D583" t="s">
        <v>84</v>
      </c>
      <c r="E583" t="s">
        <v>70</v>
      </c>
      <c r="F583" t="s">
        <v>20</v>
      </c>
      <c r="G583" t="s">
        <v>115</v>
      </c>
      <c r="H583">
        <v>16</v>
      </c>
      <c r="I583">
        <v>2500</v>
      </c>
      <c r="J583">
        <v>20</v>
      </c>
      <c r="K583">
        <v>32000</v>
      </c>
      <c r="L583">
        <v>12800</v>
      </c>
      <c r="M583">
        <v>19200</v>
      </c>
      <c r="N583" t="s">
        <v>30</v>
      </c>
      <c r="O583" t="s">
        <v>35</v>
      </c>
      <c r="P583" t="s">
        <v>24</v>
      </c>
      <c r="Q583" t="str">
        <f>TEXT(clean_data[[#This Row],[Date]],"mmm")</f>
        <v>Oct</v>
      </c>
      <c r="R583">
        <f>YEAR(clean_data[[#This Row],[Date]])</f>
        <v>2022</v>
      </c>
      <c r="S583" s="2">
        <f>clean_data[[#This Row],[Profit]]/clean_data[[#This Row],[Revenue]]</f>
        <v>0.6</v>
      </c>
      <c r="T583" t="str" cm="1">
        <f t="array" ref="T583">_xlfn.IFS(clean_data[[#This Row],[Revenue]]&lt;300000,"Small",
     clean_data[[#This Row],[Revenue]]&lt;700000,"Medium",
     TRUE,"Large")</f>
        <v>Small</v>
      </c>
      <c r="U583" t="str" cm="1">
        <f t="array" ref="U583">_xlfn.IFS(clean_data[[#This Row],[profit margin%]]&lt;0.5,"Low Profit",
     clean_data[[#This Row],[profit margin%]]&lt;0.6,"Medium Profit",
     TRUE,"High Profit")</f>
        <v>High Profit</v>
      </c>
      <c r="V583" t="str">
        <f>TEXT(clean_data[[#This Row],[Date]],"mmm-yyyy")</f>
        <v>Oct-2022</v>
      </c>
      <c r="W583" s="8">
        <f>EOMONTH(clean_data[[#This Row],[Date]],-1)+1</f>
        <v>44835</v>
      </c>
    </row>
    <row r="584" spans="1:23" x14ac:dyDescent="0.3">
      <c r="A584" t="s">
        <v>656</v>
      </c>
      <c r="B584" s="1">
        <v>45316</v>
      </c>
      <c r="C584" t="s">
        <v>46</v>
      </c>
      <c r="D584" t="s">
        <v>47</v>
      </c>
      <c r="E584" t="s">
        <v>60</v>
      </c>
      <c r="F584" t="s">
        <v>28</v>
      </c>
      <c r="G584" t="s">
        <v>95</v>
      </c>
      <c r="H584">
        <v>1</v>
      </c>
      <c r="I584">
        <v>75000</v>
      </c>
      <c r="J584">
        <v>5</v>
      </c>
      <c r="K584">
        <v>71250</v>
      </c>
      <c r="L584">
        <v>39187.5</v>
      </c>
      <c r="M584">
        <v>32062.5</v>
      </c>
      <c r="N584" t="s">
        <v>22</v>
      </c>
      <c r="O584" t="s">
        <v>67</v>
      </c>
      <c r="P584" t="s">
        <v>24</v>
      </c>
      <c r="Q584" t="str">
        <f>TEXT(clean_data[[#This Row],[Date]],"mmm")</f>
        <v>Jan</v>
      </c>
      <c r="R584">
        <f>YEAR(clean_data[[#This Row],[Date]])</f>
        <v>2024</v>
      </c>
      <c r="S584" s="2">
        <f>clean_data[[#This Row],[Profit]]/clean_data[[#This Row],[Revenue]]</f>
        <v>0.45</v>
      </c>
      <c r="T584" t="str" cm="1">
        <f t="array" ref="T584">_xlfn.IFS(clean_data[[#This Row],[Revenue]]&lt;300000,"Small",
     clean_data[[#This Row],[Revenue]]&lt;700000,"Medium",
     TRUE,"Large")</f>
        <v>Small</v>
      </c>
      <c r="U584" t="str" cm="1">
        <f t="array" ref="U584">_xlfn.IFS(clean_data[[#This Row],[profit margin%]]&lt;0.5,"Low Profit",
     clean_data[[#This Row],[profit margin%]]&lt;0.6,"Medium Profit",
     TRUE,"High Profit")</f>
        <v>Low Profit</v>
      </c>
      <c r="V584" t="str">
        <f>TEXT(clean_data[[#This Row],[Date]],"mmm-yyyy")</f>
        <v>Jan-2024</v>
      </c>
      <c r="W584" s="8">
        <f>EOMONTH(clean_data[[#This Row],[Date]],-1)+1</f>
        <v>45292</v>
      </c>
    </row>
    <row r="585" spans="1:23" x14ac:dyDescent="0.3">
      <c r="A585" t="s">
        <v>657</v>
      </c>
      <c r="B585" s="1">
        <v>45121</v>
      </c>
      <c r="C585" t="s">
        <v>58</v>
      </c>
      <c r="D585" t="s">
        <v>64</v>
      </c>
      <c r="E585" t="s">
        <v>78</v>
      </c>
      <c r="F585" t="s">
        <v>20</v>
      </c>
      <c r="G585" t="s">
        <v>74</v>
      </c>
      <c r="H585">
        <v>41</v>
      </c>
      <c r="I585">
        <v>4200</v>
      </c>
      <c r="J585">
        <v>10</v>
      </c>
      <c r="K585">
        <v>154980</v>
      </c>
      <c r="L585">
        <v>61992</v>
      </c>
      <c r="M585">
        <v>92988</v>
      </c>
      <c r="N585" t="s">
        <v>49</v>
      </c>
      <c r="O585" t="s">
        <v>23</v>
      </c>
      <c r="P585" t="s">
        <v>40</v>
      </c>
      <c r="Q585" t="str">
        <f>TEXT(clean_data[[#This Row],[Date]],"mmm")</f>
        <v>Jul</v>
      </c>
      <c r="R585">
        <f>YEAR(clean_data[[#This Row],[Date]])</f>
        <v>2023</v>
      </c>
      <c r="S585" s="2">
        <f>clean_data[[#This Row],[Profit]]/clean_data[[#This Row],[Revenue]]</f>
        <v>0.6</v>
      </c>
      <c r="T585" t="str" cm="1">
        <f t="array" ref="T585">_xlfn.IFS(clean_data[[#This Row],[Revenue]]&lt;300000,"Small",
     clean_data[[#This Row],[Revenue]]&lt;700000,"Medium",
     TRUE,"Large")</f>
        <v>Small</v>
      </c>
      <c r="U585" t="str" cm="1">
        <f t="array" ref="U585">_xlfn.IFS(clean_data[[#This Row],[profit margin%]]&lt;0.5,"Low Profit",
     clean_data[[#This Row],[profit margin%]]&lt;0.6,"Medium Profit",
     TRUE,"High Profit")</f>
        <v>High Profit</v>
      </c>
      <c r="V585" t="str">
        <f>TEXT(clean_data[[#This Row],[Date]],"mmm-yyyy")</f>
        <v>Jul-2023</v>
      </c>
      <c r="W585" s="8">
        <f>EOMONTH(clean_data[[#This Row],[Date]],-1)+1</f>
        <v>45108</v>
      </c>
    </row>
    <row r="586" spans="1:23" x14ac:dyDescent="0.3">
      <c r="A586" t="s">
        <v>658</v>
      </c>
      <c r="B586" s="1">
        <v>45022</v>
      </c>
      <c r="C586" t="s">
        <v>26</v>
      </c>
      <c r="D586" t="s">
        <v>27</v>
      </c>
      <c r="E586" t="s">
        <v>60</v>
      </c>
      <c r="F586" t="s">
        <v>28</v>
      </c>
      <c r="G586" t="s">
        <v>71</v>
      </c>
      <c r="H586">
        <v>23</v>
      </c>
      <c r="I586">
        <v>35000</v>
      </c>
      <c r="J586">
        <v>15</v>
      </c>
      <c r="K586">
        <v>684250</v>
      </c>
      <c r="L586">
        <v>376337.5</v>
      </c>
      <c r="M586">
        <v>307912.5</v>
      </c>
      <c r="N586" t="s">
        <v>22</v>
      </c>
      <c r="O586" t="s">
        <v>44</v>
      </c>
      <c r="P586" t="s">
        <v>24</v>
      </c>
      <c r="Q586" t="str">
        <f>TEXT(clean_data[[#This Row],[Date]],"mmm")</f>
        <v>Apr</v>
      </c>
      <c r="R586">
        <f>YEAR(clean_data[[#This Row],[Date]])</f>
        <v>2023</v>
      </c>
      <c r="S586" s="2">
        <f>clean_data[[#This Row],[Profit]]/clean_data[[#This Row],[Revenue]]</f>
        <v>0.45</v>
      </c>
      <c r="T586" t="str" cm="1">
        <f t="array" ref="T586">_xlfn.IFS(clean_data[[#This Row],[Revenue]]&lt;300000,"Small",
     clean_data[[#This Row],[Revenue]]&lt;700000,"Medium",
     TRUE,"Large")</f>
        <v>Medium</v>
      </c>
      <c r="U586" t="str" cm="1">
        <f t="array" ref="U586">_xlfn.IFS(clean_data[[#This Row],[profit margin%]]&lt;0.5,"Low Profit",
     clean_data[[#This Row],[profit margin%]]&lt;0.6,"Medium Profit",
     TRUE,"High Profit")</f>
        <v>Low Profit</v>
      </c>
      <c r="V586" t="str">
        <f>TEXT(clean_data[[#This Row],[Date]],"mmm-yyyy")</f>
        <v>Apr-2023</v>
      </c>
      <c r="W586" s="8">
        <f>EOMONTH(clean_data[[#This Row],[Date]],-1)+1</f>
        <v>45017</v>
      </c>
    </row>
    <row r="587" spans="1:23" x14ac:dyDescent="0.3">
      <c r="A587" t="s">
        <v>659</v>
      </c>
      <c r="B587" s="1">
        <v>44930</v>
      </c>
      <c r="C587" t="s">
        <v>26</v>
      </c>
      <c r="D587" t="s">
        <v>69</v>
      </c>
      <c r="E587" t="s">
        <v>111</v>
      </c>
      <c r="F587" t="s">
        <v>20</v>
      </c>
      <c r="G587" t="s">
        <v>115</v>
      </c>
      <c r="H587">
        <v>50</v>
      </c>
      <c r="I587">
        <v>2500</v>
      </c>
      <c r="J587">
        <v>5</v>
      </c>
      <c r="K587">
        <v>118750</v>
      </c>
      <c r="L587">
        <v>47500</v>
      </c>
      <c r="M587">
        <v>71250</v>
      </c>
      <c r="N587" t="s">
        <v>30</v>
      </c>
      <c r="O587" t="s">
        <v>44</v>
      </c>
      <c r="P587" t="s">
        <v>24</v>
      </c>
      <c r="Q587" t="str">
        <f>TEXT(clean_data[[#This Row],[Date]],"mmm")</f>
        <v>Jan</v>
      </c>
      <c r="R587">
        <f>YEAR(clean_data[[#This Row],[Date]])</f>
        <v>2023</v>
      </c>
      <c r="S587" s="2">
        <f>clean_data[[#This Row],[Profit]]/clean_data[[#This Row],[Revenue]]</f>
        <v>0.6</v>
      </c>
      <c r="T587" t="str" cm="1">
        <f t="array" ref="T587">_xlfn.IFS(clean_data[[#This Row],[Revenue]]&lt;300000,"Small",
     clean_data[[#This Row],[Revenue]]&lt;700000,"Medium",
     TRUE,"Large")</f>
        <v>Small</v>
      </c>
      <c r="U587" t="str" cm="1">
        <f t="array" ref="U587">_xlfn.IFS(clean_data[[#This Row],[profit margin%]]&lt;0.5,"Low Profit",
     clean_data[[#This Row],[profit margin%]]&lt;0.6,"Medium Profit",
     TRUE,"High Profit")</f>
        <v>High Profit</v>
      </c>
      <c r="V587" t="str">
        <f>TEXT(clean_data[[#This Row],[Date]],"mmm-yyyy")</f>
        <v>Jan-2023</v>
      </c>
      <c r="W587" s="8">
        <f>EOMONTH(clean_data[[#This Row],[Date]],-1)+1</f>
        <v>44927</v>
      </c>
    </row>
    <row r="588" spans="1:23" x14ac:dyDescent="0.3">
      <c r="A588" t="s">
        <v>660</v>
      </c>
      <c r="B588" s="1">
        <v>44799</v>
      </c>
      <c r="C588" t="s">
        <v>46</v>
      </c>
      <c r="D588" t="s">
        <v>55</v>
      </c>
      <c r="E588" t="s">
        <v>60</v>
      </c>
      <c r="F588" t="s">
        <v>20</v>
      </c>
      <c r="G588" t="s">
        <v>74</v>
      </c>
      <c r="H588">
        <v>43</v>
      </c>
      <c r="I588">
        <v>4200</v>
      </c>
      <c r="J588">
        <v>0</v>
      </c>
      <c r="K588">
        <v>180600</v>
      </c>
      <c r="L588">
        <v>72240</v>
      </c>
      <c r="M588">
        <v>108360</v>
      </c>
      <c r="N588" t="s">
        <v>22</v>
      </c>
      <c r="O588" t="s">
        <v>50</v>
      </c>
      <c r="P588" t="s">
        <v>24</v>
      </c>
      <c r="Q588" t="str">
        <f>TEXT(clean_data[[#This Row],[Date]],"mmm")</f>
        <v>Aug</v>
      </c>
      <c r="R588">
        <f>YEAR(clean_data[[#This Row],[Date]])</f>
        <v>2022</v>
      </c>
      <c r="S588" s="2">
        <f>clean_data[[#This Row],[Profit]]/clean_data[[#This Row],[Revenue]]</f>
        <v>0.6</v>
      </c>
      <c r="T588" t="str" cm="1">
        <f t="array" ref="T588">_xlfn.IFS(clean_data[[#This Row],[Revenue]]&lt;300000,"Small",
     clean_data[[#This Row],[Revenue]]&lt;700000,"Medium",
     TRUE,"Large")</f>
        <v>Small</v>
      </c>
      <c r="U588" t="str" cm="1">
        <f t="array" ref="U588">_xlfn.IFS(clean_data[[#This Row],[profit margin%]]&lt;0.5,"Low Profit",
     clean_data[[#This Row],[profit margin%]]&lt;0.6,"Medium Profit",
     TRUE,"High Profit")</f>
        <v>High Profit</v>
      </c>
      <c r="V588" t="str">
        <f>TEXT(clean_data[[#This Row],[Date]],"mmm-yyyy")</f>
        <v>Aug-2022</v>
      </c>
      <c r="W588" s="8">
        <f>EOMONTH(clean_data[[#This Row],[Date]],-1)+1</f>
        <v>44774</v>
      </c>
    </row>
    <row r="589" spans="1:23" x14ac:dyDescent="0.3">
      <c r="A589" t="s">
        <v>661</v>
      </c>
      <c r="B589" s="1">
        <v>45114</v>
      </c>
      <c r="C589" t="s">
        <v>58</v>
      </c>
      <c r="D589" t="s">
        <v>59</v>
      </c>
      <c r="E589" t="s">
        <v>70</v>
      </c>
      <c r="F589" t="s">
        <v>65</v>
      </c>
      <c r="G589" t="s">
        <v>117</v>
      </c>
      <c r="H589">
        <v>7</v>
      </c>
      <c r="I589">
        <v>1200</v>
      </c>
      <c r="J589">
        <v>0</v>
      </c>
      <c r="K589">
        <v>8400</v>
      </c>
      <c r="L589">
        <v>3780</v>
      </c>
      <c r="M589">
        <v>4620</v>
      </c>
      <c r="N589" t="s">
        <v>30</v>
      </c>
      <c r="O589" t="s">
        <v>44</v>
      </c>
      <c r="P589" t="s">
        <v>40</v>
      </c>
      <c r="Q589" t="str">
        <f>TEXT(clean_data[[#This Row],[Date]],"mmm")</f>
        <v>Jul</v>
      </c>
      <c r="R589">
        <f>YEAR(clean_data[[#This Row],[Date]])</f>
        <v>2023</v>
      </c>
      <c r="S589" s="2">
        <f>clean_data[[#This Row],[Profit]]/clean_data[[#This Row],[Revenue]]</f>
        <v>0.55000000000000004</v>
      </c>
      <c r="T589" t="str" cm="1">
        <f t="array" ref="T589">_xlfn.IFS(clean_data[[#This Row],[Revenue]]&lt;300000,"Small",
     clean_data[[#This Row],[Revenue]]&lt;700000,"Medium",
     TRUE,"Large")</f>
        <v>Small</v>
      </c>
      <c r="U589" t="str" cm="1">
        <f t="array" ref="U589">_xlfn.IFS(clean_data[[#This Row],[profit margin%]]&lt;0.5,"Low Profit",
     clean_data[[#This Row],[profit margin%]]&lt;0.6,"Medium Profit",
     TRUE,"High Profit")</f>
        <v>Medium Profit</v>
      </c>
      <c r="V589" t="str">
        <f>TEXT(clean_data[[#This Row],[Date]],"mmm-yyyy")</f>
        <v>Jul-2023</v>
      </c>
      <c r="W589" s="8">
        <f>EOMONTH(clean_data[[#This Row],[Date]],-1)+1</f>
        <v>45108</v>
      </c>
    </row>
    <row r="590" spans="1:23" x14ac:dyDescent="0.3">
      <c r="A590" t="s">
        <v>662</v>
      </c>
      <c r="B590" s="1">
        <v>44608</v>
      </c>
      <c r="C590" t="s">
        <v>26</v>
      </c>
      <c r="D590" t="s">
        <v>27</v>
      </c>
      <c r="E590" t="s">
        <v>19</v>
      </c>
      <c r="F590" t="s">
        <v>65</v>
      </c>
      <c r="G590" t="s">
        <v>79</v>
      </c>
      <c r="H590">
        <v>38</v>
      </c>
      <c r="I590">
        <v>900</v>
      </c>
      <c r="J590">
        <v>10</v>
      </c>
      <c r="K590">
        <v>30780</v>
      </c>
      <c r="L590">
        <v>13851</v>
      </c>
      <c r="M590">
        <v>16929</v>
      </c>
      <c r="N590" t="s">
        <v>30</v>
      </c>
      <c r="O590" t="s">
        <v>50</v>
      </c>
      <c r="P590" t="s">
        <v>24</v>
      </c>
      <c r="Q590" t="str">
        <f>TEXT(clean_data[[#This Row],[Date]],"mmm")</f>
        <v>Feb</v>
      </c>
      <c r="R590">
        <f>YEAR(clean_data[[#This Row],[Date]])</f>
        <v>2022</v>
      </c>
      <c r="S590" s="2">
        <f>clean_data[[#This Row],[Profit]]/clean_data[[#This Row],[Revenue]]</f>
        <v>0.55000000000000004</v>
      </c>
      <c r="T590" t="str" cm="1">
        <f t="array" ref="T590">_xlfn.IFS(clean_data[[#This Row],[Revenue]]&lt;300000,"Small",
     clean_data[[#This Row],[Revenue]]&lt;700000,"Medium",
     TRUE,"Large")</f>
        <v>Small</v>
      </c>
      <c r="U590" t="str" cm="1">
        <f t="array" ref="U590">_xlfn.IFS(clean_data[[#This Row],[profit margin%]]&lt;0.5,"Low Profit",
     clean_data[[#This Row],[profit margin%]]&lt;0.6,"Medium Profit",
     TRUE,"High Profit")</f>
        <v>Medium Profit</v>
      </c>
      <c r="V590" t="str">
        <f>TEXT(clean_data[[#This Row],[Date]],"mmm-yyyy")</f>
        <v>Feb-2022</v>
      </c>
      <c r="W590" s="8">
        <f>EOMONTH(clean_data[[#This Row],[Date]],-1)+1</f>
        <v>44593</v>
      </c>
    </row>
    <row r="591" spans="1:23" x14ac:dyDescent="0.3">
      <c r="A591" t="s">
        <v>663</v>
      </c>
      <c r="B591" s="1">
        <v>45010</v>
      </c>
      <c r="C591" t="s">
        <v>26</v>
      </c>
      <c r="D591" t="s">
        <v>69</v>
      </c>
      <c r="E591" t="s">
        <v>19</v>
      </c>
      <c r="F591" t="s">
        <v>28</v>
      </c>
      <c r="G591" t="s">
        <v>87</v>
      </c>
      <c r="H591">
        <v>48</v>
      </c>
      <c r="I591">
        <v>45000</v>
      </c>
      <c r="J591">
        <v>15</v>
      </c>
      <c r="K591">
        <v>1836000</v>
      </c>
      <c r="L591">
        <v>1009800</v>
      </c>
      <c r="M591">
        <v>826200</v>
      </c>
      <c r="N591" t="s">
        <v>49</v>
      </c>
      <c r="O591" t="s">
        <v>44</v>
      </c>
      <c r="P591" t="s">
        <v>24</v>
      </c>
      <c r="Q591" t="str">
        <f>TEXT(clean_data[[#This Row],[Date]],"mmm")</f>
        <v>Mar</v>
      </c>
      <c r="R591">
        <f>YEAR(clean_data[[#This Row],[Date]])</f>
        <v>2023</v>
      </c>
      <c r="S591" s="2">
        <f>clean_data[[#This Row],[Profit]]/clean_data[[#This Row],[Revenue]]</f>
        <v>0.45</v>
      </c>
      <c r="T591" t="str" cm="1">
        <f t="array" ref="T591">_xlfn.IFS(clean_data[[#This Row],[Revenue]]&lt;300000,"Small",
     clean_data[[#This Row],[Revenue]]&lt;700000,"Medium",
     TRUE,"Large")</f>
        <v>Large</v>
      </c>
      <c r="U591" t="str" cm="1">
        <f t="array" ref="U591">_xlfn.IFS(clean_data[[#This Row],[profit margin%]]&lt;0.5,"Low Profit",
     clean_data[[#This Row],[profit margin%]]&lt;0.6,"Medium Profit",
     TRUE,"High Profit")</f>
        <v>Low Profit</v>
      </c>
      <c r="V591" t="str">
        <f>TEXT(clean_data[[#This Row],[Date]],"mmm-yyyy")</f>
        <v>Mar-2023</v>
      </c>
      <c r="W591" s="8">
        <f>EOMONTH(clean_data[[#This Row],[Date]],-1)+1</f>
        <v>44986</v>
      </c>
    </row>
    <row r="592" spans="1:23" x14ac:dyDescent="0.3">
      <c r="A592" t="s">
        <v>664</v>
      </c>
      <c r="B592" s="1">
        <v>44697</v>
      </c>
      <c r="C592" t="s">
        <v>58</v>
      </c>
      <c r="D592" t="s">
        <v>84</v>
      </c>
      <c r="E592" t="s">
        <v>32</v>
      </c>
      <c r="F592" t="s">
        <v>20</v>
      </c>
      <c r="G592" t="s">
        <v>74</v>
      </c>
      <c r="H592">
        <v>40</v>
      </c>
      <c r="I592">
        <v>4200</v>
      </c>
      <c r="J592">
        <v>15</v>
      </c>
      <c r="K592">
        <v>142800</v>
      </c>
      <c r="L592">
        <v>57120</v>
      </c>
      <c r="M592">
        <v>85680</v>
      </c>
      <c r="N592" t="s">
        <v>49</v>
      </c>
      <c r="O592" t="s">
        <v>50</v>
      </c>
      <c r="P592" t="s">
        <v>24</v>
      </c>
      <c r="Q592" t="str">
        <f>TEXT(clean_data[[#This Row],[Date]],"mmm")</f>
        <v>May</v>
      </c>
      <c r="R592">
        <f>YEAR(clean_data[[#This Row],[Date]])</f>
        <v>2022</v>
      </c>
      <c r="S592" s="2">
        <f>clean_data[[#This Row],[Profit]]/clean_data[[#This Row],[Revenue]]</f>
        <v>0.6</v>
      </c>
      <c r="T592" t="str" cm="1">
        <f t="array" ref="T592">_xlfn.IFS(clean_data[[#This Row],[Revenue]]&lt;300000,"Small",
     clean_data[[#This Row],[Revenue]]&lt;700000,"Medium",
     TRUE,"Large")</f>
        <v>Small</v>
      </c>
      <c r="U592" t="str" cm="1">
        <f t="array" ref="U592">_xlfn.IFS(clean_data[[#This Row],[profit margin%]]&lt;0.5,"Low Profit",
     clean_data[[#This Row],[profit margin%]]&lt;0.6,"Medium Profit",
     TRUE,"High Profit")</f>
        <v>High Profit</v>
      </c>
      <c r="V592" t="str">
        <f>TEXT(clean_data[[#This Row],[Date]],"mmm-yyyy")</f>
        <v>May-2022</v>
      </c>
      <c r="W592" s="8">
        <f>EOMONTH(clean_data[[#This Row],[Date]],-1)+1</f>
        <v>44682</v>
      </c>
    </row>
    <row r="593" spans="1:23" x14ac:dyDescent="0.3">
      <c r="A593" t="s">
        <v>665</v>
      </c>
      <c r="B593" s="1">
        <v>44819</v>
      </c>
      <c r="C593" t="s">
        <v>46</v>
      </c>
      <c r="D593" t="s">
        <v>55</v>
      </c>
      <c r="E593" t="s">
        <v>73</v>
      </c>
      <c r="F593" t="s">
        <v>20</v>
      </c>
      <c r="G593" t="s">
        <v>61</v>
      </c>
      <c r="H593">
        <v>9</v>
      </c>
      <c r="I593">
        <v>800</v>
      </c>
      <c r="J593">
        <v>0</v>
      </c>
      <c r="K593">
        <v>7200</v>
      </c>
      <c r="L593">
        <v>2880</v>
      </c>
      <c r="M593">
        <v>4320</v>
      </c>
      <c r="N593" t="s">
        <v>30</v>
      </c>
      <c r="O593" t="s">
        <v>50</v>
      </c>
      <c r="P593" t="s">
        <v>40</v>
      </c>
      <c r="Q593" t="str">
        <f>TEXT(clean_data[[#This Row],[Date]],"mmm")</f>
        <v>Sep</v>
      </c>
      <c r="R593">
        <f>YEAR(clean_data[[#This Row],[Date]])</f>
        <v>2022</v>
      </c>
      <c r="S593" s="2">
        <f>clean_data[[#This Row],[Profit]]/clean_data[[#This Row],[Revenue]]</f>
        <v>0.6</v>
      </c>
      <c r="T593" t="str" cm="1">
        <f t="array" ref="T593">_xlfn.IFS(clean_data[[#This Row],[Revenue]]&lt;300000,"Small",
     clean_data[[#This Row],[Revenue]]&lt;700000,"Medium",
     TRUE,"Large")</f>
        <v>Small</v>
      </c>
      <c r="U593" t="str" cm="1">
        <f t="array" ref="U593">_xlfn.IFS(clean_data[[#This Row],[profit margin%]]&lt;0.5,"Low Profit",
     clean_data[[#This Row],[profit margin%]]&lt;0.6,"Medium Profit",
     TRUE,"High Profit")</f>
        <v>High Profit</v>
      </c>
      <c r="V593" t="str">
        <f>TEXT(clean_data[[#This Row],[Date]],"mmm-yyyy")</f>
        <v>Sep-2022</v>
      </c>
      <c r="W593" s="8">
        <f>EOMONTH(clean_data[[#This Row],[Date]],-1)+1</f>
        <v>44805</v>
      </c>
    </row>
    <row r="594" spans="1:23" x14ac:dyDescent="0.3">
      <c r="A594" t="s">
        <v>666</v>
      </c>
      <c r="B594" s="1">
        <v>44808</v>
      </c>
      <c r="C594" t="s">
        <v>58</v>
      </c>
      <c r="D594" t="s">
        <v>59</v>
      </c>
      <c r="E594" t="s">
        <v>32</v>
      </c>
      <c r="F594" t="s">
        <v>20</v>
      </c>
      <c r="G594" t="s">
        <v>61</v>
      </c>
      <c r="H594">
        <v>15</v>
      </c>
      <c r="I594">
        <v>800</v>
      </c>
      <c r="J594">
        <v>10</v>
      </c>
      <c r="K594">
        <v>10800</v>
      </c>
      <c r="L594">
        <v>4320</v>
      </c>
      <c r="M594">
        <v>6480</v>
      </c>
      <c r="N594" t="s">
        <v>30</v>
      </c>
      <c r="O594" t="s">
        <v>67</v>
      </c>
      <c r="P594" t="s">
        <v>40</v>
      </c>
      <c r="Q594" t="str">
        <f>TEXT(clean_data[[#This Row],[Date]],"mmm")</f>
        <v>Sep</v>
      </c>
      <c r="R594">
        <f>YEAR(clean_data[[#This Row],[Date]])</f>
        <v>2022</v>
      </c>
      <c r="S594" s="2">
        <f>clean_data[[#This Row],[Profit]]/clean_data[[#This Row],[Revenue]]</f>
        <v>0.6</v>
      </c>
      <c r="T594" t="str" cm="1">
        <f t="array" ref="T594">_xlfn.IFS(clean_data[[#This Row],[Revenue]]&lt;300000,"Small",
     clean_data[[#This Row],[Revenue]]&lt;700000,"Medium",
     TRUE,"Large")</f>
        <v>Small</v>
      </c>
      <c r="U594" t="str" cm="1">
        <f t="array" ref="U594">_xlfn.IFS(clean_data[[#This Row],[profit margin%]]&lt;0.5,"Low Profit",
     clean_data[[#This Row],[profit margin%]]&lt;0.6,"Medium Profit",
     TRUE,"High Profit")</f>
        <v>High Profit</v>
      </c>
      <c r="V594" t="str">
        <f>TEXT(clean_data[[#This Row],[Date]],"mmm-yyyy")</f>
        <v>Sep-2022</v>
      </c>
      <c r="W594" s="8">
        <f>EOMONTH(clean_data[[#This Row],[Date]],-1)+1</f>
        <v>44805</v>
      </c>
    </row>
    <row r="595" spans="1:23" x14ac:dyDescent="0.3">
      <c r="A595" t="s">
        <v>667</v>
      </c>
      <c r="B595" s="1">
        <v>44884</v>
      </c>
      <c r="C595" t="s">
        <v>46</v>
      </c>
      <c r="D595" t="s">
        <v>47</v>
      </c>
      <c r="E595" t="s">
        <v>32</v>
      </c>
      <c r="F595" t="s">
        <v>65</v>
      </c>
      <c r="G595" t="s">
        <v>104</v>
      </c>
      <c r="H595">
        <v>38</v>
      </c>
      <c r="I595">
        <v>3000</v>
      </c>
      <c r="J595">
        <v>15</v>
      </c>
      <c r="K595">
        <v>96900</v>
      </c>
      <c r="L595">
        <v>43605</v>
      </c>
      <c r="M595">
        <v>53295</v>
      </c>
      <c r="N595" t="s">
        <v>49</v>
      </c>
      <c r="O595" t="s">
        <v>35</v>
      </c>
      <c r="P595" t="s">
        <v>24</v>
      </c>
      <c r="Q595" t="str">
        <f>TEXT(clean_data[[#This Row],[Date]],"mmm")</f>
        <v>Nov</v>
      </c>
      <c r="R595">
        <f>YEAR(clean_data[[#This Row],[Date]])</f>
        <v>2022</v>
      </c>
      <c r="S595" s="2">
        <f>clean_data[[#This Row],[Profit]]/clean_data[[#This Row],[Revenue]]</f>
        <v>0.55000000000000004</v>
      </c>
      <c r="T595" t="str" cm="1">
        <f t="array" ref="T595">_xlfn.IFS(clean_data[[#This Row],[Revenue]]&lt;300000,"Small",
     clean_data[[#This Row],[Revenue]]&lt;700000,"Medium",
     TRUE,"Large")</f>
        <v>Small</v>
      </c>
      <c r="U595" t="str" cm="1">
        <f t="array" ref="U595">_xlfn.IFS(clean_data[[#This Row],[profit margin%]]&lt;0.5,"Low Profit",
     clean_data[[#This Row],[profit margin%]]&lt;0.6,"Medium Profit",
     TRUE,"High Profit")</f>
        <v>Medium Profit</v>
      </c>
      <c r="V595" t="str">
        <f>TEXT(clean_data[[#This Row],[Date]],"mmm-yyyy")</f>
        <v>Nov-2022</v>
      </c>
      <c r="W595" s="8">
        <f>EOMONTH(clean_data[[#This Row],[Date]],-1)+1</f>
        <v>44866</v>
      </c>
    </row>
    <row r="596" spans="1:23" x14ac:dyDescent="0.3">
      <c r="A596" t="s">
        <v>668</v>
      </c>
      <c r="B596" s="1">
        <v>45406</v>
      </c>
      <c r="C596" t="s">
        <v>46</v>
      </c>
      <c r="D596" t="s">
        <v>47</v>
      </c>
      <c r="E596" t="s">
        <v>70</v>
      </c>
      <c r="F596" t="s">
        <v>65</v>
      </c>
      <c r="G596" t="s">
        <v>79</v>
      </c>
      <c r="H596">
        <v>15</v>
      </c>
      <c r="I596">
        <v>900</v>
      </c>
      <c r="J596">
        <v>20</v>
      </c>
      <c r="K596">
        <v>10800</v>
      </c>
      <c r="L596">
        <v>4860</v>
      </c>
      <c r="M596">
        <v>5940</v>
      </c>
      <c r="N596" t="s">
        <v>22</v>
      </c>
      <c r="O596" t="s">
        <v>35</v>
      </c>
      <c r="P596" t="s">
        <v>24</v>
      </c>
      <c r="Q596" t="str">
        <f>TEXT(clean_data[[#This Row],[Date]],"mmm")</f>
        <v>Apr</v>
      </c>
      <c r="R596">
        <f>YEAR(clean_data[[#This Row],[Date]])</f>
        <v>2024</v>
      </c>
      <c r="S596" s="2">
        <f>clean_data[[#This Row],[Profit]]/clean_data[[#This Row],[Revenue]]</f>
        <v>0.55000000000000004</v>
      </c>
      <c r="T596" t="str" cm="1">
        <f t="array" ref="T596">_xlfn.IFS(clean_data[[#This Row],[Revenue]]&lt;300000,"Small",
     clean_data[[#This Row],[Revenue]]&lt;700000,"Medium",
     TRUE,"Large")</f>
        <v>Small</v>
      </c>
      <c r="U596" t="str" cm="1">
        <f t="array" ref="U596">_xlfn.IFS(clean_data[[#This Row],[profit margin%]]&lt;0.5,"Low Profit",
     clean_data[[#This Row],[profit margin%]]&lt;0.6,"Medium Profit",
     TRUE,"High Profit")</f>
        <v>Medium Profit</v>
      </c>
      <c r="V596" t="str">
        <f>TEXT(clean_data[[#This Row],[Date]],"mmm-yyyy")</f>
        <v>Apr-2024</v>
      </c>
      <c r="W596" s="8">
        <f>EOMONTH(clean_data[[#This Row],[Date]],-1)+1</f>
        <v>45383</v>
      </c>
    </row>
    <row r="597" spans="1:23" x14ac:dyDescent="0.3">
      <c r="A597" t="s">
        <v>669</v>
      </c>
      <c r="B597" s="1">
        <v>45353</v>
      </c>
      <c r="C597" t="s">
        <v>26</v>
      </c>
      <c r="D597" t="s">
        <v>69</v>
      </c>
      <c r="E597" t="s">
        <v>111</v>
      </c>
      <c r="F597" t="s">
        <v>28</v>
      </c>
      <c r="G597" t="s">
        <v>85</v>
      </c>
      <c r="H597">
        <v>34</v>
      </c>
      <c r="I597">
        <v>8000</v>
      </c>
      <c r="J597">
        <v>15</v>
      </c>
      <c r="K597">
        <v>231200</v>
      </c>
      <c r="L597">
        <v>127160</v>
      </c>
      <c r="M597">
        <v>104040</v>
      </c>
      <c r="N597" t="s">
        <v>22</v>
      </c>
      <c r="O597" t="s">
        <v>35</v>
      </c>
      <c r="P597" t="s">
        <v>24</v>
      </c>
      <c r="Q597" t="str">
        <f>TEXT(clean_data[[#This Row],[Date]],"mmm")</f>
        <v>Mar</v>
      </c>
      <c r="R597">
        <f>YEAR(clean_data[[#This Row],[Date]])</f>
        <v>2024</v>
      </c>
      <c r="S597" s="2">
        <f>clean_data[[#This Row],[Profit]]/clean_data[[#This Row],[Revenue]]</f>
        <v>0.45</v>
      </c>
      <c r="T597" t="str" cm="1">
        <f t="array" ref="T597">_xlfn.IFS(clean_data[[#This Row],[Revenue]]&lt;300000,"Small",
     clean_data[[#This Row],[Revenue]]&lt;700000,"Medium",
     TRUE,"Large")</f>
        <v>Small</v>
      </c>
      <c r="U597" t="str" cm="1">
        <f t="array" ref="U597">_xlfn.IFS(clean_data[[#This Row],[profit margin%]]&lt;0.5,"Low Profit",
     clean_data[[#This Row],[profit margin%]]&lt;0.6,"Medium Profit",
     TRUE,"High Profit")</f>
        <v>Low Profit</v>
      </c>
      <c r="V597" t="str">
        <f>TEXT(clean_data[[#This Row],[Date]],"mmm-yyyy")</f>
        <v>Mar-2024</v>
      </c>
      <c r="W597" s="8">
        <f>EOMONTH(clean_data[[#This Row],[Date]],-1)+1</f>
        <v>45352</v>
      </c>
    </row>
    <row r="598" spans="1:23" x14ac:dyDescent="0.3">
      <c r="A598" t="s">
        <v>670</v>
      </c>
      <c r="B598" s="1">
        <v>45428</v>
      </c>
      <c r="C598" t="s">
        <v>46</v>
      </c>
      <c r="D598" t="s">
        <v>47</v>
      </c>
      <c r="E598" t="s">
        <v>111</v>
      </c>
      <c r="F598" t="s">
        <v>28</v>
      </c>
      <c r="G598" t="s">
        <v>85</v>
      </c>
      <c r="H598">
        <v>14</v>
      </c>
      <c r="I598">
        <v>8000</v>
      </c>
      <c r="J598">
        <v>5</v>
      </c>
      <c r="K598">
        <v>106400</v>
      </c>
      <c r="L598">
        <v>58520</v>
      </c>
      <c r="M598">
        <v>47880</v>
      </c>
      <c r="N598" t="s">
        <v>49</v>
      </c>
      <c r="O598" t="s">
        <v>44</v>
      </c>
      <c r="P598" t="s">
        <v>24</v>
      </c>
      <c r="Q598" t="str">
        <f>TEXT(clean_data[[#This Row],[Date]],"mmm")</f>
        <v>May</v>
      </c>
      <c r="R598">
        <f>YEAR(clean_data[[#This Row],[Date]])</f>
        <v>2024</v>
      </c>
      <c r="S598" s="2">
        <f>clean_data[[#This Row],[Profit]]/clean_data[[#This Row],[Revenue]]</f>
        <v>0.45</v>
      </c>
      <c r="T598" t="str" cm="1">
        <f t="array" ref="T598">_xlfn.IFS(clean_data[[#This Row],[Revenue]]&lt;300000,"Small",
     clean_data[[#This Row],[Revenue]]&lt;700000,"Medium",
     TRUE,"Large")</f>
        <v>Small</v>
      </c>
      <c r="U598" t="str" cm="1">
        <f t="array" ref="U598">_xlfn.IFS(clean_data[[#This Row],[profit margin%]]&lt;0.5,"Low Profit",
     clean_data[[#This Row],[profit margin%]]&lt;0.6,"Medium Profit",
     TRUE,"High Profit")</f>
        <v>Low Profit</v>
      </c>
      <c r="V598" t="str">
        <f>TEXT(clean_data[[#This Row],[Date]],"mmm-yyyy")</f>
        <v>May-2024</v>
      </c>
      <c r="W598" s="8">
        <f>EOMONTH(clean_data[[#This Row],[Date]],-1)+1</f>
        <v>45413</v>
      </c>
    </row>
    <row r="599" spans="1:23" x14ac:dyDescent="0.3">
      <c r="A599" t="s">
        <v>671</v>
      </c>
      <c r="B599" s="1">
        <v>44713</v>
      </c>
      <c r="C599" t="s">
        <v>58</v>
      </c>
      <c r="D599" t="s">
        <v>64</v>
      </c>
      <c r="E599" t="s">
        <v>73</v>
      </c>
      <c r="F599" t="s">
        <v>20</v>
      </c>
      <c r="G599" t="s">
        <v>115</v>
      </c>
      <c r="H599">
        <v>37</v>
      </c>
      <c r="I599">
        <v>2500</v>
      </c>
      <c r="J599">
        <v>20</v>
      </c>
      <c r="K599">
        <v>74000</v>
      </c>
      <c r="L599">
        <v>29600</v>
      </c>
      <c r="M599">
        <v>44400</v>
      </c>
      <c r="N599" t="s">
        <v>49</v>
      </c>
      <c r="O599" t="s">
        <v>23</v>
      </c>
      <c r="P599" t="s">
        <v>24</v>
      </c>
      <c r="Q599" t="str">
        <f>TEXT(clean_data[[#This Row],[Date]],"mmm")</f>
        <v>Jun</v>
      </c>
      <c r="R599">
        <f>YEAR(clean_data[[#This Row],[Date]])</f>
        <v>2022</v>
      </c>
      <c r="S599" s="2">
        <f>clean_data[[#This Row],[Profit]]/clean_data[[#This Row],[Revenue]]</f>
        <v>0.6</v>
      </c>
      <c r="T599" t="str" cm="1">
        <f t="array" ref="T599">_xlfn.IFS(clean_data[[#This Row],[Revenue]]&lt;300000,"Small",
     clean_data[[#This Row],[Revenue]]&lt;700000,"Medium",
     TRUE,"Large")</f>
        <v>Small</v>
      </c>
      <c r="U599" t="str" cm="1">
        <f t="array" ref="U599">_xlfn.IFS(clean_data[[#This Row],[profit margin%]]&lt;0.5,"Low Profit",
     clean_data[[#This Row],[profit margin%]]&lt;0.6,"Medium Profit",
     TRUE,"High Profit")</f>
        <v>High Profit</v>
      </c>
      <c r="V599" t="str">
        <f>TEXT(clean_data[[#This Row],[Date]],"mmm-yyyy")</f>
        <v>Jun-2022</v>
      </c>
      <c r="W599" s="8">
        <f>EOMONTH(clean_data[[#This Row],[Date]],-1)+1</f>
        <v>44713</v>
      </c>
    </row>
    <row r="600" spans="1:23" x14ac:dyDescent="0.3">
      <c r="A600" t="s">
        <v>672</v>
      </c>
      <c r="B600" s="1">
        <v>44832</v>
      </c>
      <c r="C600" t="s">
        <v>58</v>
      </c>
      <c r="D600" t="s">
        <v>84</v>
      </c>
      <c r="E600" t="s">
        <v>70</v>
      </c>
      <c r="F600" t="s">
        <v>65</v>
      </c>
      <c r="G600" t="s">
        <v>117</v>
      </c>
      <c r="H600">
        <v>41</v>
      </c>
      <c r="I600">
        <v>1200</v>
      </c>
      <c r="J600">
        <v>0</v>
      </c>
      <c r="K600">
        <v>49200</v>
      </c>
      <c r="L600">
        <v>22140</v>
      </c>
      <c r="M600">
        <v>27060</v>
      </c>
      <c r="N600" t="s">
        <v>22</v>
      </c>
      <c r="O600" t="s">
        <v>50</v>
      </c>
      <c r="P600" t="s">
        <v>24</v>
      </c>
      <c r="Q600" t="str">
        <f>TEXT(clean_data[[#This Row],[Date]],"mmm")</f>
        <v>Sep</v>
      </c>
      <c r="R600">
        <f>YEAR(clean_data[[#This Row],[Date]])</f>
        <v>2022</v>
      </c>
      <c r="S600" s="2">
        <f>clean_data[[#This Row],[Profit]]/clean_data[[#This Row],[Revenue]]</f>
        <v>0.55000000000000004</v>
      </c>
      <c r="T600" t="str" cm="1">
        <f t="array" ref="T600">_xlfn.IFS(clean_data[[#This Row],[Revenue]]&lt;300000,"Small",
     clean_data[[#This Row],[Revenue]]&lt;700000,"Medium",
     TRUE,"Large")</f>
        <v>Small</v>
      </c>
      <c r="U600" t="str" cm="1">
        <f t="array" ref="U600">_xlfn.IFS(clean_data[[#This Row],[profit margin%]]&lt;0.5,"Low Profit",
     clean_data[[#This Row],[profit margin%]]&lt;0.6,"Medium Profit",
     TRUE,"High Profit")</f>
        <v>Medium Profit</v>
      </c>
      <c r="V600" t="str">
        <f>TEXT(clean_data[[#This Row],[Date]],"mmm-yyyy")</f>
        <v>Sep-2022</v>
      </c>
      <c r="W600" s="8">
        <f>EOMONTH(clean_data[[#This Row],[Date]],-1)+1</f>
        <v>44805</v>
      </c>
    </row>
    <row r="601" spans="1:23" x14ac:dyDescent="0.3">
      <c r="A601" t="s">
        <v>673</v>
      </c>
      <c r="B601" s="1">
        <v>45567</v>
      </c>
      <c r="C601" t="s">
        <v>17</v>
      </c>
      <c r="D601" t="s">
        <v>37</v>
      </c>
      <c r="E601" t="s">
        <v>73</v>
      </c>
      <c r="F601" t="s">
        <v>20</v>
      </c>
      <c r="G601" t="s">
        <v>21</v>
      </c>
      <c r="H601">
        <v>40</v>
      </c>
      <c r="I601">
        <v>3500</v>
      </c>
      <c r="J601">
        <v>10</v>
      </c>
      <c r="K601">
        <v>126000</v>
      </c>
      <c r="L601">
        <v>50400</v>
      </c>
      <c r="M601">
        <v>75600</v>
      </c>
      <c r="N601" t="s">
        <v>22</v>
      </c>
      <c r="O601" t="s">
        <v>50</v>
      </c>
      <c r="P601" t="s">
        <v>24</v>
      </c>
      <c r="Q601" t="str">
        <f>TEXT(clean_data[[#This Row],[Date]],"mmm")</f>
        <v>Oct</v>
      </c>
      <c r="R601">
        <f>YEAR(clean_data[[#This Row],[Date]])</f>
        <v>2024</v>
      </c>
      <c r="S601" s="2">
        <f>clean_data[[#This Row],[Profit]]/clean_data[[#This Row],[Revenue]]</f>
        <v>0.6</v>
      </c>
      <c r="T601" t="str" cm="1">
        <f t="array" ref="T601">_xlfn.IFS(clean_data[[#This Row],[Revenue]]&lt;300000,"Small",
     clean_data[[#This Row],[Revenue]]&lt;700000,"Medium",
     TRUE,"Large")</f>
        <v>Small</v>
      </c>
      <c r="U601" t="str" cm="1">
        <f t="array" ref="U601">_xlfn.IFS(clean_data[[#This Row],[profit margin%]]&lt;0.5,"Low Profit",
     clean_data[[#This Row],[profit margin%]]&lt;0.6,"Medium Profit",
     TRUE,"High Profit")</f>
        <v>High Profit</v>
      </c>
      <c r="V601" t="str">
        <f>TEXT(clean_data[[#This Row],[Date]],"mmm-yyyy")</f>
        <v>Oct-2024</v>
      </c>
      <c r="W601" s="8">
        <f>EOMONTH(clean_data[[#This Row],[Date]],-1)+1</f>
        <v>45566</v>
      </c>
    </row>
    <row r="602" spans="1:23" x14ac:dyDescent="0.3">
      <c r="A602" t="s">
        <v>674</v>
      </c>
      <c r="B602" s="1">
        <v>44655</v>
      </c>
      <c r="C602" t="s">
        <v>58</v>
      </c>
      <c r="D602" t="s">
        <v>59</v>
      </c>
      <c r="E602" t="s">
        <v>60</v>
      </c>
      <c r="F602" t="s">
        <v>28</v>
      </c>
      <c r="G602" t="s">
        <v>71</v>
      </c>
      <c r="H602">
        <v>24</v>
      </c>
      <c r="I602">
        <v>35000</v>
      </c>
      <c r="J602">
        <v>5</v>
      </c>
      <c r="K602">
        <v>798000</v>
      </c>
      <c r="L602">
        <v>438900</v>
      </c>
      <c r="M602">
        <v>359100</v>
      </c>
      <c r="N602" t="s">
        <v>22</v>
      </c>
      <c r="O602" t="s">
        <v>35</v>
      </c>
      <c r="P602" t="s">
        <v>40</v>
      </c>
      <c r="Q602" t="str">
        <f>TEXT(clean_data[[#This Row],[Date]],"mmm")</f>
        <v>Apr</v>
      </c>
      <c r="R602">
        <f>YEAR(clean_data[[#This Row],[Date]])</f>
        <v>2022</v>
      </c>
      <c r="S602" s="2">
        <f>clean_data[[#This Row],[Profit]]/clean_data[[#This Row],[Revenue]]</f>
        <v>0.45</v>
      </c>
      <c r="T602" t="str" cm="1">
        <f t="array" ref="T602">_xlfn.IFS(clean_data[[#This Row],[Revenue]]&lt;300000,"Small",
     clean_data[[#This Row],[Revenue]]&lt;700000,"Medium",
     TRUE,"Large")</f>
        <v>Large</v>
      </c>
      <c r="U602" t="str" cm="1">
        <f t="array" ref="U602">_xlfn.IFS(clean_data[[#This Row],[profit margin%]]&lt;0.5,"Low Profit",
     clean_data[[#This Row],[profit margin%]]&lt;0.6,"Medium Profit",
     TRUE,"High Profit")</f>
        <v>Low Profit</v>
      </c>
      <c r="V602" t="str">
        <f>TEXT(clean_data[[#This Row],[Date]],"mmm-yyyy")</f>
        <v>Apr-2022</v>
      </c>
      <c r="W602" s="8">
        <f>EOMONTH(clean_data[[#This Row],[Date]],-1)+1</f>
        <v>44652</v>
      </c>
    </row>
    <row r="603" spans="1:23" x14ac:dyDescent="0.3">
      <c r="A603" t="s">
        <v>675</v>
      </c>
      <c r="B603" s="1">
        <v>45649</v>
      </c>
      <c r="C603" t="s">
        <v>46</v>
      </c>
      <c r="D603" t="s">
        <v>47</v>
      </c>
      <c r="E603" t="s">
        <v>70</v>
      </c>
      <c r="F603" t="s">
        <v>20</v>
      </c>
      <c r="G603" t="s">
        <v>53</v>
      </c>
      <c r="H603">
        <v>8</v>
      </c>
      <c r="I603">
        <v>600</v>
      </c>
      <c r="J603">
        <v>15</v>
      </c>
      <c r="K603">
        <v>4080</v>
      </c>
      <c r="L603">
        <v>1632</v>
      </c>
      <c r="M603">
        <v>2448</v>
      </c>
      <c r="N603" t="s">
        <v>22</v>
      </c>
      <c r="O603" t="s">
        <v>44</v>
      </c>
      <c r="P603" t="s">
        <v>40</v>
      </c>
      <c r="Q603" t="str">
        <f>TEXT(clean_data[[#This Row],[Date]],"mmm")</f>
        <v>Dec</v>
      </c>
      <c r="R603">
        <f>YEAR(clean_data[[#This Row],[Date]])</f>
        <v>2024</v>
      </c>
      <c r="S603" s="2">
        <f>clean_data[[#This Row],[Profit]]/clean_data[[#This Row],[Revenue]]</f>
        <v>0.6</v>
      </c>
      <c r="T603" t="str" cm="1">
        <f t="array" ref="T603">_xlfn.IFS(clean_data[[#This Row],[Revenue]]&lt;300000,"Small",
     clean_data[[#This Row],[Revenue]]&lt;700000,"Medium",
     TRUE,"Large")</f>
        <v>Small</v>
      </c>
      <c r="U603" t="str" cm="1">
        <f t="array" ref="U603">_xlfn.IFS(clean_data[[#This Row],[profit margin%]]&lt;0.5,"Low Profit",
     clean_data[[#This Row],[profit margin%]]&lt;0.6,"Medium Profit",
     TRUE,"High Profit")</f>
        <v>High Profit</v>
      </c>
      <c r="V603" t="str">
        <f>TEXT(clean_data[[#This Row],[Date]],"mmm-yyyy")</f>
        <v>Dec-2024</v>
      </c>
      <c r="W603" s="8">
        <f>EOMONTH(clean_data[[#This Row],[Date]],-1)+1</f>
        <v>45627</v>
      </c>
    </row>
    <row r="604" spans="1:23" x14ac:dyDescent="0.3">
      <c r="A604" t="s">
        <v>676</v>
      </c>
      <c r="B604" s="1">
        <v>44996</v>
      </c>
      <c r="C604" t="s">
        <v>17</v>
      </c>
      <c r="D604" t="s">
        <v>37</v>
      </c>
      <c r="E604" t="s">
        <v>111</v>
      </c>
      <c r="F604" t="s">
        <v>65</v>
      </c>
      <c r="G604" t="s">
        <v>124</v>
      </c>
      <c r="H604">
        <v>4</v>
      </c>
      <c r="I604">
        <v>18000</v>
      </c>
      <c r="J604">
        <v>0</v>
      </c>
      <c r="K604">
        <v>72000</v>
      </c>
      <c r="L604">
        <v>32400</v>
      </c>
      <c r="M604">
        <v>39600</v>
      </c>
      <c r="N604" t="s">
        <v>49</v>
      </c>
      <c r="O604" t="s">
        <v>23</v>
      </c>
      <c r="P604" t="s">
        <v>24</v>
      </c>
      <c r="Q604" t="str">
        <f>TEXT(clean_data[[#This Row],[Date]],"mmm")</f>
        <v>Mar</v>
      </c>
      <c r="R604">
        <f>YEAR(clean_data[[#This Row],[Date]])</f>
        <v>2023</v>
      </c>
      <c r="S604" s="2">
        <f>clean_data[[#This Row],[Profit]]/clean_data[[#This Row],[Revenue]]</f>
        <v>0.55000000000000004</v>
      </c>
      <c r="T604" t="str" cm="1">
        <f t="array" ref="T604">_xlfn.IFS(clean_data[[#This Row],[Revenue]]&lt;300000,"Small",
     clean_data[[#This Row],[Revenue]]&lt;700000,"Medium",
     TRUE,"Large")</f>
        <v>Small</v>
      </c>
      <c r="U604" t="str" cm="1">
        <f t="array" ref="U604">_xlfn.IFS(clean_data[[#This Row],[profit margin%]]&lt;0.5,"Low Profit",
     clean_data[[#This Row],[profit margin%]]&lt;0.6,"Medium Profit",
     TRUE,"High Profit")</f>
        <v>Medium Profit</v>
      </c>
      <c r="V604" t="str">
        <f>TEXT(clean_data[[#This Row],[Date]],"mmm-yyyy")</f>
        <v>Mar-2023</v>
      </c>
      <c r="W604" s="8">
        <f>EOMONTH(clean_data[[#This Row],[Date]],-1)+1</f>
        <v>44986</v>
      </c>
    </row>
    <row r="605" spans="1:23" x14ac:dyDescent="0.3">
      <c r="A605" t="s">
        <v>677</v>
      </c>
      <c r="B605" s="1">
        <v>45521</v>
      </c>
      <c r="C605" t="s">
        <v>26</v>
      </c>
      <c r="D605" t="s">
        <v>69</v>
      </c>
      <c r="E605" t="s">
        <v>111</v>
      </c>
      <c r="F605" t="s">
        <v>33</v>
      </c>
      <c r="G605" t="s">
        <v>48</v>
      </c>
      <c r="H605">
        <v>40</v>
      </c>
      <c r="I605">
        <v>1500</v>
      </c>
      <c r="J605">
        <v>10</v>
      </c>
      <c r="K605">
        <v>54000</v>
      </c>
      <c r="L605">
        <v>27000</v>
      </c>
      <c r="M605">
        <v>27000</v>
      </c>
      <c r="N605" t="s">
        <v>30</v>
      </c>
      <c r="O605" t="s">
        <v>23</v>
      </c>
      <c r="P605" t="s">
        <v>24</v>
      </c>
      <c r="Q605" t="str">
        <f>TEXT(clean_data[[#This Row],[Date]],"mmm")</f>
        <v>Aug</v>
      </c>
      <c r="R605">
        <f>YEAR(clean_data[[#This Row],[Date]])</f>
        <v>2024</v>
      </c>
      <c r="S605" s="2">
        <f>clean_data[[#This Row],[Profit]]/clean_data[[#This Row],[Revenue]]</f>
        <v>0.5</v>
      </c>
      <c r="T605" t="str" cm="1">
        <f t="array" ref="T605">_xlfn.IFS(clean_data[[#This Row],[Revenue]]&lt;300000,"Small",
     clean_data[[#This Row],[Revenue]]&lt;700000,"Medium",
     TRUE,"Large")</f>
        <v>Small</v>
      </c>
      <c r="U605" t="str" cm="1">
        <f t="array" ref="U605">_xlfn.IFS(clean_data[[#This Row],[profit margin%]]&lt;0.5,"Low Profit",
     clean_data[[#This Row],[profit margin%]]&lt;0.6,"Medium Profit",
     TRUE,"High Profit")</f>
        <v>Medium Profit</v>
      </c>
      <c r="V605" t="str">
        <f>TEXT(clean_data[[#This Row],[Date]],"mmm-yyyy")</f>
        <v>Aug-2024</v>
      </c>
      <c r="W605" s="8">
        <f>EOMONTH(clean_data[[#This Row],[Date]],-1)+1</f>
        <v>45505</v>
      </c>
    </row>
    <row r="606" spans="1:23" x14ac:dyDescent="0.3">
      <c r="A606" t="s">
        <v>678</v>
      </c>
      <c r="B606" s="1">
        <v>44715</v>
      </c>
      <c r="C606" t="s">
        <v>58</v>
      </c>
      <c r="D606" t="s">
        <v>84</v>
      </c>
      <c r="E606" t="s">
        <v>73</v>
      </c>
      <c r="F606" t="s">
        <v>28</v>
      </c>
      <c r="G606" t="s">
        <v>95</v>
      </c>
      <c r="H606">
        <v>11</v>
      </c>
      <c r="I606">
        <v>75000</v>
      </c>
      <c r="J606">
        <v>10</v>
      </c>
      <c r="K606">
        <v>742500</v>
      </c>
      <c r="L606">
        <v>408375</v>
      </c>
      <c r="M606">
        <v>334125</v>
      </c>
      <c r="N606" t="s">
        <v>22</v>
      </c>
      <c r="O606" t="s">
        <v>44</v>
      </c>
      <c r="P606" t="s">
        <v>24</v>
      </c>
      <c r="Q606" t="str">
        <f>TEXT(clean_data[[#This Row],[Date]],"mmm")</f>
        <v>Jun</v>
      </c>
      <c r="R606">
        <f>YEAR(clean_data[[#This Row],[Date]])</f>
        <v>2022</v>
      </c>
      <c r="S606" s="2">
        <f>clean_data[[#This Row],[Profit]]/clean_data[[#This Row],[Revenue]]</f>
        <v>0.45</v>
      </c>
      <c r="T606" t="str" cm="1">
        <f t="array" ref="T606">_xlfn.IFS(clean_data[[#This Row],[Revenue]]&lt;300000,"Small",
     clean_data[[#This Row],[Revenue]]&lt;700000,"Medium",
     TRUE,"Large")</f>
        <v>Large</v>
      </c>
      <c r="U606" t="str" cm="1">
        <f t="array" ref="U606">_xlfn.IFS(clean_data[[#This Row],[profit margin%]]&lt;0.5,"Low Profit",
     clean_data[[#This Row],[profit margin%]]&lt;0.6,"Medium Profit",
     TRUE,"High Profit")</f>
        <v>Low Profit</v>
      </c>
      <c r="V606" t="str">
        <f>TEXT(clean_data[[#This Row],[Date]],"mmm-yyyy")</f>
        <v>Jun-2022</v>
      </c>
      <c r="W606" s="8">
        <f>EOMONTH(clean_data[[#This Row],[Date]],-1)+1</f>
        <v>44713</v>
      </c>
    </row>
    <row r="607" spans="1:23" x14ac:dyDescent="0.3">
      <c r="A607" t="s">
        <v>679</v>
      </c>
      <c r="B607" s="1">
        <v>45509</v>
      </c>
      <c r="C607" t="s">
        <v>46</v>
      </c>
      <c r="D607" t="s">
        <v>47</v>
      </c>
      <c r="E607" t="s">
        <v>73</v>
      </c>
      <c r="F607" t="s">
        <v>65</v>
      </c>
      <c r="G607" t="s">
        <v>79</v>
      </c>
      <c r="H607">
        <v>9</v>
      </c>
      <c r="I607">
        <v>900</v>
      </c>
      <c r="J607">
        <v>15</v>
      </c>
      <c r="K607">
        <v>6885</v>
      </c>
      <c r="L607">
        <v>3098.25</v>
      </c>
      <c r="M607">
        <v>3786.75</v>
      </c>
      <c r="N607" t="s">
        <v>49</v>
      </c>
      <c r="O607" t="s">
        <v>23</v>
      </c>
      <c r="P607" t="s">
        <v>24</v>
      </c>
      <c r="Q607" t="str">
        <f>TEXT(clean_data[[#This Row],[Date]],"mmm")</f>
        <v>Aug</v>
      </c>
      <c r="R607">
        <f>YEAR(clean_data[[#This Row],[Date]])</f>
        <v>2024</v>
      </c>
      <c r="S607" s="2">
        <f>clean_data[[#This Row],[Profit]]/clean_data[[#This Row],[Revenue]]</f>
        <v>0.55000000000000004</v>
      </c>
      <c r="T607" t="str" cm="1">
        <f t="array" ref="T607">_xlfn.IFS(clean_data[[#This Row],[Revenue]]&lt;300000,"Small",
     clean_data[[#This Row],[Revenue]]&lt;700000,"Medium",
     TRUE,"Large")</f>
        <v>Small</v>
      </c>
      <c r="U607" t="str" cm="1">
        <f t="array" ref="U607">_xlfn.IFS(clean_data[[#This Row],[profit margin%]]&lt;0.5,"Low Profit",
     clean_data[[#This Row],[profit margin%]]&lt;0.6,"Medium Profit",
     TRUE,"High Profit")</f>
        <v>Medium Profit</v>
      </c>
      <c r="V607" t="str">
        <f>TEXT(clean_data[[#This Row],[Date]],"mmm-yyyy")</f>
        <v>Aug-2024</v>
      </c>
      <c r="W607" s="8">
        <f>EOMONTH(clean_data[[#This Row],[Date]],-1)+1</f>
        <v>45505</v>
      </c>
    </row>
    <row r="608" spans="1:23" x14ac:dyDescent="0.3">
      <c r="A608" t="s">
        <v>680</v>
      </c>
      <c r="B608" s="1">
        <v>44602</v>
      </c>
      <c r="C608" t="s">
        <v>46</v>
      </c>
      <c r="D608" t="s">
        <v>47</v>
      </c>
      <c r="E608" t="s">
        <v>56</v>
      </c>
      <c r="F608" t="s">
        <v>20</v>
      </c>
      <c r="G608" t="s">
        <v>53</v>
      </c>
      <c r="H608">
        <v>42</v>
      </c>
      <c r="I608">
        <v>600</v>
      </c>
      <c r="J608">
        <v>10</v>
      </c>
      <c r="K608">
        <v>22680</v>
      </c>
      <c r="L608">
        <v>9072</v>
      </c>
      <c r="M608">
        <v>13608</v>
      </c>
      <c r="N608" t="s">
        <v>22</v>
      </c>
      <c r="O608" t="s">
        <v>50</v>
      </c>
      <c r="P608" t="s">
        <v>24</v>
      </c>
      <c r="Q608" t="str">
        <f>TEXT(clean_data[[#This Row],[Date]],"mmm")</f>
        <v>Feb</v>
      </c>
      <c r="R608">
        <f>YEAR(clean_data[[#This Row],[Date]])</f>
        <v>2022</v>
      </c>
      <c r="S608" s="2">
        <f>clean_data[[#This Row],[Profit]]/clean_data[[#This Row],[Revenue]]</f>
        <v>0.6</v>
      </c>
      <c r="T608" t="str" cm="1">
        <f t="array" ref="T608">_xlfn.IFS(clean_data[[#This Row],[Revenue]]&lt;300000,"Small",
     clean_data[[#This Row],[Revenue]]&lt;700000,"Medium",
     TRUE,"Large")</f>
        <v>Small</v>
      </c>
      <c r="U608" t="str" cm="1">
        <f t="array" ref="U608">_xlfn.IFS(clean_data[[#This Row],[profit margin%]]&lt;0.5,"Low Profit",
     clean_data[[#This Row],[profit margin%]]&lt;0.6,"Medium Profit",
     TRUE,"High Profit")</f>
        <v>High Profit</v>
      </c>
      <c r="V608" t="str">
        <f>TEXT(clean_data[[#This Row],[Date]],"mmm-yyyy")</f>
        <v>Feb-2022</v>
      </c>
      <c r="W608" s="8">
        <f>EOMONTH(clean_data[[#This Row],[Date]],-1)+1</f>
        <v>44593</v>
      </c>
    </row>
    <row r="609" spans="1:23" x14ac:dyDescent="0.3">
      <c r="A609" t="s">
        <v>681</v>
      </c>
      <c r="B609" s="1">
        <v>45185</v>
      </c>
      <c r="C609" t="s">
        <v>58</v>
      </c>
      <c r="D609" t="s">
        <v>59</v>
      </c>
      <c r="E609" t="s">
        <v>73</v>
      </c>
      <c r="F609" t="s">
        <v>20</v>
      </c>
      <c r="G609" t="s">
        <v>61</v>
      </c>
      <c r="H609">
        <v>11</v>
      </c>
      <c r="I609">
        <v>800</v>
      </c>
      <c r="J609">
        <v>10</v>
      </c>
      <c r="K609">
        <v>7920</v>
      </c>
      <c r="L609">
        <v>3168</v>
      </c>
      <c r="M609">
        <v>4752</v>
      </c>
      <c r="N609" t="s">
        <v>49</v>
      </c>
      <c r="O609" t="s">
        <v>50</v>
      </c>
      <c r="P609" t="s">
        <v>24</v>
      </c>
      <c r="Q609" t="str">
        <f>TEXT(clean_data[[#This Row],[Date]],"mmm")</f>
        <v>Sep</v>
      </c>
      <c r="R609">
        <f>YEAR(clean_data[[#This Row],[Date]])</f>
        <v>2023</v>
      </c>
      <c r="S609" s="2">
        <f>clean_data[[#This Row],[Profit]]/clean_data[[#This Row],[Revenue]]</f>
        <v>0.6</v>
      </c>
      <c r="T609" t="str" cm="1">
        <f t="array" ref="T609">_xlfn.IFS(clean_data[[#This Row],[Revenue]]&lt;300000,"Small",
     clean_data[[#This Row],[Revenue]]&lt;700000,"Medium",
     TRUE,"Large")</f>
        <v>Small</v>
      </c>
      <c r="U609" t="str" cm="1">
        <f t="array" ref="U609">_xlfn.IFS(clean_data[[#This Row],[profit margin%]]&lt;0.5,"Low Profit",
     clean_data[[#This Row],[profit margin%]]&lt;0.6,"Medium Profit",
     TRUE,"High Profit")</f>
        <v>High Profit</v>
      </c>
      <c r="V609" t="str">
        <f>TEXT(clean_data[[#This Row],[Date]],"mmm-yyyy")</f>
        <v>Sep-2023</v>
      </c>
      <c r="W609" s="8">
        <f>EOMONTH(clean_data[[#This Row],[Date]],-1)+1</f>
        <v>45170</v>
      </c>
    </row>
    <row r="610" spans="1:23" x14ac:dyDescent="0.3">
      <c r="A610" t="s">
        <v>682</v>
      </c>
      <c r="B610" s="1">
        <v>45132</v>
      </c>
      <c r="C610" t="s">
        <v>26</v>
      </c>
      <c r="D610" t="s">
        <v>27</v>
      </c>
      <c r="E610" t="s">
        <v>70</v>
      </c>
      <c r="F610" t="s">
        <v>33</v>
      </c>
      <c r="G610" t="s">
        <v>48</v>
      </c>
      <c r="H610">
        <v>11</v>
      </c>
      <c r="I610">
        <v>1500</v>
      </c>
      <c r="J610">
        <v>20</v>
      </c>
      <c r="K610">
        <v>13200</v>
      </c>
      <c r="L610">
        <v>6600</v>
      </c>
      <c r="M610">
        <v>6600</v>
      </c>
      <c r="N610" t="s">
        <v>22</v>
      </c>
      <c r="O610" t="s">
        <v>67</v>
      </c>
      <c r="P610" t="s">
        <v>24</v>
      </c>
      <c r="Q610" t="str">
        <f>TEXT(clean_data[[#This Row],[Date]],"mmm")</f>
        <v>Jul</v>
      </c>
      <c r="R610">
        <f>YEAR(clean_data[[#This Row],[Date]])</f>
        <v>2023</v>
      </c>
      <c r="S610" s="2">
        <f>clean_data[[#This Row],[Profit]]/clean_data[[#This Row],[Revenue]]</f>
        <v>0.5</v>
      </c>
      <c r="T610" t="str" cm="1">
        <f t="array" ref="T610">_xlfn.IFS(clean_data[[#This Row],[Revenue]]&lt;300000,"Small",
     clean_data[[#This Row],[Revenue]]&lt;700000,"Medium",
     TRUE,"Large")</f>
        <v>Small</v>
      </c>
      <c r="U610" t="str" cm="1">
        <f t="array" ref="U610">_xlfn.IFS(clean_data[[#This Row],[profit margin%]]&lt;0.5,"Low Profit",
     clean_data[[#This Row],[profit margin%]]&lt;0.6,"Medium Profit",
     TRUE,"High Profit")</f>
        <v>Medium Profit</v>
      </c>
      <c r="V610" t="str">
        <f>TEXT(clean_data[[#This Row],[Date]],"mmm-yyyy")</f>
        <v>Jul-2023</v>
      </c>
      <c r="W610" s="8">
        <f>EOMONTH(clean_data[[#This Row],[Date]],-1)+1</f>
        <v>45108</v>
      </c>
    </row>
    <row r="611" spans="1:23" x14ac:dyDescent="0.3">
      <c r="A611" t="s">
        <v>683</v>
      </c>
      <c r="B611" s="1">
        <v>45113</v>
      </c>
      <c r="C611" t="s">
        <v>46</v>
      </c>
      <c r="D611" t="s">
        <v>47</v>
      </c>
      <c r="E611" t="s">
        <v>78</v>
      </c>
      <c r="F611" t="s">
        <v>20</v>
      </c>
      <c r="G611" t="s">
        <v>21</v>
      </c>
      <c r="H611">
        <v>3</v>
      </c>
      <c r="I611">
        <v>3500</v>
      </c>
      <c r="J611">
        <v>10</v>
      </c>
      <c r="K611">
        <v>9450</v>
      </c>
      <c r="L611">
        <v>3780</v>
      </c>
      <c r="M611">
        <v>5670</v>
      </c>
      <c r="N611" t="s">
        <v>30</v>
      </c>
      <c r="O611" t="s">
        <v>23</v>
      </c>
      <c r="P611" t="s">
        <v>40</v>
      </c>
      <c r="Q611" t="str">
        <f>TEXT(clean_data[[#This Row],[Date]],"mmm")</f>
        <v>Jul</v>
      </c>
      <c r="R611">
        <f>YEAR(clean_data[[#This Row],[Date]])</f>
        <v>2023</v>
      </c>
      <c r="S611" s="2">
        <f>clean_data[[#This Row],[Profit]]/clean_data[[#This Row],[Revenue]]</f>
        <v>0.6</v>
      </c>
      <c r="T611" t="str" cm="1">
        <f t="array" ref="T611">_xlfn.IFS(clean_data[[#This Row],[Revenue]]&lt;300000,"Small",
     clean_data[[#This Row],[Revenue]]&lt;700000,"Medium",
     TRUE,"Large")</f>
        <v>Small</v>
      </c>
      <c r="U611" t="str" cm="1">
        <f t="array" ref="U611">_xlfn.IFS(clean_data[[#This Row],[profit margin%]]&lt;0.5,"Low Profit",
     clean_data[[#This Row],[profit margin%]]&lt;0.6,"Medium Profit",
     TRUE,"High Profit")</f>
        <v>High Profit</v>
      </c>
      <c r="V611" t="str">
        <f>TEXT(clean_data[[#This Row],[Date]],"mmm-yyyy")</f>
        <v>Jul-2023</v>
      </c>
      <c r="W611" s="8">
        <f>EOMONTH(clean_data[[#This Row],[Date]],-1)+1</f>
        <v>45108</v>
      </c>
    </row>
    <row r="612" spans="1:23" x14ac:dyDescent="0.3">
      <c r="A612" t="s">
        <v>684</v>
      </c>
      <c r="B612" s="1">
        <v>45058</v>
      </c>
      <c r="C612" t="s">
        <v>46</v>
      </c>
      <c r="D612" t="s">
        <v>47</v>
      </c>
      <c r="E612" t="s">
        <v>111</v>
      </c>
      <c r="F612" t="s">
        <v>28</v>
      </c>
      <c r="G612" t="s">
        <v>71</v>
      </c>
      <c r="H612">
        <v>23</v>
      </c>
      <c r="I612">
        <v>35000</v>
      </c>
      <c r="J612">
        <v>5</v>
      </c>
      <c r="K612">
        <v>764750</v>
      </c>
      <c r="L612">
        <v>420612.5</v>
      </c>
      <c r="M612">
        <v>344137.5</v>
      </c>
      <c r="N612" t="s">
        <v>49</v>
      </c>
      <c r="O612" t="s">
        <v>67</v>
      </c>
      <c r="P612" t="s">
        <v>24</v>
      </c>
      <c r="Q612" t="str">
        <f>TEXT(clean_data[[#This Row],[Date]],"mmm")</f>
        <v>May</v>
      </c>
      <c r="R612">
        <f>YEAR(clean_data[[#This Row],[Date]])</f>
        <v>2023</v>
      </c>
      <c r="S612" s="2">
        <f>clean_data[[#This Row],[Profit]]/clean_data[[#This Row],[Revenue]]</f>
        <v>0.45</v>
      </c>
      <c r="T612" t="str" cm="1">
        <f t="array" ref="T612">_xlfn.IFS(clean_data[[#This Row],[Revenue]]&lt;300000,"Small",
     clean_data[[#This Row],[Revenue]]&lt;700000,"Medium",
     TRUE,"Large")</f>
        <v>Large</v>
      </c>
      <c r="U612" t="str" cm="1">
        <f t="array" ref="U612">_xlfn.IFS(clean_data[[#This Row],[profit margin%]]&lt;0.5,"Low Profit",
     clean_data[[#This Row],[profit margin%]]&lt;0.6,"Medium Profit",
     TRUE,"High Profit")</f>
        <v>Low Profit</v>
      </c>
      <c r="V612" t="str">
        <f>TEXT(clean_data[[#This Row],[Date]],"mmm-yyyy")</f>
        <v>May-2023</v>
      </c>
      <c r="W612" s="8">
        <f>EOMONTH(clean_data[[#This Row],[Date]],-1)+1</f>
        <v>45047</v>
      </c>
    </row>
    <row r="613" spans="1:23" x14ac:dyDescent="0.3">
      <c r="A613" t="s">
        <v>685</v>
      </c>
      <c r="B613" s="1">
        <v>44883</v>
      </c>
      <c r="C613" t="s">
        <v>17</v>
      </c>
      <c r="D613" t="s">
        <v>18</v>
      </c>
      <c r="E613" t="s">
        <v>56</v>
      </c>
      <c r="F613" t="s">
        <v>65</v>
      </c>
      <c r="G613" t="s">
        <v>66</v>
      </c>
      <c r="H613">
        <v>50</v>
      </c>
      <c r="I613">
        <v>5500</v>
      </c>
      <c r="J613">
        <v>5</v>
      </c>
      <c r="K613">
        <v>261250</v>
      </c>
      <c r="L613">
        <v>117562.5</v>
      </c>
      <c r="M613">
        <v>143687.5</v>
      </c>
      <c r="N613" t="s">
        <v>49</v>
      </c>
      <c r="O613" t="s">
        <v>44</v>
      </c>
      <c r="P613" t="s">
        <v>24</v>
      </c>
      <c r="Q613" t="str">
        <f>TEXT(clean_data[[#This Row],[Date]],"mmm")</f>
        <v>Nov</v>
      </c>
      <c r="R613">
        <f>YEAR(clean_data[[#This Row],[Date]])</f>
        <v>2022</v>
      </c>
      <c r="S613" s="2">
        <f>clean_data[[#This Row],[Profit]]/clean_data[[#This Row],[Revenue]]</f>
        <v>0.55000000000000004</v>
      </c>
      <c r="T613" t="str" cm="1">
        <f t="array" ref="T613">_xlfn.IFS(clean_data[[#This Row],[Revenue]]&lt;300000,"Small",
     clean_data[[#This Row],[Revenue]]&lt;700000,"Medium",
     TRUE,"Large")</f>
        <v>Small</v>
      </c>
      <c r="U613" t="str" cm="1">
        <f t="array" ref="U613">_xlfn.IFS(clean_data[[#This Row],[profit margin%]]&lt;0.5,"Low Profit",
     clean_data[[#This Row],[profit margin%]]&lt;0.6,"Medium Profit",
     TRUE,"High Profit")</f>
        <v>Medium Profit</v>
      </c>
      <c r="V613" t="str">
        <f>TEXT(clean_data[[#This Row],[Date]],"mmm-yyyy")</f>
        <v>Nov-2022</v>
      </c>
      <c r="W613" s="8">
        <f>EOMONTH(clean_data[[#This Row],[Date]],-1)+1</f>
        <v>44866</v>
      </c>
    </row>
    <row r="614" spans="1:23" x14ac:dyDescent="0.3">
      <c r="A614" t="s">
        <v>686</v>
      </c>
      <c r="B614" s="1">
        <v>44585</v>
      </c>
      <c r="C614" t="s">
        <v>17</v>
      </c>
      <c r="D614" t="s">
        <v>42</v>
      </c>
      <c r="E614" t="s">
        <v>73</v>
      </c>
      <c r="F614" t="s">
        <v>65</v>
      </c>
      <c r="G614" t="s">
        <v>124</v>
      </c>
      <c r="H614">
        <v>49</v>
      </c>
      <c r="I614">
        <v>18000</v>
      </c>
      <c r="J614">
        <v>20</v>
      </c>
      <c r="K614">
        <v>705600</v>
      </c>
      <c r="L614">
        <v>317520</v>
      </c>
      <c r="M614">
        <v>388080</v>
      </c>
      <c r="N614" t="s">
        <v>22</v>
      </c>
      <c r="O614" t="s">
        <v>23</v>
      </c>
      <c r="P614" t="s">
        <v>24</v>
      </c>
      <c r="Q614" t="str">
        <f>TEXT(clean_data[[#This Row],[Date]],"mmm")</f>
        <v>Jan</v>
      </c>
      <c r="R614">
        <f>YEAR(clean_data[[#This Row],[Date]])</f>
        <v>2022</v>
      </c>
      <c r="S614" s="2">
        <f>clean_data[[#This Row],[Profit]]/clean_data[[#This Row],[Revenue]]</f>
        <v>0.55000000000000004</v>
      </c>
      <c r="T614" t="str" cm="1">
        <f t="array" ref="T614">_xlfn.IFS(clean_data[[#This Row],[Revenue]]&lt;300000,"Small",
     clean_data[[#This Row],[Revenue]]&lt;700000,"Medium",
     TRUE,"Large")</f>
        <v>Large</v>
      </c>
      <c r="U614" t="str" cm="1">
        <f t="array" ref="U614">_xlfn.IFS(clean_data[[#This Row],[profit margin%]]&lt;0.5,"Low Profit",
     clean_data[[#This Row],[profit margin%]]&lt;0.6,"Medium Profit",
     TRUE,"High Profit")</f>
        <v>Medium Profit</v>
      </c>
      <c r="V614" t="str">
        <f>TEXT(clean_data[[#This Row],[Date]],"mmm-yyyy")</f>
        <v>Jan-2022</v>
      </c>
      <c r="W614" s="8">
        <f>EOMONTH(clean_data[[#This Row],[Date]],-1)+1</f>
        <v>44562</v>
      </c>
    </row>
    <row r="615" spans="1:23" x14ac:dyDescent="0.3">
      <c r="A615" t="s">
        <v>687</v>
      </c>
      <c r="B615" s="1">
        <v>45222</v>
      </c>
      <c r="C615" t="s">
        <v>26</v>
      </c>
      <c r="D615" t="s">
        <v>69</v>
      </c>
      <c r="E615" t="s">
        <v>56</v>
      </c>
      <c r="F615" t="s">
        <v>20</v>
      </c>
      <c r="G615" t="s">
        <v>53</v>
      </c>
      <c r="H615">
        <v>8</v>
      </c>
      <c r="I615">
        <v>600</v>
      </c>
      <c r="J615">
        <v>10</v>
      </c>
      <c r="K615">
        <v>4320</v>
      </c>
      <c r="L615">
        <v>1728</v>
      </c>
      <c r="M615">
        <v>2592</v>
      </c>
      <c r="N615" t="s">
        <v>49</v>
      </c>
      <c r="O615" t="s">
        <v>67</v>
      </c>
      <c r="P615" t="s">
        <v>24</v>
      </c>
      <c r="Q615" t="str">
        <f>TEXT(clean_data[[#This Row],[Date]],"mmm")</f>
        <v>Oct</v>
      </c>
      <c r="R615">
        <f>YEAR(clean_data[[#This Row],[Date]])</f>
        <v>2023</v>
      </c>
      <c r="S615" s="2">
        <f>clean_data[[#This Row],[Profit]]/clean_data[[#This Row],[Revenue]]</f>
        <v>0.6</v>
      </c>
      <c r="T615" t="str" cm="1">
        <f t="array" ref="T615">_xlfn.IFS(clean_data[[#This Row],[Revenue]]&lt;300000,"Small",
     clean_data[[#This Row],[Revenue]]&lt;700000,"Medium",
     TRUE,"Large")</f>
        <v>Small</v>
      </c>
      <c r="U615" t="str" cm="1">
        <f t="array" ref="U615">_xlfn.IFS(clean_data[[#This Row],[profit margin%]]&lt;0.5,"Low Profit",
     clean_data[[#This Row],[profit margin%]]&lt;0.6,"Medium Profit",
     TRUE,"High Profit")</f>
        <v>High Profit</v>
      </c>
      <c r="V615" t="str">
        <f>TEXT(clean_data[[#This Row],[Date]],"mmm-yyyy")</f>
        <v>Oct-2023</v>
      </c>
      <c r="W615" s="8">
        <f>EOMONTH(clean_data[[#This Row],[Date]],-1)+1</f>
        <v>45200</v>
      </c>
    </row>
    <row r="616" spans="1:23" x14ac:dyDescent="0.3">
      <c r="A616" t="s">
        <v>688</v>
      </c>
      <c r="B616" s="1">
        <v>45000</v>
      </c>
      <c r="C616" t="s">
        <v>17</v>
      </c>
      <c r="D616" t="s">
        <v>18</v>
      </c>
      <c r="E616" t="s">
        <v>70</v>
      </c>
      <c r="F616" t="s">
        <v>28</v>
      </c>
      <c r="G616" t="s">
        <v>29</v>
      </c>
      <c r="H616">
        <v>42</v>
      </c>
      <c r="I616">
        <v>15000</v>
      </c>
      <c r="J616">
        <v>5</v>
      </c>
      <c r="K616">
        <v>598500</v>
      </c>
      <c r="L616">
        <v>329175</v>
      </c>
      <c r="M616">
        <v>269325</v>
      </c>
      <c r="N616" t="s">
        <v>22</v>
      </c>
      <c r="O616" t="s">
        <v>44</v>
      </c>
      <c r="P616" t="s">
        <v>40</v>
      </c>
      <c r="Q616" t="str">
        <f>TEXT(clean_data[[#This Row],[Date]],"mmm")</f>
        <v>Mar</v>
      </c>
      <c r="R616">
        <f>YEAR(clean_data[[#This Row],[Date]])</f>
        <v>2023</v>
      </c>
      <c r="S616" s="2">
        <f>clean_data[[#This Row],[Profit]]/clean_data[[#This Row],[Revenue]]</f>
        <v>0.45</v>
      </c>
      <c r="T616" t="str" cm="1">
        <f t="array" ref="T616">_xlfn.IFS(clean_data[[#This Row],[Revenue]]&lt;300000,"Small",
     clean_data[[#This Row],[Revenue]]&lt;700000,"Medium",
     TRUE,"Large")</f>
        <v>Medium</v>
      </c>
      <c r="U616" t="str" cm="1">
        <f t="array" ref="U616">_xlfn.IFS(clean_data[[#This Row],[profit margin%]]&lt;0.5,"Low Profit",
     clean_data[[#This Row],[profit margin%]]&lt;0.6,"Medium Profit",
     TRUE,"High Profit")</f>
        <v>Low Profit</v>
      </c>
      <c r="V616" t="str">
        <f>TEXT(clean_data[[#This Row],[Date]],"mmm-yyyy")</f>
        <v>Mar-2023</v>
      </c>
      <c r="W616" s="8">
        <f>EOMONTH(clean_data[[#This Row],[Date]],-1)+1</f>
        <v>44986</v>
      </c>
    </row>
    <row r="617" spans="1:23" x14ac:dyDescent="0.3">
      <c r="A617" t="s">
        <v>689</v>
      </c>
      <c r="B617" s="1">
        <v>45084</v>
      </c>
      <c r="C617" t="s">
        <v>26</v>
      </c>
      <c r="D617" t="s">
        <v>27</v>
      </c>
      <c r="E617" t="s">
        <v>111</v>
      </c>
      <c r="F617" t="s">
        <v>65</v>
      </c>
      <c r="G617" t="s">
        <v>117</v>
      </c>
      <c r="H617">
        <v>33</v>
      </c>
      <c r="I617">
        <v>1200</v>
      </c>
      <c r="J617">
        <v>15</v>
      </c>
      <c r="K617">
        <v>33660</v>
      </c>
      <c r="L617">
        <v>15147</v>
      </c>
      <c r="M617">
        <v>18513</v>
      </c>
      <c r="N617" t="s">
        <v>49</v>
      </c>
      <c r="O617" t="s">
        <v>50</v>
      </c>
      <c r="P617" t="s">
        <v>24</v>
      </c>
      <c r="Q617" t="str">
        <f>TEXT(clean_data[[#This Row],[Date]],"mmm")</f>
        <v>Jun</v>
      </c>
      <c r="R617">
        <f>YEAR(clean_data[[#This Row],[Date]])</f>
        <v>2023</v>
      </c>
      <c r="S617" s="2">
        <f>clean_data[[#This Row],[Profit]]/clean_data[[#This Row],[Revenue]]</f>
        <v>0.55000000000000004</v>
      </c>
      <c r="T617" t="str" cm="1">
        <f t="array" ref="T617">_xlfn.IFS(clean_data[[#This Row],[Revenue]]&lt;300000,"Small",
     clean_data[[#This Row],[Revenue]]&lt;700000,"Medium",
     TRUE,"Large")</f>
        <v>Small</v>
      </c>
      <c r="U617" t="str" cm="1">
        <f t="array" ref="U617">_xlfn.IFS(clean_data[[#This Row],[profit margin%]]&lt;0.5,"Low Profit",
     clean_data[[#This Row],[profit margin%]]&lt;0.6,"Medium Profit",
     TRUE,"High Profit")</f>
        <v>Medium Profit</v>
      </c>
      <c r="V617" t="str">
        <f>TEXT(clean_data[[#This Row],[Date]],"mmm-yyyy")</f>
        <v>Jun-2023</v>
      </c>
      <c r="W617" s="8">
        <f>EOMONTH(clean_data[[#This Row],[Date]],-1)+1</f>
        <v>45078</v>
      </c>
    </row>
    <row r="618" spans="1:23" x14ac:dyDescent="0.3">
      <c r="A618" t="s">
        <v>690</v>
      </c>
      <c r="B618" s="1">
        <v>45537</v>
      </c>
      <c r="C618" t="s">
        <v>17</v>
      </c>
      <c r="D618" t="s">
        <v>37</v>
      </c>
      <c r="E618" t="s">
        <v>78</v>
      </c>
      <c r="F618" t="s">
        <v>65</v>
      </c>
      <c r="G618" t="s">
        <v>124</v>
      </c>
      <c r="H618">
        <v>25</v>
      </c>
      <c r="I618">
        <v>18000</v>
      </c>
      <c r="J618">
        <v>10</v>
      </c>
      <c r="K618">
        <v>405000</v>
      </c>
      <c r="L618">
        <v>182250</v>
      </c>
      <c r="M618">
        <v>222750</v>
      </c>
      <c r="N618" t="s">
        <v>49</v>
      </c>
      <c r="O618" t="s">
        <v>50</v>
      </c>
      <c r="P618" t="s">
        <v>24</v>
      </c>
      <c r="Q618" t="str">
        <f>TEXT(clean_data[[#This Row],[Date]],"mmm")</f>
        <v>Sep</v>
      </c>
      <c r="R618">
        <f>YEAR(clean_data[[#This Row],[Date]])</f>
        <v>2024</v>
      </c>
      <c r="S618" s="2">
        <f>clean_data[[#This Row],[Profit]]/clean_data[[#This Row],[Revenue]]</f>
        <v>0.55000000000000004</v>
      </c>
      <c r="T618" t="str" cm="1">
        <f t="array" ref="T618">_xlfn.IFS(clean_data[[#This Row],[Revenue]]&lt;300000,"Small",
     clean_data[[#This Row],[Revenue]]&lt;700000,"Medium",
     TRUE,"Large")</f>
        <v>Medium</v>
      </c>
      <c r="U618" t="str" cm="1">
        <f t="array" ref="U618">_xlfn.IFS(clean_data[[#This Row],[profit margin%]]&lt;0.5,"Low Profit",
     clean_data[[#This Row],[profit margin%]]&lt;0.6,"Medium Profit",
     TRUE,"High Profit")</f>
        <v>Medium Profit</v>
      </c>
      <c r="V618" t="str">
        <f>TEXT(clean_data[[#This Row],[Date]],"mmm-yyyy")</f>
        <v>Sep-2024</v>
      </c>
      <c r="W618" s="8">
        <f>EOMONTH(clean_data[[#This Row],[Date]],-1)+1</f>
        <v>45536</v>
      </c>
    </row>
    <row r="619" spans="1:23" x14ac:dyDescent="0.3">
      <c r="A619" t="s">
        <v>691</v>
      </c>
      <c r="B619" s="1">
        <v>45240</v>
      </c>
      <c r="C619" t="s">
        <v>58</v>
      </c>
      <c r="D619" t="s">
        <v>64</v>
      </c>
      <c r="E619" t="s">
        <v>52</v>
      </c>
      <c r="F619" t="s">
        <v>20</v>
      </c>
      <c r="G619" t="s">
        <v>115</v>
      </c>
      <c r="H619">
        <v>48</v>
      </c>
      <c r="I619">
        <v>2500</v>
      </c>
      <c r="J619">
        <v>15</v>
      </c>
      <c r="K619">
        <v>102000</v>
      </c>
      <c r="L619">
        <v>40800</v>
      </c>
      <c r="M619">
        <v>61200</v>
      </c>
      <c r="N619" t="s">
        <v>49</v>
      </c>
      <c r="O619" t="s">
        <v>44</v>
      </c>
      <c r="P619" t="s">
        <v>24</v>
      </c>
      <c r="Q619" t="str">
        <f>TEXT(clean_data[[#This Row],[Date]],"mmm")</f>
        <v>Nov</v>
      </c>
      <c r="R619">
        <f>YEAR(clean_data[[#This Row],[Date]])</f>
        <v>2023</v>
      </c>
      <c r="S619" s="2">
        <f>clean_data[[#This Row],[Profit]]/clean_data[[#This Row],[Revenue]]</f>
        <v>0.6</v>
      </c>
      <c r="T619" t="str" cm="1">
        <f t="array" ref="T619">_xlfn.IFS(clean_data[[#This Row],[Revenue]]&lt;300000,"Small",
     clean_data[[#This Row],[Revenue]]&lt;700000,"Medium",
     TRUE,"Large")</f>
        <v>Small</v>
      </c>
      <c r="U619" t="str" cm="1">
        <f t="array" ref="U619">_xlfn.IFS(clean_data[[#This Row],[profit margin%]]&lt;0.5,"Low Profit",
     clean_data[[#This Row],[profit margin%]]&lt;0.6,"Medium Profit",
     TRUE,"High Profit")</f>
        <v>High Profit</v>
      </c>
      <c r="V619" t="str">
        <f>TEXT(clean_data[[#This Row],[Date]],"mmm-yyyy")</f>
        <v>Nov-2023</v>
      </c>
      <c r="W619" s="8">
        <f>EOMONTH(clean_data[[#This Row],[Date]],-1)+1</f>
        <v>45231</v>
      </c>
    </row>
    <row r="620" spans="1:23" x14ac:dyDescent="0.3">
      <c r="A620" t="s">
        <v>692</v>
      </c>
      <c r="B620" s="1">
        <v>45406</v>
      </c>
      <c r="C620" t="s">
        <v>58</v>
      </c>
      <c r="D620" t="s">
        <v>84</v>
      </c>
      <c r="E620" t="s">
        <v>38</v>
      </c>
      <c r="F620" t="s">
        <v>28</v>
      </c>
      <c r="G620" t="s">
        <v>87</v>
      </c>
      <c r="H620">
        <v>14</v>
      </c>
      <c r="I620">
        <v>45000</v>
      </c>
      <c r="J620">
        <v>10</v>
      </c>
      <c r="K620">
        <v>567000</v>
      </c>
      <c r="L620">
        <v>311850</v>
      </c>
      <c r="M620">
        <v>255150</v>
      </c>
      <c r="N620" t="s">
        <v>22</v>
      </c>
      <c r="O620" t="s">
        <v>50</v>
      </c>
      <c r="P620" t="s">
        <v>24</v>
      </c>
      <c r="Q620" t="str">
        <f>TEXT(clean_data[[#This Row],[Date]],"mmm")</f>
        <v>Apr</v>
      </c>
      <c r="R620">
        <f>YEAR(clean_data[[#This Row],[Date]])</f>
        <v>2024</v>
      </c>
      <c r="S620" s="2">
        <f>clean_data[[#This Row],[Profit]]/clean_data[[#This Row],[Revenue]]</f>
        <v>0.45</v>
      </c>
      <c r="T620" t="str" cm="1">
        <f t="array" ref="T620">_xlfn.IFS(clean_data[[#This Row],[Revenue]]&lt;300000,"Small",
     clean_data[[#This Row],[Revenue]]&lt;700000,"Medium",
     TRUE,"Large")</f>
        <v>Medium</v>
      </c>
      <c r="U620" t="str" cm="1">
        <f t="array" ref="U620">_xlfn.IFS(clean_data[[#This Row],[profit margin%]]&lt;0.5,"Low Profit",
     clean_data[[#This Row],[profit margin%]]&lt;0.6,"Medium Profit",
     TRUE,"High Profit")</f>
        <v>Low Profit</v>
      </c>
      <c r="V620" t="str">
        <f>TEXT(clean_data[[#This Row],[Date]],"mmm-yyyy")</f>
        <v>Apr-2024</v>
      </c>
      <c r="W620" s="8">
        <f>EOMONTH(clean_data[[#This Row],[Date]],-1)+1</f>
        <v>45383</v>
      </c>
    </row>
    <row r="621" spans="1:23" x14ac:dyDescent="0.3">
      <c r="A621" t="s">
        <v>693</v>
      </c>
      <c r="B621" s="1">
        <v>44700</v>
      </c>
      <c r="C621" t="s">
        <v>58</v>
      </c>
      <c r="D621" t="s">
        <v>84</v>
      </c>
      <c r="E621" t="s">
        <v>56</v>
      </c>
      <c r="F621" t="s">
        <v>65</v>
      </c>
      <c r="G621" t="s">
        <v>124</v>
      </c>
      <c r="H621">
        <v>27</v>
      </c>
      <c r="I621">
        <v>18000</v>
      </c>
      <c r="J621">
        <v>5</v>
      </c>
      <c r="K621">
        <v>461700</v>
      </c>
      <c r="L621">
        <v>207765</v>
      </c>
      <c r="M621">
        <v>253935</v>
      </c>
      <c r="N621" t="s">
        <v>49</v>
      </c>
      <c r="O621" t="s">
        <v>67</v>
      </c>
      <c r="P621" t="s">
        <v>40</v>
      </c>
      <c r="Q621" t="str">
        <f>TEXT(clean_data[[#This Row],[Date]],"mmm")</f>
        <v>May</v>
      </c>
      <c r="R621">
        <f>YEAR(clean_data[[#This Row],[Date]])</f>
        <v>2022</v>
      </c>
      <c r="S621" s="2">
        <f>clean_data[[#This Row],[Profit]]/clean_data[[#This Row],[Revenue]]</f>
        <v>0.55000000000000004</v>
      </c>
      <c r="T621" t="str" cm="1">
        <f t="array" ref="T621">_xlfn.IFS(clean_data[[#This Row],[Revenue]]&lt;300000,"Small",
     clean_data[[#This Row],[Revenue]]&lt;700000,"Medium",
     TRUE,"Large")</f>
        <v>Medium</v>
      </c>
      <c r="U621" t="str" cm="1">
        <f t="array" ref="U621">_xlfn.IFS(clean_data[[#This Row],[profit margin%]]&lt;0.5,"Low Profit",
     clean_data[[#This Row],[profit margin%]]&lt;0.6,"Medium Profit",
     TRUE,"High Profit")</f>
        <v>Medium Profit</v>
      </c>
      <c r="V621" t="str">
        <f>TEXT(clean_data[[#This Row],[Date]],"mmm-yyyy")</f>
        <v>May-2022</v>
      </c>
      <c r="W621" s="8">
        <f>EOMONTH(clean_data[[#This Row],[Date]],-1)+1</f>
        <v>44682</v>
      </c>
    </row>
    <row r="622" spans="1:23" x14ac:dyDescent="0.3">
      <c r="A622" t="s">
        <v>694</v>
      </c>
      <c r="B622" s="1">
        <v>44811</v>
      </c>
      <c r="C622" t="s">
        <v>46</v>
      </c>
      <c r="D622" t="s">
        <v>55</v>
      </c>
      <c r="E622" t="s">
        <v>73</v>
      </c>
      <c r="F622" t="s">
        <v>65</v>
      </c>
      <c r="G622" t="s">
        <v>117</v>
      </c>
      <c r="H622">
        <v>20</v>
      </c>
      <c r="I622">
        <v>1200</v>
      </c>
      <c r="J622">
        <v>20</v>
      </c>
      <c r="K622">
        <v>19200</v>
      </c>
      <c r="L622">
        <v>8640</v>
      </c>
      <c r="M622">
        <v>10560</v>
      </c>
      <c r="N622" t="s">
        <v>49</v>
      </c>
      <c r="O622" t="s">
        <v>67</v>
      </c>
      <c r="P622" t="s">
        <v>24</v>
      </c>
      <c r="Q622" t="str">
        <f>TEXT(clean_data[[#This Row],[Date]],"mmm")</f>
        <v>Sep</v>
      </c>
      <c r="R622">
        <f>YEAR(clean_data[[#This Row],[Date]])</f>
        <v>2022</v>
      </c>
      <c r="S622" s="2">
        <f>clean_data[[#This Row],[Profit]]/clean_data[[#This Row],[Revenue]]</f>
        <v>0.55000000000000004</v>
      </c>
      <c r="T622" t="str" cm="1">
        <f t="array" ref="T622">_xlfn.IFS(clean_data[[#This Row],[Revenue]]&lt;300000,"Small",
     clean_data[[#This Row],[Revenue]]&lt;700000,"Medium",
     TRUE,"Large")</f>
        <v>Small</v>
      </c>
      <c r="U622" t="str" cm="1">
        <f t="array" ref="U622">_xlfn.IFS(clean_data[[#This Row],[profit margin%]]&lt;0.5,"Low Profit",
     clean_data[[#This Row],[profit margin%]]&lt;0.6,"Medium Profit",
     TRUE,"High Profit")</f>
        <v>Medium Profit</v>
      </c>
      <c r="V622" t="str">
        <f>TEXT(clean_data[[#This Row],[Date]],"mmm-yyyy")</f>
        <v>Sep-2022</v>
      </c>
      <c r="W622" s="8">
        <f>EOMONTH(clean_data[[#This Row],[Date]],-1)+1</f>
        <v>44805</v>
      </c>
    </row>
    <row r="623" spans="1:23" x14ac:dyDescent="0.3">
      <c r="A623" t="s">
        <v>695</v>
      </c>
      <c r="B623" s="1">
        <v>45451</v>
      </c>
      <c r="C623" t="s">
        <v>26</v>
      </c>
      <c r="D623" t="s">
        <v>27</v>
      </c>
      <c r="E623" t="s">
        <v>78</v>
      </c>
      <c r="F623" t="s">
        <v>33</v>
      </c>
      <c r="G623" t="s">
        <v>34</v>
      </c>
      <c r="H623">
        <v>41</v>
      </c>
      <c r="I623">
        <v>25000</v>
      </c>
      <c r="J623">
        <v>15</v>
      </c>
      <c r="K623">
        <v>871250</v>
      </c>
      <c r="L623">
        <v>435625</v>
      </c>
      <c r="M623">
        <v>435625</v>
      </c>
      <c r="N623" t="s">
        <v>22</v>
      </c>
      <c r="O623" t="s">
        <v>50</v>
      </c>
      <c r="P623" t="s">
        <v>24</v>
      </c>
      <c r="Q623" t="str">
        <f>TEXT(clean_data[[#This Row],[Date]],"mmm")</f>
        <v>Jun</v>
      </c>
      <c r="R623">
        <f>YEAR(clean_data[[#This Row],[Date]])</f>
        <v>2024</v>
      </c>
      <c r="S623" s="2">
        <f>clean_data[[#This Row],[Profit]]/clean_data[[#This Row],[Revenue]]</f>
        <v>0.5</v>
      </c>
      <c r="T623" t="str" cm="1">
        <f t="array" ref="T623">_xlfn.IFS(clean_data[[#This Row],[Revenue]]&lt;300000,"Small",
     clean_data[[#This Row],[Revenue]]&lt;700000,"Medium",
     TRUE,"Large")</f>
        <v>Large</v>
      </c>
      <c r="U623" t="str" cm="1">
        <f t="array" ref="U623">_xlfn.IFS(clean_data[[#This Row],[profit margin%]]&lt;0.5,"Low Profit",
     clean_data[[#This Row],[profit margin%]]&lt;0.6,"Medium Profit",
     TRUE,"High Profit")</f>
        <v>Medium Profit</v>
      </c>
      <c r="V623" t="str">
        <f>TEXT(clean_data[[#This Row],[Date]],"mmm-yyyy")</f>
        <v>Jun-2024</v>
      </c>
      <c r="W623" s="8">
        <f>EOMONTH(clean_data[[#This Row],[Date]],-1)+1</f>
        <v>45444</v>
      </c>
    </row>
    <row r="624" spans="1:23" x14ac:dyDescent="0.3">
      <c r="A624" t="s">
        <v>696</v>
      </c>
      <c r="B624" s="1">
        <v>45357</v>
      </c>
      <c r="C624" t="s">
        <v>58</v>
      </c>
      <c r="D624" t="s">
        <v>64</v>
      </c>
      <c r="E624" t="s">
        <v>19</v>
      </c>
      <c r="F624" t="s">
        <v>28</v>
      </c>
      <c r="G624" t="s">
        <v>95</v>
      </c>
      <c r="H624">
        <v>49</v>
      </c>
      <c r="I624">
        <v>75000</v>
      </c>
      <c r="J624">
        <v>10</v>
      </c>
      <c r="K624">
        <v>3307500</v>
      </c>
      <c r="L624">
        <v>1819125</v>
      </c>
      <c r="M624">
        <v>1488375</v>
      </c>
      <c r="N624" t="s">
        <v>30</v>
      </c>
      <c r="O624" t="s">
        <v>67</v>
      </c>
      <c r="P624" t="s">
        <v>24</v>
      </c>
      <c r="Q624" t="str">
        <f>TEXT(clean_data[[#This Row],[Date]],"mmm")</f>
        <v>Mar</v>
      </c>
      <c r="R624">
        <f>YEAR(clean_data[[#This Row],[Date]])</f>
        <v>2024</v>
      </c>
      <c r="S624" s="2">
        <f>clean_data[[#This Row],[Profit]]/clean_data[[#This Row],[Revenue]]</f>
        <v>0.45</v>
      </c>
      <c r="T624" t="str" cm="1">
        <f t="array" ref="T624">_xlfn.IFS(clean_data[[#This Row],[Revenue]]&lt;300000,"Small",
     clean_data[[#This Row],[Revenue]]&lt;700000,"Medium",
     TRUE,"Large")</f>
        <v>Large</v>
      </c>
      <c r="U624" t="str" cm="1">
        <f t="array" ref="U624">_xlfn.IFS(clean_data[[#This Row],[profit margin%]]&lt;0.5,"Low Profit",
     clean_data[[#This Row],[profit margin%]]&lt;0.6,"Medium Profit",
     TRUE,"High Profit")</f>
        <v>Low Profit</v>
      </c>
      <c r="V624" t="str">
        <f>TEXT(clean_data[[#This Row],[Date]],"mmm-yyyy")</f>
        <v>Mar-2024</v>
      </c>
      <c r="W624" s="8">
        <f>EOMONTH(clean_data[[#This Row],[Date]],-1)+1</f>
        <v>45352</v>
      </c>
    </row>
    <row r="625" spans="1:23" x14ac:dyDescent="0.3">
      <c r="A625" t="s">
        <v>697</v>
      </c>
      <c r="B625" s="1">
        <v>45279</v>
      </c>
      <c r="C625" t="s">
        <v>58</v>
      </c>
      <c r="D625" t="s">
        <v>64</v>
      </c>
      <c r="E625" t="s">
        <v>32</v>
      </c>
      <c r="F625" t="s">
        <v>33</v>
      </c>
      <c r="G625" t="s">
        <v>48</v>
      </c>
      <c r="H625">
        <v>45</v>
      </c>
      <c r="I625">
        <v>1500</v>
      </c>
      <c r="J625">
        <v>0</v>
      </c>
      <c r="K625">
        <v>67500</v>
      </c>
      <c r="L625">
        <v>33750</v>
      </c>
      <c r="M625">
        <v>33750</v>
      </c>
      <c r="N625" t="s">
        <v>22</v>
      </c>
      <c r="O625" t="s">
        <v>67</v>
      </c>
      <c r="P625" t="s">
        <v>24</v>
      </c>
      <c r="Q625" t="str">
        <f>TEXT(clean_data[[#This Row],[Date]],"mmm")</f>
        <v>Dec</v>
      </c>
      <c r="R625">
        <f>YEAR(clean_data[[#This Row],[Date]])</f>
        <v>2023</v>
      </c>
      <c r="S625" s="2">
        <f>clean_data[[#This Row],[Profit]]/clean_data[[#This Row],[Revenue]]</f>
        <v>0.5</v>
      </c>
      <c r="T625" t="str" cm="1">
        <f t="array" ref="T625">_xlfn.IFS(clean_data[[#This Row],[Revenue]]&lt;300000,"Small",
     clean_data[[#This Row],[Revenue]]&lt;700000,"Medium",
     TRUE,"Large")</f>
        <v>Small</v>
      </c>
      <c r="U625" t="str" cm="1">
        <f t="array" ref="U625">_xlfn.IFS(clean_data[[#This Row],[profit margin%]]&lt;0.5,"Low Profit",
     clean_data[[#This Row],[profit margin%]]&lt;0.6,"Medium Profit",
     TRUE,"High Profit")</f>
        <v>Medium Profit</v>
      </c>
      <c r="V625" t="str">
        <f>TEXT(clean_data[[#This Row],[Date]],"mmm-yyyy")</f>
        <v>Dec-2023</v>
      </c>
      <c r="W625" s="8">
        <f>EOMONTH(clean_data[[#This Row],[Date]],-1)+1</f>
        <v>45261</v>
      </c>
    </row>
    <row r="626" spans="1:23" x14ac:dyDescent="0.3">
      <c r="A626" t="s">
        <v>698</v>
      </c>
      <c r="B626" s="1">
        <v>44620</v>
      </c>
      <c r="C626" t="s">
        <v>17</v>
      </c>
      <c r="D626" t="s">
        <v>18</v>
      </c>
      <c r="E626" t="s">
        <v>38</v>
      </c>
      <c r="F626" t="s">
        <v>28</v>
      </c>
      <c r="G626" t="s">
        <v>87</v>
      </c>
      <c r="H626">
        <v>21</v>
      </c>
      <c r="I626">
        <v>45000</v>
      </c>
      <c r="J626">
        <v>15</v>
      </c>
      <c r="K626">
        <v>803250</v>
      </c>
      <c r="L626">
        <v>441787.5</v>
      </c>
      <c r="M626">
        <v>361462.5</v>
      </c>
      <c r="N626" t="s">
        <v>49</v>
      </c>
      <c r="O626" t="s">
        <v>44</v>
      </c>
      <c r="P626" t="s">
        <v>24</v>
      </c>
      <c r="Q626" t="str">
        <f>TEXT(clean_data[[#This Row],[Date]],"mmm")</f>
        <v>Feb</v>
      </c>
      <c r="R626">
        <f>YEAR(clean_data[[#This Row],[Date]])</f>
        <v>2022</v>
      </c>
      <c r="S626" s="2">
        <f>clean_data[[#This Row],[Profit]]/clean_data[[#This Row],[Revenue]]</f>
        <v>0.45</v>
      </c>
      <c r="T626" t="str" cm="1">
        <f t="array" ref="T626">_xlfn.IFS(clean_data[[#This Row],[Revenue]]&lt;300000,"Small",
     clean_data[[#This Row],[Revenue]]&lt;700000,"Medium",
     TRUE,"Large")</f>
        <v>Large</v>
      </c>
      <c r="U626" t="str" cm="1">
        <f t="array" ref="U626">_xlfn.IFS(clean_data[[#This Row],[profit margin%]]&lt;0.5,"Low Profit",
     clean_data[[#This Row],[profit margin%]]&lt;0.6,"Medium Profit",
     TRUE,"High Profit")</f>
        <v>Low Profit</v>
      </c>
      <c r="V626" t="str">
        <f>TEXT(clean_data[[#This Row],[Date]],"mmm-yyyy")</f>
        <v>Feb-2022</v>
      </c>
      <c r="W626" s="8">
        <f>EOMONTH(clean_data[[#This Row],[Date]],-1)+1</f>
        <v>44593</v>
      </c>
    </row>
    <row r="627" spans="1:23" x14ac:dyDescent="0.3">
      <c r="A627" t="s">
        <v>699</v>
      </c>
      <c r="B627" s="1">
        <v>44660</v>
      </c>
      <c r="C627" t="s">
        <v>17</v>
      </c>
      <c r="D627" t="s">
        <v>37</v>
      </c>
      <c r="E627" t="s">
        <v>70</v>
      </c>
      <c r="F627" t="s">
        <v>28</v>
      </c>
      <c r="G627" t="s">
        <v>71</v>
      </c>
      <c r="H627">
        <v>19</v>
      </c>
      <c r="I627">
        <v>35000</v>
      </c>
      <c r="J627">
        <v>20</v>
      </c>
      <c r="K627">
        <v>532000</v>
      </c>
      <c r="L627">
        <v>292600</v>
      </c>
      <c r="M627">
        <v>239400</v>
      </c>
      <c r="N627" t="s">
        <v>22</v>
      </c>
      <c r="O627" t="s">
        <v>44</v>
      </c>
      <c r="P627" t="s">
        <v>24</v>
      </c>
      <c r="Q627" t="str">
        <f>TEXT(clean_data[[#This Row],[Date]],"mmm")</f>
        <v>Apr</v>
      </c>
      <c r="R627">
        <f>YEAR(clean_data[[#This Row],[Date]])</f>
        <v>2022</v>
      </c>
      <c r="S627" s="2">
        <f>clean_data[[#This Row],[Profit]]/clean_data[[#This Row],[Revenue]]</f>
        <v>0.45</v>
      </c>
      <c r="T627" t="str" cm="1">
        <f t="array" ref="T627">_xlfn.IFS(clean_data[[#This Row],[Revenue]]&lt;300000,"Small",
     clean_data[[#This Row],[Revenue]]&lt;700000,"Medium",
     TRUE,"Large")</f>
        <v>Medium</v>
      </c>
      <c r="U627" t="str" cm="1">
        <f t="array" ref="U627">_xlfn.IFS(clean_data[[#This Row],[profit margin%]]&lt;0.5,"Low Profit",
     clean_data[[#This Row],[profit margin%]]&lt;0.6,"Medium Profit",
     TRUE,"High Profit")</f>
        <v>Low Profit</v>
      </c>
      <c r="V627" t="str">
        <f>TEXT(clean_data[[#This Row],[Date]],"mmm-yyyy")</f>
        <v>Apr-2022</v>
      </c>
      <c r="W627" s="8">
        <f>EOMONTH(clean_data[[#This Row],[Date]],-1)+1</f>
        <v>44652</v>
      </c>
    </row>
    <row r="628" spans="1:23" x14ac:dyDescent="0.3">
      <c r="A628" t="s">
        <v>700</v>
      </c>
      <c r="B628" s="1">
        <v>44920</v>
      </c>
      <c r="C628" t="s">
        <v>26</v>
      </c>
      <c r="D628" t="s">
        <v>27</v>
      </c>
      <c r="E628" t="s">
        <v>111</v>
      </c>
      <c r="F628" t="s">
        <v>33</v>
      </c>
      <c r="G628" t="s">
        <v>34</v>
      </c>
      <c r="H628">
        <v>44</v>
      </c>
      <c r="I628">
        <v>25000</v>
      </c>
      <c r="J628">
        <v>10</v>
      </c>
      <c r="K628">
        <v>990000</v>
      </c>
      <c r="L628">
        <v>495000</v>
      </c>
      <c r="M628">
        <v>495000</v>
      </c>
      <c r="N628" t="s">
        <v>22</v>
      </c>
      <c r="O628" t="s">
        <v>50</v>
      </c>
      <c r="P628" t="s">
        <v>24</v>
      </c>
      <c r="Q628" t="str">
        <f>TEXT(clean_data[[#This Row],[Date]],"mmm")</f>
        <v>Dec</v>
      </c>
      <c r="R628">
        <f>YEAR(clean_data[[#This Row],[Date]])</f>
        <v>2022</v>
      </c>
      <c r="S628" s="2">
        <f>clean_data[[#This Row],[Profit]]/clean_data[[#This Row],[Revenue]]</f>
        <v>0.5</v>
      </c>
      <c r="T628" t="str" cm="1">
        <f t="array" ref="T628">_xlfn.IFS(clean_data[[#This Row],[Revenue]]&lt;300000,"Small",
     clean_data[[#This Row],[Revenue]]&lt;700000,"Medium",
     TRUE,"Large")</f>
        <v>Large</v>
      </c>
      <c r="U628" t="str" cm="1">
        <f t="array" ref="U628">_xlfn.IFS(clean_data[[#This Row],[profit margin%]]&lt;0.5,"Low Profit",
     clean_data[[#This Row],[profit margin%]]&lt;0.6,"Medium Profit",
     TRUE,"High Profit")</f>
        <v>Medium Profit</v>
      </c>
      <c r="V628" t="str">
        <f>TEXT(clean_data[[#This Row],[Date]],"mmm-yyyy")</f>
        <v>Dec-2022</v>
      </c>
      <c r="W628" s="8">
        <f>EOMONTH(clean_data[[#This Row],[Date]],-1)+1</f>
        <v>44896</v>
      </c>
    </row>
    <row r="629" spans="1:23" x14ac:dyDescent="0.3">
      <c r="A629" t="s">
        <v>701</v>
      </c>
      <c r="B629" s="1">
        <v>44760</v>
      </c>
      <c r="C629" t="s">
        <v>17</v>
      </c>
      <c r="D629" t="s">
        <v>18</v>
      </c>
      <c r="E629" t="s">
        <v>56</v>
      </c>
      <c r="F629" t="s">
        <v>20</v>
      </c>
      <c r="G629" t="s">
        <v>53</v>
      </c>
      <c r="H629">
        <v>19</v>
      </c>
      <c r="I629">
        <v>600</v>
      </c>
      <c r="J629">
        <v>10</v>
      </c>
      <c r="K629">
        <v>10260</v>
      </c>
      <c r="L629">
        <v>4104</v>
      </c>
      <c r="M629">
        <v>6156</v>
      </c>
      <c r="N629" t="s">
        <v>49</v>
      </c>
      <c r="O629" t="s">
        <v>50</v>
      </c>
      <c r="P629" t="s">
        <v>24</v>
      </c>
      <c r="Q629" t="str">
        <f>TEXT(clean_data[[#This Row],[Date]],"mmm")</f>
        <v>Jul</v>
      </c>
      <c r="R629">
        <f>YEAR(clean_data[[#This Row],[Date]])</f>
        <v>2022</v>
      </c>
      <c r="S629" s="2">
        <f>clean_data[[#This Row],[Profit]]/clean_data[[#This Row],[Revenue]]</f>
        <v>0.6</v>
      </c>
      <c r="T629" t="str" cm="1">
        <f t="array" ref="T629">_xlfn.IFS(clean_data[[#This Row],[Revenue]]&lt;300000,"Small",
     clean_data[[#This Row],[Revenue]]&lt;700000,"Medium",
     TRUE,"Large")</f>
        <v>Small</v>
      </c>
      <c r="U629" t="str" cm="1">
        <f t="array" ref="U629">_xlfn.IFS(clean_data[[#This Row],[profit margin%]]&lt;0.5,"Low Profit",
     clean_data[[#This Row],[profit margin%]]&lt;0.6,"Medium Profit",
     TRUE,"High Profit")</f>
        <v>High Profit</v>
      </c>
      <c r="V629" t="str">
        <f>TEXT(clean_data[[#This Row],[Date]],"mmm-yyyy")</f>
        <v>Jul-2022</v>
      </c>
      <c r="W629" s="8">
        <f>EOMONTH(clean_data[[#This Row],[Date]],-1)+1</f>
        <v>44743</v>
      </c>
    </row>
    <row r="630" spans="1:23" x14ac:dyDescent="0.3">
      <c r="A630" t="s">
        <v>702</v>
      </c>
      <c r="B630" s="1">
        <v>44869</v>
      </c>
      <c r="C630" t="s">
        <v>46</v>
      </c>
      <c r="D630" t="s">
        <v>47</v>
      </c>
      <c r="E630" t="s">
        <v>111</v>
      </c>
      <c r="F630" t="s">
        <v>20</v>
      </c>
      <c r="G630" t="s">
        <v>74</v>
      </c>
      <c r="H630">
        <v>36</v>
      </c>
      <c r="I630">
        <v>4200</v>
      </c>
      <c r="J630">
        <v>20</v>
      </c>
      <c r="K630">
        <v>120960</v>
      </c>
      <c r="L630">
        <v>48384</v>
      </c>
      <c r="M630">
        <v>72576</v>
      </c>
      <c r="N630" t="s">
        <v>22</v>
      </c>
      <c r="O630" t="s">
        <v>67</v>
      </c>
      <c r="P630" t="s">
        <v>40</v>
      </c>
      <c r="Q630" t="str">
        <f>TEXT(clean_data[[#This Row],[Date]],"mmm")</f>
        <v>Nov</v>
      </c>
      <c r="R630">
        <f>YEAR(clean_data[[#This Row],[Date]])</f>
        <v>2022</v>
      </c>
      <c r="S630" s="2">
        <f>clean_data[[#This Row],[Profit]]/clean_data[[#This Row],[Revenue]]</f>
        <v>0.6</v>
      </c>
      <c r="T630" t="str" cm="1">
        <f t="array" ref="T630">_xlfn.IFS(clean_data[[#This Row],[Revenue]]&lt;300000,"Small",
     clean_data[[#This Row],[Revenue]]&lt;700000,"Medium",
     TRUE,"Large")</f>
        <v>Small</v>
      </c>
      <c r="U630" t="str" cm="1">
        <f t="array" ref="U630">_xlfn.IFS(clean_data[[#This Row],[profit margin%]]&lt;0.5,"Low Profit",
     clean_data[[#This Row],[profit margin%]]&lt;0.6,"Medium Profit",
     TRUE,"High Profit")</f>
        <v>High Profit</v>
      </c>
      <c r="V630" t="str">
        <f>TEXT(clean_data[[#This Row],[Date]],"mmm-yyyy")</f>
        <v>Nov-2022</v>
      </c>
      <c r="W630" s="8">
        <f>EOMONTH(clean_data[[#This Row],[Date]],-1)+1</f>
        <v>44866</v>
      </c>
    </row>
    <row r="631" spans="1:23" x14ac:dyDescent="0.3">
      <c r="A631" t="s">
        <v>703</v>
      </c>
      <c r="B631" s="1">
        <v>44787</v>
      </c>
      <c r="C631" t="s">
        <v>58</v>
      </c>
      <c r="D631" t="s">
        <v>84</v>
      </c>
      <c r="E631" t="s">
        <v>52</v>
      </c>
      <c r="F631" t="s">
        <v>20</v>
      </c>
      <c r="G631" t="s">
        <v>21</v>
      </c>
      <c r="H631">
        <v>31</v>
      </c>
      <c r="I631">
        <v>3500</v>
      </c>
      <c r="J631">
        <v>10</v>
      </c>
      <c r="K631">
        <v>97650</v>
      </c>
      <c r="L631">
        <v>39060</v>
      </c>
      <c r="M631">
        <v>58590</v>
      </c>
      <c r="N631" t="s">
        <v>22</v>
      </c>
      <c r="O631" t="s">
        <v>50</v>
      </c>
      <c r="P631" t="s">
        <v>24</v>
      </c>
      <c r="Q631" t="str">
        <f>TEXT(clean_data[[#This Row],[Date]],"mmm")</f>
        <v>Aug</v>
      </c>
      <c r="R631">
        <f>YEAR(clean_data[[#This Row],[Date]])</f>
        <v>2022</v>
      </c>
      <c r="S631" s="2">
        <f>clean_data[[#This Row],[Profit]]/clean_data[[#This Row],[Revenue]]</f>
        <v>0.6</v>
      </c>
      <c r="T631" t="str" cm="1">
        <f t="array" ref="T631">_xlfn.IFS(clean_data[[#This Row],[Revenue]]&lt;300000,"Small",
     clean_data[[#This Row],[Revenue]]&lt;700000,"Medium",
     TRUE,"Large")</f>
        <v>Small</v>
      </c>
      <c r="U631" t="str" cm="1">
        <f t="array" ref="U631">_xlfn.IFS(clean_data[[#This Row],[profit margin%]]&lt;0.5,"Low Profit",
     clean_data[[#This Row],[profit margin%]]&lt;0.6,"Medium Profit",
     TRUE,"High Profit")</f>
        <v>High Profit</v>
      </c>
      <c r="V631" t="str">
        <f>TEXT(clean_data[[#This Row],[Date]],"mmm-yyyy")</f>
        <v>Aug-2022</v>
      </c>
      <c r="W631" s="8">
        <f>EOMONTH(clean_data[[#This Row],[Date]],-1)+1</f>
        <v>44774</v>
      </c>
    </row>
    <row r="632" spans="1:23" x14ac:dyDescent="0.3">
      <c r="A632" t="s">
        <v>704</v>
      </c>
      <c r="B632" s="1">
        <v>44831</v>
      </c>
      <c r="C632" t="s">
        <v>58</v>
      </c>
      <c r="D632" t="s">
        <v>64</v>
      </c>
      <c r="E632" t="s">
        <v>111</v>
      </c>
      <c r="F632" t="s">
        <v>33</v>
      </c>
      <c r="G632" t="s">
        <v>76</v>
      </c>
      <c r="H632">
        <v>46</v>
      </c>
      <c r="I632">
        <v>8500</v>
      </c>
      <c r="J632">
        <v>10</v>
      </c>
      <c r="K632">
        <v>351900</v>
      </c>
      <c r="L632">
        <v>175950</v>
      </c>
      <c r="M632">
        <v>175950</v>
      </c>
      <c r="N632" t="s">
        <v>22</v>
      </c>
      <c r="O632" t="s">
        <v>35</v>
      </c>
      <c r="P632" t="s">
        <v>24</v>
      </c>
      <c r="Q632" t="str">
        <f>TEXT(clean_data[[#This Row],[Date]],"mmm")</f>
        <v>Sep</v>
      </c>
      <c r="R632">
        <f>YEAR(clean_data[[#This Row],[Date]])</f>
        <v>2022</v>
      </c>
      <c r="S632" s="2">
        <f>clean_data[[#This Row],[Profit]]/clean_data[[#This Row],[Revenue]]</f>
        <v>0.5</v>
      </c>
      <c r="T632" t="str" cm="1">
        <f t="array" ref="T632">_xlfn.IFS(clean_data[[#This Row],[Revenue]]&lt;300000,"Small",
     clean_data[[#This Row],[Revenue]]&lt;700000,"Medium",
     TRUE,"Large")</f>
        <v>Medium</v>
      </c>
      <c r="U632" t="str" cm="1">
        <f t="array" ref="U632">_xlfn.IFS(clean_data[[#This Row],[profit margin%]]&lt;0.5,"Low Profit",
     clean_data[[#This Row],[profit margin%]]&lt;0.6,"Medium Profit",
     TRUE,"High Profit")</f>
        <v>Medium Profit</v>
      </c>
      <c r="V632" t="str">
        <f>TEXT(clean_data[[#This Row],[Date]],"mmm-yyyy")</f>
        <v>Sep-2022</v>
      </c>
      <c r="W632" s="8">
        <f>EOMONTH(clean_data[[#This Row],[Date]],-1)+1</f>
        <v>44805</v>
      </c>
    </row>
    <row r="633" spans="1:23" x14ac:dyDescent="0.3">
      <c r="A633" t="s">
        <v>705</v>
      </c>
      <c r="B633" s="1">
        <v>44990</v>
      </c>
      <c r="C633" t="s">
        <v>46</v>
      </c>
      <c r="D633" t="s">
        <v>47</v>
      </c>
      <c r="E633" t="s">
        <v>73</v>
      </c>
      <c r="F633" t="s">
        <v>20</v>
      </c>
      <c r="G633" t="s">
        <v>74</v>
      </c>
      <c r="H633">
        <v>9</v>
      </c>
      <c r="I633">
        <v>4200</v>
      </c>
      <c r="J633">
        <v>0</v>
      </c>
      <c r="K633">
        <v>37800</v>
      </c>
      <c r="L633">
        <v>15120</v>
      </c>
      <c r="M633">
        <v>22680</v>
      </c>
      <c r="N633" t="s">
        <v>22</v>
      </c>
      <c r="O633" t="s">
        <v>35</v>
      </c>
      <c r="P633" t="s">
        <v>24</v>
      </c>
      <c r="Q633" t="str">
        <f>TEXT(clean_data[[#This Row],[Date]],"mmm")</f>
        <v>Mar</v>
      </c>
      <c r="R633">
        <f>YEAR(clean_data[[#This Row],[Date]])</f>
        <v>2023</v>
      </c>
      <c r="S633" s="2">
        <f>clean_data[[#This Row],[Profit]]/clean_data[[#This Row],[Revenue]]</f>
        <v>0.6</v>
      </c>
      <c r="T633" t="str" cm="1">
        <f t="array" ref="T633">_xlfn.IFS(clean_data[[#This Row],[Revenue]]&lt;300000,"Small",
     clean_data[[#This Row],[Revenue]]&lt;700000,"Medium",
     TRUE,"Large")</f>
        <v>Small</v>
      </c>
      <c r="U633" t="str" cm="1">
        <f t="array" ref="U633">_xlfn.IFS(clean_data[[#This Row],[profit margin%]]&lt;0.5,"Low Profit",
     clean_data[[#This Row],[profit margin%]]&lt;0.6,"Medium Profit",
     TRUE,"High Profit")</f>
        <v>High Profit</v>
      </c>
      <c r="V633" t="str">
        <f>TEXT(clean_data[[#This Row],[Date]],"mmm-yyyy")</f>
        <v>Mar-2023</v>
      </c>
      <c r="W633" s="8">
        <f>EOMONTH(clean_data[[#This Row],[Date]],-1)+1</f>
        <v>44986</v>
      </c>
    </row>
    <row r="634" spans="1:23" x14ac:dyDescent="0.3">
      <c r="A634" t="s">
        <v>706</v>
      </c>
      <c r="B634" s="1">
        <v>44682</v>
      </c>
      <c r="C634" t="s">
        <v>58</v>
      </c>
      <c r="D634" t="s">
        <v>59</v>
      </c>
      <c r="E634" t="s">
        <v>56</v>
      </c>
      <c r="F634" t="s">
        <v>20</v>
      </c>
      <c r="G634" t="s">
        <v>21</v>
      </c>
      <c r="H634">
        <v>3</v>
      </c>
      <c r="I634">
        <v>3500</v>
      </c>
      <c r="J634">
        <v>20</v>
      </c>
      <c r="K634">
        <v>8400</v>
      </c>
      <c r="L634">
        <v>3360</v>
      </c>
      <c r="M634">
        <v>5040</v>
      </c>
      <c r="N634" t="s">
        <v>30</v>
      </c>
      <c r="O634" t="s">
        <v>23</v>
      </c>
      <c r="P634" t="s">
        <v>40</v>
      </c>
      <c r="Q634" t="str">
        <f>TEXT(clean_data[[#This Row],[Date]],"mmm")</f>
        <v>May</v>
      </c>
      <c r="R634">
        <f>YEAR(clean_data[[#This Row],[Date]])</f>
        <v>2022</v>
      </c>
      <c r="S634" s="2">
        <f>clean_data[[#This Row],[Profit]]/clean_data[[#This Row],[Revenue]]</f>
        <v>0.6</v>
      </c>
      <c r="T634" t="str" cm="1">
        <f t="array" ref="T634">_xlfn.IFS(clean_data[[#This Row],[Revenue]]&lt;300000,"Small",
     clean_data[[#This Row],[Revenue]]&lt;700000,"Medium",
     TRUE,"Large")</f>
        <v>Small</v>
      </c>
      <c r="U634" t="str" cm="1">
        <f t="array" ref="U634">_xlfn.IFS(clean_data[[#This Row],[profit margin%]]&lt;0.5,"Low Profit",
     clean_data[[#This Row],[profit margin%]]&lt;0.6,"Medium Profit",
     TRUE,"High Profit")</f>
        <v>High Profit</v>
      </c>
      <c r="V634" t="str">
        <f>TEXT(clean_data[[#This Row],[Date]],"mmm-yyyy")</f>
        <v>May-2022</v>
      </c>
      <c r="W634" s="8">
        <f>EOMONTH(clean_data[[#This Row],[Date]],-1)+1</f>
        <v>44682</v>
      </c>
    </row>
    <row r="635" spans="1:23" x14ac:dyDescent="0.3">
      <c r="A635" t="s">
        <v>707</v>
      </c>
      <c r="B635" s="1">
        <v>44782</v>
      </c>
      <c r="C635" t="s">
        <v>26</v>
      </c>
      <c r="D635" t="s">
        <v>27</v>
      </c>
      <c r="E635" t="s">
        <v>73</v>
      </c>
      <c r="F635" t="s">
        <v>28</v>
      </c>
      <c r="G635" t="s">
        <v>95</v>
      </c>
      <c r="H635">
        <v>8</v>
      </c>
      <c r="I635">
        <v>75000</v>
      </c>
      <c r="J635">
        <v>20</v>
      </c>
      <c r="K635">
        <v>480000</v>
      </c>
      <c r="L635">
        <v>264000</v>
      </c>
      <c r="M635">
        <v>216000</v>
      </c>
      <c r="N635" t="s">
        <v>22</v>
      </c>
      <c r="O635" t="s">
        <v>44</v>
      </c>
      <c r="P635" t="s">
        <v>24</v>
      </c>
      <c r="Q635" t="str">
        <f>TEXT(clean_data[[#This Row],[Date]],"mmm")</f>
        <v>Aug</v>
      </c>
      <c r="R635">
        <f>YEAR(clean_data[[#This Row],[Date]])</f>
        <v>2022</v>
      </c>
      <c r="S635" s="2">
        <f>clean_data[[#This Row],[Profit]]/clean_data[[#This Row],[Revenue]]</f>
        <v>0.45</v>
      </c>
      <c r="T635" t="str" cm="1">
        <f t="array" ref="T635">_xlfn.IFS(clean_data[[#This Row],[Revenue]]&lt;300000,"Small",
     clean_data[[#This Row],[Revenue]]&lt;700000,"Medium",
     TRUE,"Large")</f>
        <v>Medium</v>
      </c>
      <c r="U635" t="str" cm="1">
        <f t="array" ref="U635">_xlfn.IFS(clean_data[[#This Row],[profit margin%]]&lt;0.5,"Low Profit",
     clean_data[[#This Row],[profit margin%]]&lt;0.6,"Medium Profit",
     TRUE,"High Profit")</f>
        <v>Low Profit</v>
      </c>
      <c r="V635" t="str">
        <f>TEXT(clean_data[[#This Row],[Date]],"mmm-yyyy")</f>
        <v>Aug-2022</v>
      </c>
      <c r="W635" s="8">
        <f>EOMONTH(clean_data[[#This Row],[Date]],-1)+1</f>
        <v>44774</v>
      </c>
    </row>
    <row r="636" spans="1:23" x14ac:dyDescent="0.3">
      <c r="A636" t="s">
        <v>708</v>
      </c>
      <c r="B636" s="1">
        <v>44917</v>
      </c>
      <c r="C636" t="s">
        <v>17</v>
      </c>
      <c r="D636" t="s">
        <v>18</v>
      </c>
      <c r="E636" t="s">
        <v>52</v>
      </c>
      <c r="F636" t="s">
        <v>20</v>
      </c>
      <c r="G636" t="s">
        <v>61</v>
      </c>
      <c r="H636">
        <v>38</v>
      </c>
      <c r="I636">
        <v>800</v>
      </c>
      <c r="J636">
        <v>10</v>
      </c>
      <c r="K636">
        <v>27360</v>
      </c>
      <c r="L636">
        <v>10944</v>
      </c>
      <c r="M636">
        <v>16416</v>
      </c>
      <c r="N636" t="s">
        <v>30</v>
      </c>
      <c r="O636" t="s">
        <v>67</v>
      </c>
      <c r="P636" t="s">
        <v>24</v>
      </c>
      <c r="Q636" t="str">
        <f>TEXT(clean_data[[#This Row],[Date]],"mmm")</f>
        <v>Dec</v>
      </c>
      <c r="R636">
        <f>YEAR(clean_data[[#This Row],[Date]])</f>
        <v>2022</v>
      </c>
      <c r="S636" s="2">
        <f>clean_data[[#This Row],[Profit]]/clean_data[[#This Row],[Revenue]]</f>
        <v>0.6</v>
      </c>
      <c r="T636" t="str" cm="1">
        <f t="array" ref="T636">_xlfn.IFS(clean_data[[#This Row],[Revenue]]&lt;300000,"Small",
     clean_data[[#This Row],[Revenue]]&lt;700000,"Medium",
     TRUE,"Large")</f>
        <v>Small</v>
      </c>
      <c r="U636" t="str" cm="1">
        <f t="array" ref="U636">_xlfn.IFS(clean_data[[#This Row],[profit margin%]]&lt;0.5,"Low Profit",
     clean_data[[#This Row],[profit margin%]]&lt;0.6,"Medium Profit",
     TRUE,"High Profit")</f>
        <v>High Profit</v>
      </c>
      <c r="V636" t="str">
        <f>TEXT(clean_data[[#This Row],[Date]],"mmm-yyyy")</f>
        <v>Dec-2022</v>
      </c>
      <c r="W636" s="8">
        <f>EOMONTH(clean_data[[#This Row],[Date]],-1)+1</f>
        <v>44896</v>
      </c>
    </row>
    <row r="637" spans="1:23" x14ac:dyDescent="0.3">
      <c r="A637" t="s">
        <v>709</v>
      </c>
      <c r="B637" s="1">
        <v>45033</v>
      </c>
      <c r="C637" t="s">
        <v>26</v>
      </c>
      <c r="D637" t="s">
        <v>27</v>
      </c>
      <c r="E637" t="s">
        <v>38</v>
      </c>
      <c r="F637" t="s">
        <v>28</v>
      </c>
      <c r="G637" t="s">
        <v>29</v>
      </c>
      <c r="H637">
        <v>14</v>
      </c>
      <c r="I637">
        <v>15000</v>
      </c>
      <c r="J637">
        <v>5</v>
      </c>
      <c r="K637">
        <v>199500</v>
      </c>
      <c r="L637">
        <v>109725</v>
      </c>
      <c r="M637">
        <v>89775</v>
      </c>
      <c r="N637" t="s">
        <v>30</v>
      </c>
      <c r="O637" t="s">
        <v>67</v>
      </c>
      <c r="P637" t="s">
        <v>24</v>
      </c>
      <c r="Q637" t="str">
        <f>TEXT(clean_data[[#This Row],[Date]],"mmm")</f>
        <v>Apr</v>
      </c>
      <c r="R637">
        <f>YEAR(clean_data[[#This Row],[Date]])</f>
        <v>2023</v>
      </c>
      <c r="S637" s="2">
        <f>clean_data[[#This Row],[Profit]]/clean_data[[#This Row],[Revenue]]</f>
        <v>0.45</v>
      </c>
      <c r="T637" t="str" cm="1">
        <f t="array" ref="T637">_xlfn.IFS(clean_data[[#This Row],[Revenue]]&lt;300000,"Small",
     clean_data[[#This Row],[Revenue]]&lt;700000,"Medium",
     TRUE,"Large")</f>
        <v>Small</v>
      </c>
      <c r="U637" t="str" cm="1">
        <f t="array" ref="U637">_xlfn.IFS(clean_data[[#This Row],[profit margin%]]&lt;0.5,"Low Profit",
     clean_data[[#This Row],[profit margin%]]&lt;0.6,"Medium Profit",
     TRUE,"High Profit")</f>
        <v>Low Profit</v>
      </c>
      <c r="V637" t="str">
        <f>TEXT(clean_data[[#This Row],[Date]],"mmm-yyyy")</f>
        <v>Apr-2023</v>
      </c>
      <c r="W637" s="8">
        <f>EOMONTH(clean_data[[#This Row],[Date]],-1)+1</f>
        <v>45017</v>
      </c>
    </row>
    <row r="638" spans="1:23" x14ac:dyDescent="0.3">
      <c r="A638" t="s">
        <v>710</v>
      </c>
      <c r="B638" s="1">
        <v>44585</v>
      </c>
      <c r="C638" t="s">
        <v>26</v>
      </c>
      <c r="D638" t="s">
        <v>27</v>
      </c>
      <c r="E638" t="s">
        <v>111</v>
      </c>
      <c r="F638" t="s">
        <v>65</v>
      </c>
      <c r="G638" t="s">
        <v>124</v>
      </c>
      <c r="H638">
        <v>45</v>
      </c>
      <c r="I638">
        <v>18000</v>
      </c>
      <c r="J638">
        <v>20</v>
      </c>
      <c r="K638">
        <v>648000</v>
      </c>
      <c r="L638">
        <v>291600</v>
      </c>
      <c r="M638">
        <v>356400</v>
      </c>
      <c r="N638" t="s">
        <v>49</v>
      </c>
      <c r="O638" t="s">
        <v>35</v>
      </c>
      <c r="P638" t="s">
        <v>24</v>
      </c>
      <c r="Q638" t="str">
        <f>TEXT(clean_data[[#This Row],[Date]],"mmm")</f>
        <v>Jan</v>
      </c>
      <c r="R638">
        <f>YEAR(clean_data[[#This Row],[Date]])</f>
        <v>2022</v>
      </c>
      <c r="S638" s="2">
        <f>clean_data[[#This Row],[Profit]]/clean_data[[#This Row],[Revenue]]</f>
        <v>0.55000000000000004</v>
      </c>
      <c r="T638" t="str" cm="1">
        <f t="array" ref="T638">_xlfn.IFS(clean_data[[#This Row],[Revenue]]&lt;300000,"Small",
     clean_data[[#This Row],[Revenue]]&lt;700000,"Medium",
     TRUE,"Large")</f>
        <v>Medium</v>
      </c>
      <c r="U638" t="str" cm="1">
        <f t="array" ref="U638">_xlfn.IFS(clean_data[[#This Row],[profit margin%]]&lt;0.5,"Low Profit",
     clean_data[[#This Row],[profit margin%]]&lt;0.6,"Medium Profit",
     TRUE,"High Profit")</f>
        <v>Medium Profit</v>
      </c>
      <c r="V638" t="str">
        <f>TEXT(clean_data[[#This Row],[Date]],"mmm-yyyy")</f>
        <v>Jan-2022</v>
      </c>
      <c r="W638" s="8">
        <f>EOMONTH(clean_data[[#This Row],[Date]],-1)+1</f>
        <v>44562</v>
      </c>
    </row>
    <row r="639" spans="1:23" x14ac:dyDescent="0.3">
      <c r="A639" t="s">
        <v>711</v>
      </c>
      <c r="B639" s="1">
        <v>44922</v>
      </c>
      <c r="C639" t="s">
        <v>17</v>
      </c>
      <c r="D639" t="s">
        <v>37</v>
      </c>
      <c r="E639" t="s">
        <v>32</v>
      </c>
      <c r="F639" t="s">
        <v>20</v>
      </c>
      <c r="G639" t="s">
        <v>53</v>
      </c>
      <c r="H639">
        <v>15</v>
      </c>
      <c r="I639">
        <v>600</v>
      </c>
      <c r="J639">
        <v>15</v>
      </c>
      <c r="K639">
        <v>7650</v>
      </c>
      <c r="L639">
        <v>3060</v>
      </c>
      <c r="M639">
        <v>4590</v>
      </c>
      <c r="N639" t="s">
        <v>49</v>
      </c>
      <c r="O639" t="s">
        <v>35</v>
      </c>
      <c r="P639" t="s">
        <v>24</v>
      </c>
      <c r="Q639" t="str">
        <f>TEXT(clean_data[[#This Row],[Date]],"mmm")</f>
        <v>Dec</v>
      </c>
      <c r="R639">
        <f>YEAR(clean_data[[#This Row],[Date]])</f>
        <v>2022</v>
      </c>
      <c r="S639" s="2">
        <f>clean_data[[#This Row],[Profit]]/clean_data[[#This Row],[Revenue]]</f>
        <v>0.6</v>
      </c>
      <c r="T639" t="str" cm="1">
        <f t="array" ref="T639">_xlfn.IFS(clean_data[[#This Row],[Revenue]]&lt;300000,"Small",
     clean_data[[#This Row],[Revenue]]&lt;700000,"Medium",
     TRUE,"Large")</f>
        <v>Small</v>
      </c>
      <c r="U639" t="str" cm="1">
        <f t="array" ref="U639">_xlfn.IFS(clean_data[[#This Row],[profit margin%]]&lt;0.5,"Low Profit",
     clean_data[[#This Row],[profit margin%]]&lt;0.6,"Medium Profit",
     TRUE,"High Profit")</f>
        <v>High Profit</v>
      </c>
      <c r="V639" t="str">
        <f>TEXT(clean_data[[#This Row],[Date]],"mmm-yyyy")</f>
        <v>Dec-2022</v>
      </c>
      <c r="W639" s="8">
        <f>EOMONTH(clean_data[[#This Row],[Date]],-1)+1</f>
        <v>44896</v>
      </c>
    </row>
    <row r="640" spans="1:23" x14ac:dyDescent="0.3">
      <c r="A640" t="s">
        <v>712</v>
      </c>
      <c r="B640" s="1">
        <v>45447</v>
      </c>
      <c r="C640" t="s">
        <v>46</v>
      </c>
      <c r="D640" t="s">
        <v>55</v>
      </c>
      <c r="E640" t="s">
        <v>70</v>
      </c>
      <c r="F640" t="s">
        <v>33</v>
      </c>
      <c r="G640" t="s">
        <v>43</v>
      </c>
      <c r="H640">
        <v>47</v>
      </c>
      <c r="I640">
        <v>4000</v>
      </c>
      <c r="J640">
        <v>0</v>
      </c>
      <c r="K640">
        <v>188000</v>
      </c>
      <c r="L640">
        <v>94000</v>
      </c>
      <c r="M640">
        <v>94000</v>
      </c>
      <c r="N640" t="s">
        <v>49</v>
      </c>
      <c r="O640" t="s">
        <v>23</v>
      </c>
      <c r="P640" t="s">
        <v>24</v>
      </c>
      <c r="Q640" t="str">
        <f>TEXT(clean_data[[#This Row],[Date]],"mmm")</f>
        <v>Jun</v>
      </c>
      <c r="R640">
        <f>YEAR(clean_data[[#This Row],[Date]])</f>
        <v>2024</v>
      </c>
      <c r="S640" s="2">
        <f>clean_data[[#This Row],[Profit]]/clean_data[[#This Row],[Revenue]]</f>
        <v>0.5</v>
      </c>
      <c r="T640" t="str" cm="1">
        <f t="array" ref="T640">_xlfn.IFS(clean_data[[#This Row],[Revenue]]&lt;300000,"Small",
     clean_data[[#This Row],[Revenue]]&lt;700000,"Medium",
     TRUE,"Large")</f>
        <v>Small</v>
      </c>
      <c r="U640" t="str" cm="1">
        <f t="array" ref="U640">_xlfn.IFS(clean_data[[#This Row],[profit margin%]]&lt;0.5,"Low Profit",
     clean_data[[#This Row],[profit margin%]]&lt;0.6,"Medium Profit",
     TRUE,"High Profit")</f>
        <v>Medium Profit</v>
      </c>
      <c r="V640" t="str">
        <f>TEXT(clean_data[[#This Row],[Date]],"mmm-yyyy")</f>
        <v>Jun-2024</v>
      </c>
      <c r="W640" s="8">
        <f>EOMONTH(clean_data[[#This Row],[Date]],-1)+1</f>
        <v>45444</v>
      </c>
    </row>
    <row r="641" spans="1:23" x14ac:dyDescent="0.3">
      <c r="A641" t="s">
        <v>713</v>
      </c>
      <c r="B641" s="1">
        <v>44786</v>
      </c>
      <c r="C641" t="s">
        <v>17</v>
      </c>
      <c r="D641" t="s">
        <v>37</v>
      </c>
      <c r="E641" t="s">
        <v>38</v>
      </c>
      <c r="F641" t="s">
        <v>33</v>
      </c>
      <c r="G641" t="s">
        <v>48</v>
      </c>
      <c r="H641">
        <v>15</v>
      </c>
      <c r="I641">
        <v>1500</v>
      </c>
      <c r="J641">
        <v>20</v>
      </c>
      <c r="K641">
        <v>18000</v>
      </c>
      <c r="L641">
        <v>9000</v>
      </c>
      <c r="M641">
        <v>9000</v>
      </c>
      <c r="N641" t="s">
        <v>49</v>
      </c>
      <c r="O641" t="s">
        <v>23</v>
      </c>
      <c r="P641" t="s">
        <v>24</v>
      </c>
      <c r="Q641" t="str">
        <f>TEXT(clean_data[[#This Row],[Date]],"mmm")</f>
        <v>Aug</v>
      </c>
      <c r="R641">
        <f>YEAR(clean_data[[#This Row],[Date]])</f>
        <v>2022</v>
      </c>
      <c r="S641" s="2">
        <f>clean_data[[#This Row],[Profit]]/clean_data[[#This Row],[Revenue]]</f>
        <v>0.5</v>
      </c>
      <c r="T641" t="str" cm="1">
        <f t="array" ref="T641">_xlfn.IFS(clean_data[[#This Row],[Revenue]]&lt;300000,"Small",
     clean_data[[#This Row],[Revenue]]&lt;700000,"Medium",
     TRUE,"Large")</f>
        <v>Small</v>
      </c>
      <c r="U641" t="str" cm="1">
        <f t="array" ref="U641">_xlfn.IFS(clean_data[[#This Row],[profit margin%]]&lt;0.5,"Low Profit",
     clean_data[[#This Row],[profit margin%]]&lt;0.6,"Medium Profit",
     TRUE,"High Profit")</f>
        <v>Medium Profit</v>
      </c>
      <c r="V641" t="str">
        <f>TEXT(clean_data[[#This Row],[Date]],"mmm-yyyy")</f>
        <v>Aug-2022</v>
      </c>
      <c r="W641" s="8">
        <f>EOMONTH(clean_data[[#This Row],[Date]],-1)+1</f>
        <v>44774</v>
      </c>
    </row>
    <row r="642" spans="1:23" x14ac:dyDescent="0.3">
      <c r="A642" t="s">
        <v>714</v>
      </c>
      <c r="B642" s="1">
        <v>44954</v>
      </c>
      <c r="C642" t="s">
        <v>26</v>
      </c>
      <c r="D642" t="s">
        <v>69</v>
      </c>
      <c r="E642" t="s">
        <v>70</v>
      </c>
      <c r="F642" t="s">
        <v>20</v>
      </c>
      <c r="G642" t="s">
        <v>21</v>
      </c>
      <c r="H642">
        <v>44</v>
      </c>
      <c r="I642">
        <v>3500</v>
      </c>
      <c r="J642">
        <v>15</v>
      </c>
      <c r="K642">
        <v>130900</v>
      </c>
      <c r="L642">
        <v>52360</v>
      </c>
      <c r="M642">
        <v>78540</v>
      </c>
      <c r="N642" t="s">
        <v>49</v>
      </c>
      <c r="O642" t="s">
        <v>23</v>
      </c>
      <c r="P642" t="s">
        <v>24</v>
      </c>
      <c r="Q642" t="str">
        <f>TEXT(clean_data[[#This Row],[Date]],"mmm")</f>
        <v>Jan</v>
      </c>
      <c r="R642">
        <f>YEAR(clean_data[[#This Row],[Date]])</f>
        <v>2023</v>
      </c>
      <c r="S642" s="2">
        <f>clean_data[[#This Row],[Profit]]/clean_data[[#This Row],[Revenue]]</f>
        <v>0.6</v>
      </c>
      <c r="T642" t="str" cm="1">
        <f t="array" ref="T642">_xlfn.IFS(clean_data[[#This Row],[Revenue]]&lt;300000,"Small",
     clean_data[[#This Row],[Revenue]]&lt;700000,"Medium",
     TRUE,"Large")</f>
        <v>Small</v>
      </c>
      <c r="U642" t="str" cm="1">
        <f t="array" ref="U642">_xlfn.IFS(clean_data[[#This Row],[profit margin%]]&lt;0.5,"Low Profit",
     clean_data[[#This Row],[profit margin%]]&lt;0.6,"Medium Profit",
     TRUE,"High Profit")</f>
        <v>High Profit</v>
      </c>
      <c r="V642" t="str">
        <f>TEXT(clean_data[[#This Row],[Date]],"mmm-yyyy")</f>
        <v>Jan-2023</v>
      </c>
      <c r="W642" s="8">
        <f>EOMONTH(clean_data[[#This Row],[Date]],-1)+1</f>
        <v>44927</v>
      </c>
    </row>
    <row r="643" spans="1:23" x14ac:dyDescent="0.3">
      <c r="A643" t="s">
        <v>715</v>
      </c>
      <c r="B643" s="1">
        <v>45587</v>
      </c>
      <c r="C643" t="s">
        <v>26</v>
      </c>
      <c r="D643" t="s">
        <v>27</v>
      </c>
      <c r="E643" t="s">
        <v>78</v>
      </c>
      <c r="F643" t="s">
        <v>65</v>
      </c>
      <c r="G643" t="s">
        <v>66</v>
      </c>
      <c r="H643">
        <v>45</v>
      </c>
      <c r="I643">
        <v>5500</v>
      </c>
      <c r="J643">
        <v>20</v>
      </c>
      <c r="K643">
        <v>198000</v>
      </c>
      <c r="L643">
        <v>89100</v>
      </c>
      <c r="M643">
        <v>108900</v>
      </c>
      <c r="N643" t="s">
        <v>22</v>
      </c>
      <c r="O643" t="s">
        <v>44</v>
      </c>
      <c r="P643" t="s">
        <v>24</v>
      </c>
      <c r="Q643" t="str">
        <f>TEXT(clean_data[[#This Row],[Date]],"mmm")</f>
        <v>Oct</v>
      </c>
      <c r="R643">
        <f>YEAR(clean_data[[#This Row],[Date]])</f>
        <v>2024</v>
      </c>
      <c r="S643" s="2">
        <f>clean_data[[#This Row],[Profit]]/clean_data[[#This Row],[Revenue]]</f>
        <v>0.55000000000000004</v>
      </c>
      <c r="T643" t="str" cm="1">
        <f t="array" ref="T643">_xlfn.IFS(clean_data[[#This Row],[Revenue]]&lt;300000,"Small",
     clean_data[[#This Row],[Revenue]]&lt;700000,"Medium",
     TRUE,"Large")</f>
        <v>Small</v>
      </c>
      <c r="U643" t="str" cm="1">
        <f t="array" ref="U643">_xlfn.IFS(clean_data[[#This Row],[profit margin%]]&lt;0.5,"Low Profit",
     clean_data[[#This Row],[profit margin%]]&lt;0.6,"Medium Profit",
     TRUE,"High Profit")</f>
        <v>Medium Profit</v>
      </c>
      <c r="V643" t="str">
        <f>TEXT(clean_data[[#This Row],[Date]],"mmm-yyyy")</f>
        <v>Oct-2024</v>
      </c>
      <c r="W643" s="8">
        <f>EOMONTH(clean_data[[#This Row],[Date]],-1)+1</f>
        <v>45566</v>
      </c>
    </row>
    <row r="644" spans="1:23" x14ac:dyDescent="0.3">
      <c r="A644" t="s">
        <v>716</v>
      </c>
      <c r="B644" s="1">
        <v>44693</v>
      </c>
      <c r="C644" t="s">
        <v>46</v>
      </c>
      <c r="D644" t="s">
        <v>55</v>
      </c>
      <c r="E644" t="s">
        <v>19</v>
      </c>
      <c r="F644" t="s">
        <v>65</v>
      </c>
      <c r="G644" t="s">
        <v>117</v>
      </c>
      <c r="H644">
        <v>15</v>
      </c>
      <c r="I644">
        <v>1200</v>
      </c>
      <c r="J644">
        <v>15</v>
      </c>
      <c r="K644">
        <v>15300</v>
      </c>
      <c r="L644">
        <v>6885</v>
      </c>
      <c r="M644">
        <v>8415</v>
      </c>
      <c r="N644" t="s">
        <v>49</v>
      </c>
      <c r="O644" t="s">
        <v>67</v>
      </c>
      <c r="P644" t="s">
        <v>24</v>
      </c>
      <c r="Q644" t="str">
        <f>TEXT(clean_data[[#This Row],[Date]],"mmm")</f>
        <v>May</v>
      </c>
      <c r="R644">
        <f>YEAR(clean_data[[#This Row],[Date]])</f>
        <v>2022</v>
      </c>
      <c r="S644" s="2">
        <f>clean_data[[#This Row],[Profit]]/clean_data[[#This Row],[Revenue]]</f>
        <v>0.55000000000000004</v>
      </c>
      <c r="T644" t="str" cm="1">
        <f t="array" ref="T644">_xlfn.IFS(clean_data[[#This Row],[Revenue]]&lt;300000,"Small",
     clean_data[[#This Row],[Revenue]]&lt;700000,"Medium",
     TRUE,"Large")</f>
        <v>Small</v>
      </c>
      <c r="U644" t="str" cm="1">
        <f t="array" ref="U644">_xlfn.IFS(clean_data[[#This Row],[profit margin%]]&lt;0.5,"Low Profit",
     clean_data[[#This Row],[profit margin%]]&lt;0.6,"Medium Profit",
     TRUE,"High Profit")</f>
        <v>Medium Profit</v>
      </c>
      <c r="V644" t="str">
        <f>TEXT(clean_data[[#This Row],[Date]],"mmm-yyyy")</f>
        <v>May-2022</v>
      </c>
      <c r="W644" s="8">
        <f>EOMONTH(clean_data[[#This Row],[Date]],-1)+1</f>
        <v>44682</v>
      </c>
    </row>
    <row r="645" spans="1:23" x14ac:dyDescent="0.3">
      <c r="A645" t="s">
        <v>717</v>
      </c>
      <c r="B645" s="1">
        <v>45102</v>
      </c>
      <c r="C645" t="s">
        <v>58</v>
      </c>
      <c r="D645" t="s">
        <v>59</v>
      </c>
      <c r="E645" t="s">
        <v>60</v>
      </c>
      <c r="F645" t="s">
        <v>65</v>
      </c>
      <c r="G645" t="s">
        <v>66</v>
      </c>
      <c r="H645">
        <v>33</v>
      </c>
      <c r="I645">
        <v>5500</v>
      </c>
      <c r="J645">
        <v>10</v>
      </c>
      <c r="K645">
        <v>163350</v>
      </c>
      <c r="L645">
        <v>73507.5</v>
      </c>
      <c r="M645">
        <v>89842.5</v>
      </c>
      <c r="N645" t="s">
        <v>49</v>
      </c>
      <c r="O645" t="s">
        <v>35</v>
      </c>
      <c r="P645" t="s">
        <v>24</v>
      </c>
      <c r="Q645" t="str">
        <f>TEXT(clean_data[[#This Row],[Date]],"mmm")</f>
        <v>Jun</v>
      </c>
      <c r="R645">
        <f>YEAR(clean_data[[#This Row],[Date]])</f>
        <v>2023</v>
      </c>
      <c r="S645" s="2">
        <f>clean_data[[#This Row],[Profit]]/clean_data[[#This Row],[Revenue]]</f>
        <v>0.55000000000000004</v>
      </c>
      <c r="T645" t="str" cm="1">
        <f t="array" ref="T645">_xlfn.IFS(clean_data[[#This Row],[Revenue]]&lt;300000,"Small",
     clean_data[[#This Row],[Revenue]]&lt;700000,"Medium",
     TRUE,"Large")</f>
        <v>Small</v>
      </c>
      <c r="U645" t="str" cm="1">
        <f t="array" ref="U645">_xlfn.IFS(clean_data[[#This Row],[profit margin%]]&lt;0.5,"Low Profit",
     clean_data[[#This Row],[profit margin%]]&lt;0.6,"Medium Profit",
     TRUE,"High Profit")</f>
        <v>Medium Profit</v>
      </c>
      <c r="V645" t="str">
        <f>TEXT(clean_data[[#This Row],[Date]],"mmm-yyyy")</f>
        <v>Jun-2023</v>
      </c>
      <c r="W645" s="8">
        <f>EOMONTH(clean_data[[#This Row],[Date]],-1)+1</f>
        <v>45078</v>
      </c>
    </row>
    <row r="646" spans="1:23" x14ac:dyDescent="0.3">
      <c r="A646" t="s">
        <v>718</v>
      </c>
      <c r="B646" s="1">
        <v>44782</v>
      </c>
      <c r="C646" t="s">
        <v>58</v>
      </c>
      <c r="D646" t="s">
        <v>59</v>
      </c>
      <c r="E646" t="s">
        <v>19</v>
      </c>
      <c r="F646" t="s">
        <v>20</v>
      </c>
      <c r="G646" t="s">
        <v>21</v>
      </c>
      <c r="H646">
        <v>7</v>
      </c>
      <c r="I646">
        <v>3500</v>
      </c>
      <c r="J646">
        <v>0</v>
      </c>
      <c r="K646">
        <v>24500</v>
      </c>
      <c r="L646">
        <v>9800</v>
      </c>
      <c r="M646">
        <v>14700</v>
      </c>
      <c r="N646" t="s">
        <v>49</v>
      </c>
      <c r="O646" t="s">
        <v>35</v>
      </c>
      <c r="P646" t="s">
        <v>24</v>
      </c>
      <c r="Q646" t="str">
        <f>TEXT(clean_data[[#This Row],[Date]],"mmm")</f>
        <v>Aug</v>
      </c>
      <c r="R646">
        <f>YEAR(clean_data[[#This Row],[Date]])</f>
        <v>2022</v>
      </c>
      <c r="S646" s="2">
        <f>clean_data[[#This Row],[Profit]]/clean_data[[#This Row],[Revenue]]</f>
        <v>0.6</v>
      </c>
      <c r="T646" t="str" cm="1">
        <f t="array" ref="T646">_xlfn.IFS(clean_data[[#This Row],[Revenue]]&lt;300000,"Small",
     clean_data[[#This Row],[Revenue]]&lt;700000,"Medium",
     TRUE,"Large")</f>
        <v>Small</v>
      </c>
      <c r="U646" t="str" cm="1">
        <f t="array" ref="U646">_xlfn.IFS(clean_data[[#This Row],[profit margin%]]&lt;0.5,"Low Profit",
     clean_data[[#This Row],[profit margin%]]&lt;0.6,"Medium Profit",
     TRUE,"High Profit")</f>
        <v>High Profit</v>
      </c>
      <c r="V646" t="str">
        <f>TEXT(clean_data[[#This Row],[Date]],"mmm-yyyy")</f>
        <v>Aug-2022</v>
      </c>
      <c r="W646" s="8">
        <f>EOMONTH(clean_data[[#This Row],[Date]],-1)+1</f>
        <v>44774</v>
      </c>
    </row>
    <row r="647" spans="1:23" x14ac:dyDescent="0.3">
      <c r="A647" t="s">
        <v>719</v>
      </c>
      <c r="B647" s="1">
        <v>44908</v>
      </c>
      <c r="C647" t="s">
        <v>17</v>
      </c>
      <c r="D647" t="s">
        <v>18</v>
      </c>
      <c r="E647" t="s">
        <v>73</v>
      </c>
      <c r="F647" t="s">
        <v>28</v>
      </c>
      <c r="G647" t="s">
        <v>95</v>
      </c>
      <c r="H647">
        <v>43</v>
      </c>
      <c r="I647">
        <v>75000</v>
      </c>
      <c r="J647">
        <v>20</v>
      </c>
      <c r="K647">
        <v>2580000</v>
      </c>
      <c r="L647">
        <v>1419000</v>
      </c>
      <c r="M647">
        <v>1161000</v>
      </c>
      <c r="N647" t="s">
        <v>49</v>
      </c>
      <c r="O647" t="s">
        <v>44</v>
      </c>
      <c r="P647" t="s">
        <v>24</v>
      </c>
      <c r="Q647" t="str">
        <f>TEXT(clean_data[[#This Row],[Date]],"mmm")</f>
        <v>Dec</v>
      </c>
      <c r="R647">
        <f>YEAR(clean_data[[#This Row],[Date]])</f>
        <v>2022</v>
      </c>
      <c r="S647" s="2">
        <f>clean_data[[#This Row],[Profit]]/clean_data[[#This Row],[Revenue]]</f>
        <v>0.45</v>
      </c>
      <c r="T647" t="str" cm="1">
        <f t="array" ref="T647">_xlfn.IFS(clean_data[[#This Row],[Revenue]]&lt;300000,"Small",
     clean_data[[#This Row],[Revenue]]&lt;700000,"Medium",
     TRUE,"Large")</f>
        <v>Large</v>
      </c>
      <c r="U647" t="str" cm="1">
        <f t="array" ref="U647">_xlfn.IFS(clean_data[[#This Row],[profit margin%]]&lt;0.5,"Low Profit",
     clean_data[[#This Row],[profit margin%]]&lt;0.6,"Medium Profit",
     TRUE,"High Profit")</f>
        <v>Low Profit</v>
      </c>
      <c r="V647" t="str">
        <f>TEXT(clean_data[[#This Row],[Date]],"mmm-yyyy")</f>
        <v>Dec-2022</v>
      </c>
      <c r="W647" s="8">
        <f>EOMONTH(clean_data[[#This Row],[Date]],-1)+1</f>
        <v>44896</v>
      </c>
    </row>
    <row r="648" spans="1:23" x14ac:dyDescent="0.3">
      <c r="A648" t="s">
        <v>720</v>
      </c>
      <c r="B648" s="1">
        <v>45129</v>
      </c>
      <c r="C648" t="s">
        <v>58</v>
      </c>
      <c r="D648" t="s">
        <v>59</v>
      </c>
      <c r="E648" t="s">
        <v>111</v>
      </c>
      <c r="F648" t="s">
        <v>33</v>
      </c>
      <c r="G648" t="s">
        <v>43</v>
      </c>
      <c r="H648">
        <v>22</v>
      </c>
      <c r="I648">
        <v>4000</v>
      </c>
      <c r="J648">
        <v>20</v>
      </c>
      <c r="K648">
        <v>70400</v>
      </c>
      <c r="L648">
        <v>35200</v>
      </c>
      <c r="M648">
        <v>35200</v>
      </c>
      <c r="N648" t="s">
        <v>30</v>
      </c>
      <c r="O648" t="s">
        <v>35</v>
      </c>
      <c r="P648" t="s">
        <v>40</v>
      </c>
      <c r="Q648" t="str">
        <f>TEXT(clean_data[[#This Row],[Date]],"mmm")</f>
        <v>Jul</v>
      </c>
      <c r="R648">
        <f>YEAR(clean_data[[#This Row],[Date]])</f>
        <v>2023</v>
      </c>
      <c r="S648" s="2">
        <f>clean_data[[#This Row],[Profit]]/clean_data[[#This Row],[Revenue]]</f>
        <v>0.5</v>
      </c>
      <c r="T648" t="str" cm="1">
        <f t="array" ref="T648">_xlfn.IFS(clean_data[[#This Row],[Revenue]]&lt;300000,"Small",
     clean_data[[#This Row],[Revenue]]&lt;700000,"Medium",
     TRUE,"Large")</f>
        <v>Small</v>
      </c>
      <c r="U648" t="str" cm="1">
        <f t="array" ref="U648">_xlfn.IFS(clean_data[[#This Row],[profit margin%]]&lt;0.5,"Low Profit",
     clean_data[[#This Row],[profit margin%]]&lt;0.6,"Medium Profit",
     TRUE,"High Profit")</f>
        <v>Medium Profit</v>
      </c>
      <c r="V648" t="str">
        <f>TEXT(clean_data[[#This Row],[Date]],"mmm-yyyy")</f>
        <v>Jul-2023</v>
      </c>
      <c r="W648" s="8">
        <f>EOMONTH(clean_data[[#This Row],[Date]],-1)+1</f>
        <v>45108</v>
      </c>
    </row>
    <row r="649" spans="1:23" x14ac:dyDescent="0.3">
      <c r="A649" t="s">
        <v>721</v>
      </c>
      <c r="B649" s="1">
        <v>45386</v>
      </c>
      <c r="C649" t="s">
        <v>58</v>
      </c>
      <c r="D649" t="s">
        <v>59</v>
      </c>
      <c r="E649" t="s">
        <v>70</v>
      </c>
      <c r="F649" t="s">
        <v>65</v>
      </c>
      <c r="G649" t="s">
        <v>66</v>
      </c>
      <c r="H649">
        <v>30</v>
      </c>
      <c r="I649">
        <v>5500</v>
      </c>
      <c r="J649">
        <v>0</v>
      </c>
      <c r="K649">
        <v>165000</v>
      </c>
      <c r="L649">
        <v>74250</v>
      </c>
      <c r="M649">
        <v>90750</v>
      </c>
      <c r="N649" t="s">
        <v>30</v>
      </c>
      <c r="O649" t="s">
        <v>67</v>
      </c>
      <c r="P649" t="s">
        <v>24</v>
      </c>
      <c r="Q649" t="str">
        <f>TEXT(clean_data[[#This Row],[Date]],"mmm")</f>
        <v>Apr</v>
      </c>
      <c r="R649">
        <f>YEAR(clean_data[[#This Row],[Date]])</f>
        <v>2024</v>
      </c>
      <c r="S649" s="2">
        <f>clean_data[[#This Row],[Profit]]/clean_data[[#This Row],[Revenue]]</f>
        <v>0.55000000000000004</v>
      </c>
      <c r="T649" t="str" cm="1">
        <f t="array" ref="T649">_xlfn.IFS(clean_data[[#This Row],[Revenue]]&lt;300000,"Small",
     clean_data[[#This Row],[Revenue]]&lt;700000,"Medium",
     TRUE,"Large")</f>
        <v>Small</v>
      </c>
      <c r="U649" t="str" cm="1">
        <f t="array" ref="U649">_xlfn.IFS(clean_data[[#This Row],[profit margin%]]&lt;0.5,"Low Profit",
     clean_data[[#This Row],[profit margin%]]&lt;0.6,"Medium Profit",
     TRUE,"High Profit")</f>
        <v>Medium Profit</v>
      </c>
      <c r="V649" t="str">
        <f>TEXT(clean_data[[#This Row],[Date]],"mmm-yyyy")</f>
        <v>Apr-2024</v>
      </c>
      <c r="W649" s="8">
        <f>EOMONTH(clean_data[[#This Row],[Date]],-1)+1</f>
        <v>45383</v>
      </c>
    </row>
    <row r="650" spans="1:23" x14ac:dyDescent="0.3">
      <c r="A650" t="s">
        <v>722</v>
      </c>
      <c r="B650" s="1">
        <v>45161</v>
      </c>
      <c r="C650" t="s">
        <v>46</v>
      </c>
      <c r="D650" t="s">
        <v>55</v>
      </c>
      <c r="E650" t="s">
        <v>32</v>
      </c>
      <c r="F650" t="s">
        <v>20</v>
      </c>
      <c r="G650" t="s">
        <v>61</v>
      </c>
      <c r="H650">
        <v>46</v>
      </c>
      <c r="I650">
        <v>800</v>
      </c>
      <c r="J650">
        <v>15</v>
      </c>
      <c r="K650">
        <v>31280</v>
      </c>
      <c r="L650">
        <v>12512</v>
      </c>
      <c r="M650">
        <v>18768</v>
      </c>
      <c r="N650" t="s">
        <v>30</v>
      </c>
      <c r="O650" t="s">
        <v>67</v>
      </c>
      <c r="P650" t="s">
        <v>24</v>
      </c>
      <c r="Q650" t="str">
        <f>TEXT(clean_data[[#This Row],[Date]],"mmm")</f>
        <v>Aug</v>
      </c>
      <c r="R650">
        <f>YEAR(clean_data[[#This Row],[Date]])</f>
        <v>2023</v>
      </c>
      <c r="S650" s="2">
        <f>clean_data[[#This Row],[Profit]]/clean_data[[#This Row],[Revenue]]</f>
        <v>0.6</v>
      </c>
      <c r="T650" t="str" cm="1">
        <f t="array" ref="T650">_xlfn.IFS(clean_data[[#This Row],[Revenue]]&lt;300000,"Small",
     clean_data[[#This Row],[Revenue]]&lt;700000,"Medium",
     TRUE,"Large")</f>
        <v>Small</v>
      </c>
      <c r="U650" t="str" cm="1">
        <f t="array" ref="U650">_xlfn.IFS(clean_data[[#This Row],[profit margin%]]&lt;0.5,"Low Profit",
     clean_data[[#This Row],[profit margin%]]&lt;0.6,"Medium Profit",
     TRUE,"High Profit")</f>
        <v>High Profit</v>
      </c>
      <c r="V650" t="str">
        <f>TEXT(clean_data[[#This Row],[Date]],"mmm-yyyy")</f>
        <v>Aug-2023</v>
      </c>
      <c r="W650" s="8">
        <f>EOMONTH(clean_data[[#This Row],[Date]],-1)+1</f>
        <v>45139</v>
      </c>
    </row>
    <row r="651" spans="1:23" x14ac:dyDescent="0.3">
      <c r="A651" t="s">
        <v>723</v>
      </c>
      <c r="B651" s="1">
        <v>45526</v>
      </c>
      <c r="C651" t="s">
        <v>58</v>
      </c>
      <c r="D651" t="s">
        <v>59</v>
      </c>
      <c r="E651" t="s">
        <v>111</v>
      </c>
      <c r="F651" t="s">
        <v>20</v>
      </c>
      <c r="G651" t="s">
        <v>53</v>
      </c>
      <c r="H651">
        <v>4</v>
      </c>
      <c r="I651">
        <v>600</v>
      </c>
      <c r="J651">
        <v>15</v>
      </c>
      <c r="K651">
        <v>2040</v>
      </c>
      <c r="L651">
        <v>816</v>
      </c>
      <c r="M651">
        <v>1224</v>
      </c>
      <c r="N651" t="s">
        <v>49</v>
      </c>
      <c r="O651" t="s">
        <v>67</v>
      </c>
      <c r="P651" t="s">
        <v>24</v>
      </c>
      <c r="Q651" t="str">
        <f>TEXT(clean_data[[#This Row],[Date]],"mmm")</f>
        <v>Aug</v>
      </c>
      <c r="R651">
        <f>YEAR(clean_data[[#This Row],[Date]])</f>
        <v>2024</v>
      </c>
      <c r="S651" s="2">
        <f>clean_data[[#This Row],[Profit]]/clean_data[[#This Row],[Revenue]]</f>
        <v>0.6</v>
      </c>
      <c r="T651" t="str" cm="1">
        <f t="array" ref="T651">_xlfn.IFS(clean_data[[#This Row],[Revenue]]&lt;300000,"Small",
     clean_data[[#This Row],[Revenue]]&lt;700000,"Medium",
     TRUE,"Large")</f>
        <v>Small</v>
      </c>
      <c r="U651" t="str" cm="1">
        <f t="array" ref="U651">_xlfn.IFS(clean_data[[#This Row],[profit margin%]]&lt;0.5,"Low Profit",
     clean_data[[#This Row],[profit margin%]]&lt;0.6,"Medium Profit",
     TRUE,"High Profit")</f>
        <v>High Profit</v>
      </c>
      <c r="V651" t="str">
        <f>TEXT(clean_data[[#This Row],[Date]],"mmm-yyyy")</f>
        <v>Aug-2024</v>
      </c>
      <c r="W651" s="8">
        <f>EOMONTH(clean_data[[#This Row],[Date]],-1)+1</f>
        <v>45505</v>
      </c>
    </row>
    <row r="652" spans="1:23" x14ac:dyDescent="0.3">
      <c r="A652" t="s">
        <v>724</v>
      </c>
      <c r="B652" s="1">
        <v>45311</v>
      </c>
      <c r="C652" t="s">
        <v>17</v>
      </c>
      <c r="D652" t="s">
        <v>37</v>
      </c>
      <c r="E652" t="s">
        <v>70</v>
      </c>
      <c r="F652" t="s">
        <v>28</v>
      </c>
      <c r="G652" t="s">
        <v>95</v>
      </c>
      <c r="H652">
        <v>38</v>
      </c>
      <c r="I652">
        <v>75000</v>
      </c>
      <c r="J652">
        <v>0</v>
      </c>
      <c r="K652">
        <v>2850000</v>
      </c>
      <c r="L652">
        <v>1567500</v>
      </c>
      <c r="M652">
        <v>1282500</v>
      </c>
      <c r="N652" t="s">
        <v>49</v>
      </c>
      <c r="O652" t="s">
        <v>50</v>
      </c>
      <c r="P652" t="s">
        <v>24</v>
      </c>
      <c r="Q652" t="str">
        <f>TEXT(clean_data[[#This Row],[Date]],"mmm")</f>
        <v>Jan</v>
      </c>
      <c r="R652">
        <f>YEAR(clean_data[[#This Row],[Date]])</f>
        <v>2024</v>
      </c>
      <c r="S652" s="2">
        <f>clean_data[[#This Row],[Profit]]/clean_data[[#This Row],[Revenue]]</f>
        <v>0.45</v>
      </c>
      <c r="T652" t="str" cm="1">
        <f t="array" ref="T652">_xlfn.IFS(clean_data[[#This Row],[Revenue]]&lt;300000,"Small",
     clean_data[[#This Row],[Revenue]]&lt;700000,"Medium",
     TRUE,"Large")</f>
        <v>Large</v>
      </c>
      <c r="U652" t="str" cm="1">
        <f t="array" ref="U652">_xlfn.IFS(clean_data[[#This Row],[profit margin%]]&lt;0.5,"Low Profit",
     clean_data[[#This Row],[profit margin%]]&lt;0.6,"Medium Profit",
     TRUE,"High Profit")</f>
        <v>Low Profit</v>
      </c>
      <c r="V652" t="str">
        <f>TEXT(clean_data[[#This Row],[Date]],"mmm-yyyy")</f>
        <v>Jan-2024</v>
      </c>
      <c r="W652" s="8">
        <f>EOMONTH(clean_data[[#This Row],[Date]],-1)+1</f>
        <v>45292</v>
      </c>
    </row>
    <row r="653" spans="1:23" x14ac:dyDescent="0.3">
      <c r="A653" t="s">
        <v>725</v>
      </c>
      <c r="B653" s="1">
        <v>44617</v>
      </c>
      <c r="C653" t="s">
        <v>17</v>
      </c>
      <c r="D653" t="s">
        <v>37</v>
      </c>
      <c r="E653" t="s">
        <v>52</v>
      </c>
      <c r="F653" t="s">
        <v>65</v>
      </c>
      <c r="G653" t="s">
        <v>124</v>
      </c>
      <c r="H653">
        <v>23</v>
      </c>
      <c r="I653">
        <v>18000</v>
      </c>
      <c r="J653">
        <v>15</v>
      </c>
      <c r="K653">
        <v>351900</v>
      </c>
      <c r="L653">
        <v>158355</v>
      </c>
      <c r="M653">
        <v>193545</v>
      </c>
      <c r="N653" t="s">
        <v>30</v>
      </c>
      <c r="O653" t="s">
        <v>44</v>
      </c>
      <c r="P653" t="s">
        <v>24</v>
      </c>
      <c r="Q653" t="str">
        <f>TEXT(clean_data[[#This Row],[Date]],"mmm")</f>
        <v>Feb</v>
      </c>
      <c r="R653">
        <f>YEAR(clean_data[[#This Row],[Date]])</f>
        <v>2022</v>
      </c>
      <c r="S653" s="2">
        <f>clean_data[[#This Row],[Profit]]/clean_data[[#This Row],[Revenue]]</f>
        <v>0.55000000000000004</v>
      </c>
      <c r="T653" t="str" cm="1">
        <f t="array" ref="T653">_xlfn.IFS(clean_data[[#This Row],[Revenue]]&lt;300000,"Small",
     clean_data[[#This Row],[Revenue]]&lt;700000,"Medium",
     TRUE,"Large")</f>
        <v>Medium</v>
      </c>
      <c r="U653" t="str" cm="1">
        <f t="array" ref="U653">_xlfn.IFS(clean_data[[#This Row],[profit margin%]]&lt;0.5,"Low Profit",
     clean_data[[#This Row],[profit margin%]]&lt;0.6,"Medium Profit",
     TRUE,"High Profit")</f>
        <v>Medium Profit</v>
      </c>
      <c r="V653" t="str">
        <f>TEXT(clean_data[[#This Row],[Date]],"mmm-yyyy")</f>
        <v>Feb-2022</v>
      </c>
      <c r="W653" s="8">
        <f>EOMONTH(clean_data[[#This Row],[Date]],-1)+1</f>
        <v>44593</v>
      </c>
    </row>
    <row r="654" spans="1:23" x14ac:dyDescent="0.3">
      <c r="A654" t="s">
        <v>726</v>
      </c>
      <c r="B654" s="1">
        <v>45024</v>
      </c>
      <c r="C654" t="s">
        <v>17</v>
      </c>
      <c r="D654" t="s">
        <v>42</v>
      </c>
      <c r="E654" t="s">
        <v>52</v>
      </c>
      <c r="F654" t="s">
        <v>28</v>
      </c>
      <c r="G654" t="s">
        <v>71</v>
      </c>
      <c r="H654">
        <v>8</v>
      </c>
      <c r="I654">
        <v>35000</v>
      </c>
      <c r="J654">
        <v>10</v>
      </c>
      <c r="K654">
        <v>252000</v>
      </c>
      <c r="L654">
        <v>138600</v>
      </c>
      <c r="M654">
        <v>113400</v>
      </c>
      <c r="N654" t="s">
        <v>30</v>
      </c>
      <c r="O654" t="s">
        <v>67</v>
      </c>
      <c r="P654" t="s">
        <v>24</v>
      </c>
      <c r="Q654" t="str">
        <f>TEXT(clean_data[[#This Row],[Date]],"mmm")</f>
        <v>Apr</v>
      </c>
      <c r="R654">
        <f>YEAR(clean_data[[#This Row],[Date]])</f>
        <v>2023</v>
      </c>
      <c r="S654" s="2">
        <f>clean_data[[#This Row],[Profit]]/clean_data[[#This Row],[Revenue]]</f>
        <v>0.45</v>
      </c>
      <c r="T654" t="str" cm="1">
        <f t="array" ref="T654">_xlfn.IFS(clean_data[[#This Row],[Revenue]]&lt;300000,"Small",
     clean_data[[#This Row],[Revenue]]&lt;700000,"Medium",
     TRUE,"Large")</f>
        <v>Small</v>
      </c>
      <c r="U654" t="str" cm="1">
        <f t="array" ref="U654">_xlfn.IFS(clean_data[[#This Row],[profit margin%]]&lt;0.5,"Low Profit",
     clean_data[[#This Row],[profit margin%]]&lt;0.6,"Medium Profit",
     TRUE,"High Profit")</f>
        <v>Low Profit</v>
      </c>
      <c r="V654" t="str">
        <f>TEXT(clean_data[[#This Row],[Date]],"mmm-yyyy")</f>
        <v>Apr-2023</v>
      </c>
      <c r="W654" s="8">
        <f>EOMONTH(clean_data[[#This Row],[Date]],-1)+1</f>
        <v>45017</v>
      </c>
    </row>
    <row r="655" spans="1:23" x14ac:dyDescent="0.3">
      <c r="A655" t="s">
        <v>727</v>
      </c>
      <c r="B655" s="1">
        <v>45171</v>
      </c>
      <c r="C655" t="s">
        <v>58</v>
      </c>
      <c r="D655" t="s">
        <v>64</v>
      </c>
      <c r="E655" t="s">
        <v>32</v>
      </c>
      <c r="F655" t="s">
        <v>65</v>
      </c>
      <c r="G655" t="s">
        <v>124</v>
      </c>
      <c r="H655">
        <v>2</v>
      </c>
      <c r="I655">
        <v>18000</v>
      </c>
      <c r="J655">
        <v>15</v>
      </c>
      <c r="K655">
        <v>30600</v>
      </c>
      <c r="L655">
        <v>13770</v>
      </c>
      <c r="M655">
        <v>16830</v>
      </c>
      <c r="N655" t="s">
        <v>30</v>
      </c>
      <c r="O655" t="s">
        <v>50</v>
      </c>
      <c r="P655" t="s">
        <v>40</v>
      </c>
      <c r="Q655" t="str">
        <f>TEXT(clean_data[[#This Row],[Date]],"mmm")</f>
        <v>Sep</v>
      </c>
      <c r="R655">
        <f>YEAR(clean_data[[#This Row],[Date]])</f>
        <v>2023</v>
      </c>
      <c r="S655" s="2">
        <f>clean_data[[#This Row],[Profit]]/clean_data[[#This Row],[Revenue]]</f>
        <v>0.55000000000000004</v>
      </c>
      <c r="T655" t="str" cm="1">
        <f t="array" ref="T655">_xlfn.IFS(clean_data[[#This Row],[Revenue]]&lt;300000,"Small",
     clean_data[[#This Row],[Revenue]]&lt;700000,"Medium",
     TRUE,"Large")</f>
        <v>Small</v>
      </c>
      <c r="U655" t="str" cm="1">
        <f t="array" ref="U655">_xlfn.IFS(clean_data[[#This Row],[profit margin%]]&lt;0.5,"Low Profit",
     clean_data[[#This Row],[profit margin%]]&lt;0.6,"Medium Profit",
     TRUE,"High Profit")</f>
        <v>Medium Profit</v>
      </c>
      <c r="V655" t="str">
        <f>TEXT(clean_data[[#This Row],[Date]],"mmm-yyyy")</f>
        <v>Sep-2023</v>
      </c>
      <c r="W655" s="8">
        <f>EOMONTH(clean_data[[#This Row],[Date]],-1)+1</f>
        <v>45170</v>
      </c>
    </row>
    <row r="656" spans="1:23" x14ac:dyDescent="0.3">
      <c r="A656" t="s">
        <v>728</v>
      </c>
      <c r="B656" s="1">
        <v>45310</v>
      </c>
      <c r="C656" t="s">
        <v>58</v>
      </c>
      <c r="D656" t="s">
        <v>59</v>
      </c>
      <c r="E656" t="s">
        <v>38</v>
      </c>
      <c r="F656" t="s">
        <v>28</v>
      </c>
      <c r="G656" t="s">
        <v>85</v>
      </c>
      <c r="H656">
        <v>7</v>
      </c>
      <c r="I656">
        <v>8000</v>
      </c>
      <c r="J656">
        <v>5</v>
      </c>
      <c r="K656">
        <v>53200</v>
      </c>
      <c r="L656">
        <v>29260</v>
      </c>
      <c r="M656">
        <v>23940</v>
      </c>
      <c r="N656" t="s">
        <v>49</v>
      </c>
      <c r="O656" t="s">
        <v>67</v>
      </c>
      <c r="P656" t="s">
        <v>24</v>
      </c>
      <c r="Q656" t="str">
        <f>TEXT(clean_data[[#This Row],[Date]],"mmm")</f>
        <v>Jan</v>
      </c>
      <c r="R656">
        <f>YEAR(clean_data[[#This Row],[Date]])</f>
        <v>2024</v>
      </c>
      <c r="S656" s="2">
        <f>clean_data[[#This Row],[Profit]]/clean_data[[#This Row],[Revenue]]</f>
        <v>0.45</v>
      </c>
      <c r="T656" t="str" cm="1">
        <f t="array" ref="T656">_xlfn.IFS(clean_data[[#This Row],[Revenue]]&lt;300000,"Small",
     clean_data[[#This Row],[Revenue]]&lt;700000,"Medium",
     TRUE,"Large")</f>
        <v>Small</v>
      </c>
      <c r="U656" t="str" cm="1">
        <f t="array" ref="U656">_xlfn.IFS(clean_data[[#This Row],[profit margin%]]&lt;0.5,"Low Profit",
     clean_data[[#This Row],[profit margin%]]&lt;0.6,"Medium Profit",
     TRUE,"High Profit")</f>
        <v>Low Profit</v>
      </c>
      <c r="V656" t="str">
        <f>TEXT(clean_data[[#This Row],[Date]],"mmm-yyyy")</f>
        <v>Jan-2024</v>
      </c>
      <c r="W656" s="8">
        <f>EOMONTH(clean_data[[#This Row],[Date]],-1)+1</f>
        <v>45292</v>
      </c>
    </row>
    <row r="657" spans="1:23" x14ac:dyDescent="0.3">
      <c r="A657" t="s">
        <v>729</v>
      </c>
      <c r="B657" s="1">
        <v>45205</v>
      </c>
      <c r="C657" t="s">
        <v>17</v>
      </c>
      <c r="D657" t="s">
        <v>37</v>
      </c>
      <c r="E657" t="s">
        <v>32</v>
      </c>
      <c r="F657" t="s">
        <v>20</v>
      </c>
      <c r="G657" t="s">
        <v>115</v>
      </c>
      <c r="H657">
        <v>41</v>
      </c>
      <c r="I657">
        <v>2500</v>
      </c>
      <c r="J657">
        <v>0</v>
      </c>
      <c r="K657">
        <v>102500</v>
      </c>
      <c r="L657">
        <v>41000</v>
      </c>
      <c r="M657">
        <v>61500</v>
      </c>
      <c r="N657" t="s">
        <v>30</v>
      </c>
      <c r="O657" t="s">
        <v>50</v>
      </c>
      <c r="P657" t="s">
        <v>40</v>
      </c>
      <c r="Q657" t="str">
        <f>TEXT(clean_data[[#This Row],[Date]],"mmm")</f>
        <v>Oct</v>
      </c>
      <c r="R657">
        <f>YEAR(clean_data[[#This Row],[Date]])</f>
        <v>2023</v>
      </c>
      <c r="S657" s="2">
        <f>clean_data[[#This Row],[Profit]]/clean_data[[#This Row],[Revenue]]</f>
        <v>0.6</v>
      </c>
      <c r="T657" t="str" cm="1">
        <f t="array" ref="T657">_xlfn.IFS(clean_data[[#This Row],[Revenue]]&lt;300000,"Small",
     clean_data[[#This Row],[Revenue]]&lt;700000,"Medium",
     TRUE,"Large")</f>
        <v>Small</v>
      </c>
      <c r="U657" t="str" cm="1">
        <f t="array" ref="U657">_xlfn.IFS(clean_data[[#This Row],[profit margin%]]&lt;0.5,"Low Profit",
     clean_data[[#This Row],[profit margin%]]&lt;0.6,"Medium Profit",
     TRUE,"High Profit")</f>
        <v>High Profit</v>
      </c>
      <c r="V657" t="str">
        <f>TEXT(clean_data[[#This Row],[Date]],"mmm-yyyy")</f>
        <v>Oct-2023</v>
      </c>
      <c r="W657" s="8">
        <f>EOMONTH(clean_data[[#This Row],[Date]],-1)+1</f>
        <v>45200</v>
      </c>
    </row>
    <row r="658" spans="1:23" x14ac:dyDescent="0.3">
      <c r="A658" t="s">
        <v>730</v>
      </c>
      <c r="B658" s="1">
        <v>45048</v>
      </c>
      <c r="C658" t="s">
        <v>17</v>
      </c>
      <c r="D658" t="s">
        <v>42</v>
      </c>
      <c r="E658" t="s">
        <v>32</v>
      </c>
      <c r="F658" t="s">
        <v>20</v>
      </c>
      <c r="G658" t="s">
        <v>53</v>
      </c>
      <c r="H658">
        <v>48</v>
      </c>
      <c r="I658">
        <v>600</v>
      </c>
      <c r="J658">
        <v>0</v>
      </c>
      <c r="K658">
        <v>28800</v>
      </c>
      <c r="L658">
        <v>11520</v>
      </c>
      <c r="M658">
        <v>17280</v>
      </c>
      <c r="N658" t="s">
        <v>30</v>
      </c>
      <c r="O658" t="s">
        <v>67</v>
      </c>
      <c r="P658" t="s">
        <v>40</v>
      </c>
      <c r="Q658" t="str">
        <f>TEXT(clean_data[[#This Row],[Date]],"mmm")</f>
        <v>May</v>
      </c>
      <c r="R658">
        <f>YEAR(clean_data[[#This Row],[Date]])</f>
        <v>2023</v>
      </c>
      <c r="S658" s="2">
        <f>clean_data[[#This Row],[Profit]]/clean_data[[#This Row],[Revenue]]</f>
        <v>0.6</v>
      </c>
      <c r="T658" t="str" cm="1">
        <f t="array" ref="T658">_xlfn.IFS(clean_data[[#This Row],[Revenue]]&lt;300000,"Small",
     clean_data[[#This Row],[Revenue]]&lt;700000,"Medium",
     TRUE,"Large")</f>
        <v>Small</v>
      </c>
      <c r="U658" t="str" cm="1">
        <f t="array" ref="U658">_xlfn.IFS(clean_data[[#This Row],[profit margin%]]&lt;0.5,"Low Profit",
     clean_data[[#This Row],[profit margin%]]&lt;0.6,"Medium Profit",
     TRUE,"High Profit")</f>
        <v>High Profit</v>
      </c>
      <c r="V658" t="str">
        <f>TEXT(clean_data[[#This Row],[Date]],"mmm-yyyy")</f>
        <v>May-2023</v>
      </c>
      <c r="W658" s="8">
        <f>EOMONTH(clean_data[[#This Row],[Date]],-1)+1</f>
        <v>45047</v>
      </c>
    </row>
    <row r="659" spans="1:23" x14ac:dyDescent="0.3">
      <c r="A659" t="s">
        <v>731</v>
      </c>
      <c r="B659" s="1">
        <v>45208</v>
      </c>
      <c r="C659" t="s">
        <v>26</v>
      </c>
      <c r="D659" t="s">
        <v>69</v>
      </c>
      <c r="E659" t="s">
        <v>32</v>
      </c>
      <c r="F659" t="s">
        <v>20</v>
      </c>
      <c r="G659" t="s">
        <v>61</v>
      </c>
      <c r="H659">
        <v>5</v>
      </c>
      <c r="I659">
        <v>800</v>
      </c>
      <c r="J659">
        <v>10</v>
      </c>
      <c r="K659">
        <v>3600</v>
      </c>
      <c r="L659">
        <v>1440</v>
      </c>
      <c r="M659">
        <v>2160</v>
      </c>
      <c r="N659" t="s">
        <v>49</v>
      </c>
      <c r="O659" t="s">
        <v>23</v>
      </c>
      <c r="P659" t="s">
        <v>40</v>
      </c>
      <c r="Q659" t="str">
        <f>TEXT(clean_data[[#This Row],[Date]],"mmm")</f>
        <v>Oct</v>
      </c>
      <c r="R659">
        <f>YEAR(clean_data[[#This Row],[Date]])</f>
        <v>2023</v>
      </c>
      <c r="S659" s="2">
        <f>clean_data[[#This Row],[Profit]]/clean_data[[#This Row],[Revenue]]</f>
        <v>0.6</v>
      </c>
      <c r="T659" t="str" cm="1">
        <f t="array" ref="T659">_xlfn.IFS(clean_data[[#This Row],[Revenue]]&lt;300000,"Small",
     clean_data[[#This Row],[Revenue]]&lt;700000,"Medium",
     TRUE,"Large")</f>
        <v>Small</v>
      </c>
      <c r="U659" t="str" cm="1">
        <f t="array" ref="U659">_xlfn.IFS(clean_data[[#This Row],[profit margin%]]&lt;0.5,"Low Profit",
     clean_data[[#This Row],[profit margin%]]&lt;0.6,"Medium Profit",
     TRUE,"High Profit")</f>
        <v>High Profit</v>
      </c>
      <c r="V659" t="str">
        <f>TEXT(clean_data[[#This Row],[Date]],"mmm-yyyy")</f>
        <v>Oct-2023</v>
      </c>
      <c r="W659" s="8">
        <f>EOMONTH(clean_data[[#This Row],[Date]],-1)+1</f>
        <v>45200</v>
      </c>
    </row>
    <row r="660" spans="1:23" x14ac:dyDescent="0.3">
      <c r="A660" t="s">
        <v>732</v>
      </c>
      <c r="B660" s="1">
        <v>45607</v>
      </c>
      <c r="C660" t="s">
        <v>46</v>
      </c>
      <c r="D660" t="s">
        <v>55</v>
      </c>
      <c r="E660" t="s">
        <v>32</v>
      </c>
      <c r="F660" t="s">
        <v>33</v>
      </c>
      <c r="G660" t="s">
        <v>43</v>
      </c>
      <c r="H660">
        <v>33</v>
      </c>
      <c r="I660">
        <v>4000</v>
      </c>
      <c r="J660">
        <v>15</v>
      </c>
      <c r="K660">
        <v>112200</v>
      </c>
      <c r="L660">
        <v>56100</v>
      </c>
      <c r="M660">
        <v>56100</v>
      </c>
      <c r="N660" t="s">
        <v>30</v>
      </c>
      <c r="O660" t="s">
        <v>35</v>
      </c>
      <c r="P660" t="s">
        <v>40</v>
      </c>
      <c r="Q660" t="str">
        <f>TEXT(clean_data[[#This Row],[Date]],"mmm")</f>
        <v>Nov</v>
      </c>
      <c r="R660">
        <f>YEAR(clean_data[[#This Row],[Date]])</f>
        <v>2024</v>
      </c>
      <c r="S660" s="2">
        <f>clean_data[[#This Row],[Profit]]/clean_data[[#This Row],[Revenue]]</f>
        <v>0.5</v>
      </c>
      <c r="T660" t="str" cm="1">
        <f t="array" ref="T660">_xlfn.IFS(clean_data[[#This Row],[Revenue]]&lt;300000,"Small",
     clean_data[[#This Row],[Revenue]]&lt;700000,"Medium",
     TRUE,"Large")</f>
        <v>Small</v>
      </c>
      <c r="U660" t="str" cm="1">
        <f t="array" ref="U660">_xlfn.IFS(clean_data[[#This Row],[profit margin%]]&lt;0.5,"Low Profit",
     clean_data[[#This Row],[profit margin%]]&lt;0.6,"Medium Profit",
     TRUE,"High Profit")</f>
        <v>Medium Profit</v>
      </c>
      <c r="V660" t="str">
        <f>TEXT(clean_data[[#This Row],[Date]],"mmm-yyyy")</f>
        <v>Nov-2024</v>
      </c>
      <c r="W660" s="8">
        <f>EOMONTH(clean_data[[#This Row],[Date]],-1)+1</f>
        <v>45597</v>
      </c>
    </row>
    <row r="661" spans="1:23" x14ac:dyDescent="0.3">
      <c r="A661" t="s">
        <v>733</v>
      </c>
      <c r="B661" s="1">
        <v>45593</v>
      </c>
      <c r="C661" t="s">
        <v>46</v>
      </c>
      <c r="D661" t="s">
        <v>55</v>
      </c>
      <c r="E661" t="s">
        <v>19</v>
      </c>
      <c r="F661" t="s">
        <v>65</v>
      </c>
      <c r="G661" t="s">
        <v>124</v>
      </c>
      <c r="H661">
        <v>41</v>
      </c>
      <c r="I661">
        <v>18000</v>
      </c>
      <c r="J661">
        <v>20</v>
      </c>
      <c r="K661">
        <v>590400</v>
      </c>
      <c r="L661">
        <v>265680</v>
      </c>
      <c r="M661">
        <v>324720</v>
      </c>
      <c r="N661" t="s">
        <v>49</v>
      </c>
      <c r="O661" t="s">
        <v>67</v>
      </c>
      <c r="P661" t="s">
        <v>40</v>
      </c>
      <c r="Q661" t="str">
        <f>TEXT(clean_data[[#This Row],[Date]],"mmm")</f>
        <v>Oct</v>
      </c>
      <c r="R661">
        <f>YEAR(clean_data[[#This Row],[Date]])</f>
        <v>2024</v>
      </c>
      <c r="S661" s="2">
        <f>clean_data[[#This Row],[Profit]]/clean_data[[#This Row],[Revenue]]</f>
        <v>0.55000000000000004</v>
      </c>
      <c r="T661" t="str" cm="1">
        <f t="array" ref="T661">_xlfn.IFS(clean_data[[#This Row],[Revenue]]&lt;300000,"Small",
     clean_data[[#This Row],[Revenue]]&lt;700000,"Medium",
     TRUE,"Large")</f>
        <v>Medium</v>
      </c>
      <c r="U661" t="str" cm="1">
        <f t="array" ref="U661">_xlfn.IFS(clean_data[[#This Row],[profit margin%]]&lt;0.5,"Low Profit",
     clean_data[[#This Row],[profit margin%]]&lt;0.6,"Medium Profit",
     TRUE,"High Profit")</f>
        <v>Medium Profit</v>
      </c>
      <c r="V661" t="str">
        <f>TEXT(clean_data[[#This Row],[Date]],"mmm-yyyy")</f>
        <v>Oct-2024</v>
      </c>
      <c r="W661" s="8">
        <f>EOMONTH(clean_data[[#This Row],[Date]],-1)+1</f>
        <v>45566</v>
      </c>
    </row>
    <row r="662" spans="1:23" x14ac:dyDescent="0.3">
      <c r="A662" t="s">
        <v>734</v>
      </c>
      <c r="B662" s="1">
        <v>44668</v>
      </c>
      <c r="C662" t="s">
        <v>46</v>
      </c>
      <c r="D662" t="s">
        <v>55</v>
      </c>
      <c r="E662" t="s">
        <v>60</v>
      </c>
      <c r="F662" t="s">
        <v>20</v>
      </c>
      <c r="G662" t="s">
        <v>74</v>
      </c>
      <c r="H662">
        <v>10</v>
      </c>
      <c r="I662">
        <v>4200</v>
      </c>
      <c r="J662">
        <v>10</v>
      </c>
      <c r="K662">
        <v>37800</v>
      </c>
      <c r="L662">
        <v>15120</v>
      </c>
      <c r="M662">
        <v>22680</v>
      </c>
      <c r="N662" t="s">
        <v>49</v>
      </c>
      <c r="O662" t="s">
        <v>50</v>
      </c>
      <c r="P662" t="s">
        <v>24</v>
      </c>
      <c r="Q662" t="str">
        <f>TEXT(clean_data[[#This Row],[Date]],"mmm")</f>
        <v>Apr</v>
      </c>
      <c r="R662">
        <f>YEAR(clean_data[[#This Row],[Date]])</f>
        <v>2022</v>
      </c>
      <c r="S662" s="2">
        <f>clean_data[[#This Row],[Profit]]/clean_data[[#This Row],[Revenue]]</f>
        <v>0.6</v>
      </c>
      <c r="T662" t="str" cm="1">
        <f t="array" ref="T662">_xlfn.IFS(clean_data[[#This Row],[Revenue]]&lt;300000,"Small",
     clean_data[[#This Row],[Revenue]]&lt;700000,"Medium",
     TRUE,"Large")</f>
        <v>Small</v>
      </c>
      <c r="U662" t="str" cm="1">
        <f t="array" ref="U662">_xlfn.IFS(clean_data[[#This Row],[profit margin%]]&lt;0.5,"Low Profit",
     clean_data[[#This Row],[profit margin%]]&lt;0.6,"Medium Profit",
     TRUE,"High Profit")</f>
        <v>High Profit</v>
      </c>
      <c r="V662" t="str">
        <f>TEXT(clean_data[[#This Row],[Date]],"mmm-yyyy")</f>
        <v>Apr-2022</v>
      </c>
      <c r="W662" s="8">
        <f>EOMONTH(clean_data[[#This Row],[Date]],-1)+1</f>
        <v>44652</v>
      </c>
    </row>
    <row r="663" spans="1:23" x14ac:dyDescent="0.3">
      <c r="A663" t="s">
        <v>735</v>
      </c>
      <c r="B663" s="1">
        <v>44702</v>
      </c>
      <c r="C663" t="s">
        <v>46</v>
      </c>
      <c r="D663" t="s">
        <v>55</v>
      </c>
      <c r="E663" t="s">
        <v>73</v>
      </c>
      <c r="F663" t="s">
        <v>33</v>
      </c>
      <c r="G663" t="s">
        <v>76</v>
      </c>
      <c r="H663">
        <v>17</v>
      </c>
      <c r="I663">
        <v>8500</v>
      </c>
      <c r="J663">
        <v>20</v>
      </c>
      <c r="K663">
        <v>115600</v>
      </c>
      <c r="L663">
        <v>57800</v>
      </c>
      <c r="M663">
        <v>57800</v>
      </c>
      <c r="N663" t="s">
        <v>49</v>
      </c>
      <c r="O663" t="s">
        <v>44</v>
      </c>
      <c r="P663" t="s">
        <v>24</v>
      </c>
      <c r="Q663" t="str">
        <f>TEXT(clean_data[[#This Row],[Date]],"mmm")</f>
        <v>May</v>
      </c>
      <c r="R663">
        <f>YEAR(clean_data[[#This Row],[Date]])</f>
        <v>2022</v>
      </c>
      <c r="S663" s="2">
        <f>clean_data[[#This Row],[Profit]]/clean_data[[#This Row],[Revenue]]</f>
        <v>0.5</v>
      </c>
      <c r="T663" t="str" cm="1">
        <f t="array" ref="T663">_xlfn.IFS(clean_data[[#This Row],[Revenue]]&lt;300000,"Small",
     clean_data[[#This Row],[Revenue]]&lt;700000,"Medium",
     TRUE,"Large")</f>
        <v>Small</v>
      </c>
      <c r="U663" t="str" cm="1">
        <f t="array" ref="U663">_xlfn.IFS(clean_data[[#This Row],[profit margin%]]&lt;0.5,"Low Profit",
     clean_data[[#This Row],[profit margin%]]&lt;0.6,"Medium Profit",
     TRUE,"High Profit")</f>
        <v>Medium Profit</v>
      </c>
      <c r="V663" t="str">
        <f>TEXT(clean_data[[#This Row],[Date]],"mmm-yyyy")</f>
        <v>May-2022</v>
      </c>
      <c r="W663" s="8">
        <f>EOMONTH(clean_data[[#This Row],[Date]],-1)+1</f>
        <v>44682</v>
      </c>
    </row>
    <row r="664" spans="1:23" x14ac:dyDescent="0.3">
      <c r="A664" t="s">
        <v>736</v>
      </c>
      <c r="B664" s="1">
        <v>44778</v>
      </c>
      <c r="C664" t="s">
        <v>46</v>
      </c>
      <c r="D664" t="s">
        <v>47</v>
      </c>
      <c r="E664" t="s">
        <v>19</v>
      </c>
      <c r="F664" t="s">
        <v>33</v>
      </c>
      <c r="G664" t="s">
        <v>48</v>
      </c>
      <c r="H664">
        <v>32</v>
      </c>
      <c r="I664">
        <v>1500</v>
      </c>
      <c r="J664">
        <v>20</v>
      </c>
      <c r="K664">
        <v>38400</v>
      </c>
      <c r="L664">
        <v>19200</v>
      </c>
      <c r="M664">
        <v>19200</v>
      </c>
      <c r="N664" t="s">
        <v>49</v>
      </c>
      <c r="O664" t="s">
        <v>35</v>
      </c>
      <c r="P664" t="s">
        <v>24</v>
      </c>
      <c r="Q664" t="str">
        <f>TEXT(clean_data[[#This Row],[Date]],"mmm")</f>
        <v>Aug</v>
      </c>
      <c r="R664">
        <f>YEAR(clean_data[[#This Row],[Date]])</f>
        <v>2022</v>
      </c>
      <c r="S664" s="2">
        <f>clean_data[[#This Row],[Profit]]/clean_data[[#This Row],[Revenue]]</f>
        <v>0.5</v>
      </c>
      <c r="T664" t="str" cm="1">
        <f t="array" ref="T664">_xlfn.IFS(clean_data[[#This Row],[Revenue]]&lt;300000,"Small",
     clean_data[[#This Row],[Revenue]]&lt;700000,"Medium",
     TRUE,"Large")</f>
        <v>Small</v>
      </c>
      <c r="U664" t="str" cm="1">
        <f t="array" ref="U664">_xlfn.IFS(clean_data[[#This Row],[profit margin%]]&lt;0.5,"Low Profit",
     clean_data[[#This Row],[profit margin%]]&lt;0.6,"Medium Profit",
     TRUE,"High Profit")</f>
        <v>Medium Profit</v>
      </c>
      <c r="V664" t="str">
        <f>TEXT(clean_data[[#This Row],[Date]],"mmm-yyyy")</f>
        <v>Aug-2022</v>
      </c>
      <c r="W664" s="8">
        <f>EOMONTH(clean_data[[#This Row],[Date]],-1)+1</f>
        <v>44774</v>
      </c>
    </row>
    <row r="665" spans="1:23" x14ac:dyDescent="0.3">
      <c r="A665" t="s">
        <v>737</v>
      </c>
      <c r="B665" s="1">
        <v>44932</v>
      </c>
      <c r="C665" t="s">
        <v>17</v>
      </c>
      <c r="D665" t="s">
        <v>18</v>
      </c>
      <c r="E665" t="s">
        <v>56</v>
      </c>
      <c r="F665" t="s">
        <v>33</v>
      </c>
      <c r="G665" t="s">
        <v>34</v>
      </c>
      <c r="H665">
        <v>43</v>
      </c>
      <c r="I665">
        <v>25000</v>
      </c>
      <c r="J665">
        <v>20</v>
      </c>
      <c r="K665">
        <v>860000</v>
      </c>
      <c r="L665">
        <v>430000</v>
      </c>
      <c r="M665">
        <v>430000</v>
      </c>
      <c r="N665" t="s">
        <v>22</v>
      </c>
      <c r="O665" t="s">
        <v>35</v>
      </c>
      <c r="P665" t="s">
        <v>24</v>
      </c>
      <c r="Q665" t="str">
        <f>TEXT(clean_data[[#This Row],[Date]],"mmm")</f>
        <v>Jan</v>
      </c>
      <c r="R665">
        <f>YEAR(clean_data[[#This Row],[Date]])</f>
        <v>2023</v>
      </c>
      <c r="S665" s="2">
        <f>clean_data[[#This Row],[Profit]]/clean_data[[#This Row],[Revenue]]</f>
        <v>0.5</v>
      </c>
      <c r="T665" t="str" cm="1">
        <f t="array" ref="T665">_xlfn.IFS(clean_data[[#This Row],[Revenue]]&lt;300000,"Small",
     clean_data[[#This Row],[Revenue]]&lt;700000,"Medium",
     TRUE,"Large")</f>
        <v>Large</v>
      </c>
      <c r="U665" t="str" cm="1">
        <f t="array" ref="U665">_xlfn.IFS(clean_data[[#This Row],[profit margin%]]&lt;0.5,"Low Profit",
     clean_data[[#This Row],[profit margin%]]&lt;0.6,"Medium Profit",
     TRUE,"High Profit")</f>
        <v>Medium Profit</v>
      </c>
      <c r="V665" t="str">
        <f>TEXT(clean_data[[#This Row],[Date]],"mmm-yyyy")</f>
        <v>Jan-2023</v>
      </c>
      <c r="W665" s="8">
        <f>EOMONTH(clean_data[[#This Row],[Date]],-1)+1</f>
        <v>44927</v>
      </c>
    </row>
    <row r="666" spans="1:23" x14ac:dyDescent="0.3">
      <c r="A666" t="s">
        <v>738</v>
      </c>
      <c r="B666" s="1">
        <v>45530</v>
      </c>
      <c r="C666" t="s">
        <v>26</v>
      </c>
      <c r="D666" t="s">
        <v>27</v>
      </c>
      <c r="E666" t="s">
        <v>52</v>
      </c>
      <c r="F666" t="s">
        <v>33</v>
      </c>
      <c r="G666" t="s">
        <v>43</v>
      </c>
      <c r="H666">
        <v>20</v>
      </c>
      <c r="I666">
        <v>4000</v>
      </c>
      <c r="J666">
        <v>0</v>
      </c>
      <c r="K666">
        <v>80000</v>
      </c>
      <c r="L666">
        <v>40000</v>
      </c>
      <c r="M666">
        <v>40000</v>
      </c>
      <c r="N666" t="s">
        <v>49</v>
      </c>
      <c r="O666" t="s">
        <v>35</v>
      </c>
      <c r="P666" t="s">
        <v>24</v>
      </c>
      <c r="Q666" t="str">
        <f>TEXT(clean_data[[#This Row],[Date]],"mmm")</f>
        <v>Aug</v>
      </c>
      <c r="R666">
        <f>YEAR(clean_data[[#This Row],[Date]])</f>
        <v>2024</v>
      </c>
      <c r="S666" s="2">
        <f>clean_data[[#This Row],[Profit]]/clean_data[[#This Row],[Revenue]]</f>
        <v>0.5</v>
      </c>
      <c r="T666" t="str" cm="1">
        <f t="array" ref="T666">_xlfn.IFS(clean_data[[#This Row],[Revenue]]&lt;300000,"Small",
     clean_data[[#This Row],[Revenue]]&lt;700000,"Medium",
     TRUE,"Large")</f>
        <v>Small</v>
      </c>
      <c r="U666" t="str" cm="1">
        <f t="array" ref="U666">_xlfn.IFS(clean_data[[#This Row],[profit margin%]]&lt;0.5,"Low Profit",
     clean_data[[#This Row],[profit margin%]]&lt;0.6,"Medium Profit",
     TRUE,"High Profit")</f>
        <v>Medium Profit</v>
      </c>
      <c r="V666" t="str">
        <f>TEXT(clean_data[[#This Row],[Date]],"mmm-yyyy")</f>
        <v>Aug-2024</v>
      </c>
      <c r="W666" s="8">
        <f>EOMONTH(clean_data[[#This Row],[Date]],-1)+1</f>
        <v>45505</v>
      </c>
    </row>
    <row r="667" spans="1:23" x14ac:dyDescent="0.3">
      <c r="A667" t="s">
        <v>739</v>
      </c>
      <c r="B667" s="1">
        <v>45349</v>
      </c>
      <c r="C667" t="s">
        <v>46</v>
      </c>
      <c r="D667" t="s">
        <v>47</v>
      </c>
      <c r="E667" t="s">
        <v>52</v>
      </c>
      <c r="F667" t="s">
        <v>28</v>
      </c>
      <c r="G667" t="s">
        <v>29</v>
      </c>
      <c r="H667">
        <v>43</v>
      </c>
      <c r="I667">
        <v>15000</v>
      </c>
      <c r="J667">
        <v>20</v>
      </c>
      <c r="K667">
        <v>516000</v>
      </c>
      <c r="L667">
        <v>283800</v>
      </c>
      <c r="M667">
        <v>232200</v>
      </c>
      <c r="N667" t="s">
        <v>49</v>
      </c>
      <c r="O667" t="s">
        <v>23</v>
      </c>
      <c r="P667" t="s">
        <v>40</v>
      </c>
      <c r="Q667" t="str">
        <f>TEXT(clean_data[[#This Row],[Date]],"mmm")</f>
        <v>Feb</v>
      </c>
      <c r="R667">
        <f>YEAR(clean_data[[#This Row],[Date]])</f>
        <v>2024</v>
      </c>
      <c r="S667" s="2">
        <f>clean_data[[#This Row],[Profit]]/clean_data[[#This Row],[Revenue]]</f>
        <v>0.45</v>
      </c>
      <c r="T667" t="str" cm="1">
        <f t="array" ref="T667">_xlfn.IFS(clean_data[[#This Row],[Revenue]]&lt;300000,"Small",
     clean_data[[#This Row],[Revenue]]&lt;700000,"Medium",
     TRUE,"Large")</f>
        <v>Medium</v>
      </c>
      <c r="U667" t="str" cm="1">
        <f t="array" ref="U667">_xlfn.IFS(clean_data[[#This Row],[profit margin%]]&lt;0.5,"Low Profit",
     clean_data[[#This Row],[profit margin%]]&lt;0.6,"Medium Profit",
     TRUE,"High Profit")</f>
        <v>Low Profit</v>
      </c>
      <c r="V667" t="str">
        <f>TEXT(clean_data[[#This Row],[Date]],"mmm-yyyy")</f>
        <v>Feb-2024</v>
      </c>
      <c r="W667" s="8">
        <f>EOMONTH(clean_data[[#This Row],[Date]],-1)+1</f>
        <v>45323</v>
      </c>
    </row>
    <row r="668" spans="1:23" x14ac:dyDescent="0.3">
      <c r="A668" t="s">
        <v>740</v>
      </c>
      <c r="B668" s="1">
        <v>44720</v>
      </c>
      <c r="C668" t="s">
        <v>26</v>
      </c>
      <c r="D668" t="s">
        <v>69</v>
      </c>
      <c r="E668" t="s">
        <v>70</v>
      </c>
      <c r="F668" t="s">
        <v>65</v>
      </c>
      <c r="G668" t="s">
        <v>104</v>
      </c>
      <c r="H668">
        <v>28</v>
      </c>
      <c r="I668">
        <v>3000</v>
      </c>
      <c r="J668">
        <v>5</v>
      </c>
      <c r="K668">
        <v>79800</v>
      </c>
      <c r="L668">
        <v>35910</v>
      </c>
      <c r="M668">
        <v>43890</v>
      </c>
      <c r="N668" t="s">
        <v>30</v>
      </c>
      <c r="O668" t="s">
        <v>44</v>
      </c>
      <c r="P668" t="s">
        <v>24</v>
      </c>
      <c r="Q668" t="str">
        <f>TEXT(clean_data[[#This Row],[Date]],"mmm")</f>
        <v>Jun</v>
      </c>
      <c r="R668">
        <f>YEAR(clean_data[[#This Row],[Date]])</f>
        <v>2022</v>
      </c>
      <c r="S668" s="2">
        <f>clean_data[[#This Row],[Profit]]/clean_data[[#This Row],[Revenue]]</f>
        <v>0.55000000000000004</v>
      </c>
      <c r="T668" t="str" cm="1">
        <f t="array" ref="T668">_xlfn.IFS(clean_data[[#This Row],[Revenue]]&lt;300000,"Small",
     clean_data[[#This Row],[Revenue]]&lt;700000,"Medium",
     TRUE,"Large")</f>
        <v>Small</v>
      </c>
      <c r="U668" t="str" cm="1">
        <f t="array" ref="U668">_xlfn.IFS(clean_data[[#This Row],[profit margin%]]&lt;0.5,"Low Profit",
     clean_data[[#This Row],[profit margin%]]&lt;0.6,"Medium Profit",
     TRUE,"High Profit")</f>
        <v>Medium Profit</v>
      </c>
      <c r="V668" t="str">
        <f>TEXT(clean_data[[#This Row],[Date]],"mmm-yyyy")</f>
        <v>Jun-2022</v>
      </c>
      <c r="W668" s="8">
        <f>EOMONTH(clean_data[[#This Row],[Date]],-1)+1</f>
        <v>44713</v>
      </c>
    </row>
    <row r="669" spans="1:23" x14ac:dyDescent="0.3">
      <c r="A669" t="s">
        <v>741</v>
      </c>
      <c r="B669" s="1">
        <v>44966</v>
      </c>
      <c r="C669" t="s">
        <v>58</v>
      </c>
      <c r="D669" t="s">
        <v>59</v>
      </c>
      <c r="E669" t="s">
        <v>73</v>
      </c>
      <c r="F669" t="s">
        <v>28</v>
      </c>
      <c r="G669" t="s">
        <v>85</v>
      </c>
      <c r="H669">
        <v>35</v>
      </c>
      <c r="I669">
        <v>8000</v>
      </c>
      <c r="J669">
        <v>10</v>
      </c>
      <c r="K669">
        <v>252000</v>
      </c>
      <c r="L669">
        <v>138600</v>
      </c>
      <c r="M669">
        <v>113400</v>
      </c>
      <c r="N669" t="s">
        <v>49</v>
      </c>
      <c r="O669" t="s">
        <v>67</v>
      </c>
      <c r="P669" t="s">
        <v>24</v>
      </c>
      <c r="Q669" t="str">
        <f>TEXT(clean_data[[#This Row],[Date]],"mmm")</f>
        <v>Feb</v>
      </c>
      <c r="R669">
        <f>YEAR(clean_data[[#This Row],[Date]])</f>
        <v>2023</v>
      </c>
      <c r="S669" s="2">
        <f>clean_data[[#This Row],[Profit]]/clean_data[[#This Row],[Revenue]]</f>
        <v>0.45</v>
      </c>
      <c r="T669" t="str" cm="1">
        <f t="array" ref="T669">_xlfn.IFS(clean_data[[#This Row],[Revenue]]&lt;300000,"Small",
     clean_data[[#This Row],[Revenue]]&lt;700000,"Medium",
     TRUE,"Large")</f>
        <v>Small</v>
      </c>
      <c r="U669" t="str" cm="1">
        <f t="array" ref="U669">_xlfn.IFS(clean_data[[#This Row],[profit margin%]]&lt;0.5,"Low Profit",
     clean_data[[#This Row],[profit margin%]]&lt;0.6,"Medium Profit",
     TRUE,"High Profit")</f>
        <v>Low Profit</v>
      </c>
      <c r="V669" t="str">
        <f>TEXT(clean_data[[#This Row],[Date]],"mmm-yyyy")</f>
        <v>Feb-2023</v>
      </c>
      <c r="W669" s="8">
        <f>EOMONTH(clean_data[[#This Row],[Date]],-1)+1</f>
        <v>44958</v>
      </c>
    </row>
    <row r="670" spans="1:23" x14ac:dyDescent="0.3">
      <c r="A670" t="s">
        <v>742</v>
      </c>
      <c r="B670" s="1">
        <v>45398</v>
      </c>
      <c r="C670" t="s">
        <v>46</v>
      </c>
      <c r="D670" t="s">
        <v>55</v>
      </c>
      <c r="E670" t="s">
        <v>78</v>
      </c>
      <c r="F670" t="s">
        <v>33</v>
      </c>
      <c r="G670" t="s">
        <v>48</v>
      </c>
      <c r="H670">
        <v>46</v>
      </c>
      <c r="I670">
        <v>1500</v>
      </c>
      <c r="J670">
        <v>10</v>
      </c>
      <c r="K670">
        <v>62100</v>
      </c>
      <c r="L670">
        <v>31050</v>
      </c>
      <c r="M670">
        <v>31050</v>
      </c>
      <c r="N670" t="s">
        <v>30</v>
      </c>
      <c r="O670" t="s">
        <v>67</v>
      </c>
      <c r="P670" t="s">
        <v>24</v>
      </c>
      <c r="Q670" t="str">
        <f>TEXT(clean_data[[#This Row],[Date]],"mmm")</f>
        <v>Apr</v>
      </c>
      <c r="R670">
        <f>YEAR(clean_data[[#This Row],[Date]])</f>
        <v>2024</v>
      </c>
      <c r="S670" s="2">
        <f>clean_data[[#This Row],[Profit]]/clean_data[[#This Row],[Revenue]]</f>
        <v>0.5</v>
      </c>
      <c r="T670" t="str" cm="1">
        <f t="array" ref="T670">_xlfn.IFS(clean_data[[#This Row],[Revenue]]&lt;300000,"Small",
     clean_data[[#This Row],[Revenue]]&lt;700000,"Medium",
     TRUE,"Large")</f>
        <v>Small</v>
      </c>
      <c r="U670" t="str" cm="1">
        <f t="array" ref="U670">_xlfn.IFS(clean_data[[#This Row],[profit margin%]]&lt;0.5,"Low Profit",
     clean_data[[#This Row],[profit margin%]]&lt;0.6,"Medium Profit",
     TRUE,"High Profit")</f>
        <v>Medium Profit</v>
      </c>
      <c r="V670" t="str">
        <f>TEXT(clean_data[[#This Row],[Date]],"mmm-yyyy")</f>
        <v>Apr-2024</v>
      </c>
      <c r="W670" s="8">
        <f>EOMONTH(clean_data[[#This Row],[Date]],-1)+1</f>
        <v>45383</v>
      </c>
    </row>
    <row r="671" spans="1:23" x14ac:dyDescent="0.3">
      <c r="A671" t="s">
        <v>743</v>
      </c>
      <c r="B671" s="1">
        <v>44647</v>
      </c>
      <c r="C671" t="s">
        <v>26</v>
      </c>
      <c r="D671" t="s">
        <v>27</v>
      </c>
      <c r="E671" t="s">
        <v>73</v>
      </c>
      <c r="F671" t="s">
        <v>65</v>
      </c>
      <c r="G671" t="s">
        <v>124</v>
      </c>
      <c r="H671">
        <v>41</v>
      </c>
      <c r="I671">
        <v>18000</v>
      </c>
      <c r="J671">
        <v>10</v>
      </c>
      <c r="K671">
        <v>664200</v>
      </c>
      <c r="L671">
        <v>298890</v>
      </c>
      <c r="M671">
        <v>365310</v>
      </c>
      <c r="N671" t="s">
        <v>22</v>
      </c>
      <c r="O671" t="s">
        <v>44</v>
      </c>
      <c r="P671" t="s">
        <v>24</v>
      </c>
      <c r="Q671" t="str">
        <f>TEXT(clean_data[[#This Row],[Date]],"mmm")</f>
        <v>Mar</v>
      </c>
      <c r="R671">
        <f>YEAR(clean_data[[#This Row],[Date]])</f>
        <v>2022</v>
      </c>
      <c r="S671" s="2">
        <f>clean_data[[#This Row],[Profit]]/clean_data[[#This Row],[Revenue]]</f>
        <v>0.55000000000000004</v>
      </c>
      <c r="T671" t="str" cm="1">
        <f t="array" ref="T671">_xlfn.IFS(clean_data[[#This Row],[Revenue]]&lt;300000,"Small",
     clean_data[[#This Row],[Revenue]]&lt;700000,"Medium",
     TRUE,"Large")</f>
        <v>Medium</v>
      </c>
      <c r="U671" t="str" cm="1">
        <f t="array" ref="U671">_xlfn.IFS(clean_data[[#This Row],[profit margin%]]&lt;0.5,"Low Profit",
     clean_data[[#This Row],[profit margin%]]&lt;0.6,"Medium Profit",
     TRUE,"High Profit")</f>
        <v>Medium Profit</v>
      </c>
      <c r="V671" t="str">
        <f>TEXT(clean_data[[#This Row],[Date]],"mmm-yyyy")</f>
        <v>Mar-2022</v>
      </c>
      <c r="W671" s="8">
        <f>EOMONTH(clean_data[[#This Row],[Date]],-1)+1</f>
        <v>44621</v>
      </c>
    </row>
    <row r="672" spans="1:23" x14ac:dyDescent="0.3">
      <c r="A672" t="s">
        <v>744</v>
      </c>
      <c r="B672" s="1">
        <v>45425</v>
      </c>
      <c r="C672" t="s">
        <v>26</v>
      </c>
      <c r="D672" t="s">
        <v>69</v>
      </c>
      <c r="E672" t="s">
        <v>73</v>
      </c>
      <c r="F672" t="s">
        <v>33</v>
      </c>
      <c r="G672" t="s">
        <v>39</v>
      </c>
      <c r="H672">
        <v>49</v>
      </c>
      <c r="I672">
        <v>5000</v>
      </c>
      <c r="J672">
        <v>5</v>
      </c>
      <c r="K672">
        <v>232750</v>
      </c>
      <c r="L672">
        <v>116375</v>
      </c>
      <c r="M672">
        <v>116375</v>
      </c>
      <c r="N672" t="s">
        <v>30</v>
      </c>
      <c r="O672" t="s">
        <v>44</v>
      </c>
      <c r="P672" t="s">
        <v>24</v>
      </c>
      <c r="Q672" t="str">
        <f>TEXT(clean_data[[#This Row],[Date]],"mmm")</f>
        <v>May</v>
      </c>
      <c r="R672">
        <f>YEAR(clean_data[[#This Row],[Date]])</f>
        <v>2024</v>
      </c>
      <c r="S672" s="2">
        <f>clean_data[[#This Row],[Profit]]/clean_data[[#This Row],[Revenue]]</f>
        <v>0.5</v>
      </c>
      <c r="T672" t="str" cm="1">
        <f t="array" ref="T672">_xlfn.IFS(clean_data[[#This Row],[Revenue]]&lt;300000,"Small",
     clean_data[[#This Row],[Revenue]]&lt;700000,"Medium",
     TRUE,"Large")</f>
        <v>Small</v>
      </c>
      <c r="U672" t="str" cm="1">
        <f t="array" ref="U672">_xlfn.IFS(clean_data[[#This Row],[profit margin%]]&lt;0.5,"Low Profit",
     clean_data[[#This Row],[profit margin%]]&lt;0.6,"Medium Profit",
     TRUE,"High Profit")</f>
        <v>Medium Profit</v>
      </c>
      <c r="V672" t="str">
        <f>TEXT(clean_data[[#This Row],[Date]],"mmm-yyyy")</f>
        <v>May-2024</v>
      </c>
      <c r="W672" s="8">
        <f>EOMONTH(clean_data[[#This Row],[Date]],-1)+1</f>
        <v>45413</v>
      </c>
    </row>
    <row r="673" spans="1:23" x14ac:dyDescent="0.3">
      <c r="A673" t="s">
        <v>745</v>
      </c>
      <c r="B673" s="1">
        <v>45433</v>
      </c>
      <c r="C673" t="s">
        <v>17</v>
      </c>
      <c r="D673" t="s">
        <v>42</v>
      </c>
      <c r="E673" t="s">
        <v>32</v>
      </c>
      <c r="F673" t="s">
        <v>28</v>
      </c>
      <c r="G673" t="s">
        <v>71</v>
      </c>
      <c r="H673">
        <v>6</v>
      </c>
      <c r="I673">
        <v>35000</v>
      </c>
      <c r="J673">
        <v>15</v>
      </c>
      <c r="K673">
        <v>178500</v>
      </c>
      <c r="L673">
        <v>98175</v>
      </c>
      <c r="M673">
        <v>80325</v>
      </c>
      <c r="N673" t="s">
        <v>22</v>
      </c>
      <c r="O673" t="s">
        <v>23</v>
      </c>
      <c r="P673" t="s">
        <v>24</v>
      </c>
      <c r="Q673" t="str">
        <f>TEXT(clean_data[[#This Row],[Date]],"mmm")</f>
        <v>May</v>
      </c>
      <c r="R673">
        <f>YEAR(clean_data[[#This Row],[Date]])</f>
        <v>2024</v>
      </c>
      <c r="S673" s="2">
        <f>clean_data[[#This Row],[Profit]]/clean_data[[#This Row],[Revenue]]</f>
        <v>0.45</v>
      </c>
      <c r="T673" t="str" cm="1">
        <f t="array" ref="T673">_xlfn.IFS(clean_data[[#This Row],[Revenue]]&lt;300000,"Small",
     clean_data[[#This Row],[Revenue]]&lt;700000,"Medium",
     TRUE,"Large")</f>
        <v>Small</v>
      </c>
      <c r="U673" t="str" cm="1">
        <f t="array" ref="U673">_xlfn.IFS(clean_data[[#This Row],[profit margin%]]&lt;0.5,"Low Profit",
     clean_data[[#This Row],[profit margin%]]&lt;0.6,"Medium Profit",
     TRUE,"High Profit")</f>
        <v>Low Profit</v>
      </c>
      <c r="V673" t="str">
        <f>TEXT(clean_data[[#This Row],[Date]],"mmm-yyyy")</f>
        <v>May-2024</v>
      </c>
      <c r="W673" s="8">
        <f>EOMONTH(clean_data[[#This Row],[Date]],-1)+1</f>
        <v>45413</v>
      </c>
    </row>
    <row r="674" spans="1:23" x14ac:dyDescent="0.3">
      <c r="A674" t="s">
        <v>746</v>
      </c>
      <c r="B674" s="1">
        <v>45222</v>
      </c>
      <c r="C674" t="s">
        <v>58</v>
      </c>
      <c r="D674" t="s">
        <v>84</v>
      </c>
      <c r="E674" t="s">
        <v>78</v>
      </c>
      <c r="F674" t="s">
        <v>33</v>
      </c>
      <c r="G674" t="s">
        <v>43</v>
      </c>
      <c r="H674">
        <v>5</v>
      </c>
      <c r="I674">
        <v>4000</v>
      </c>
      <c r="J674">
        <v>10</v>
      </c>
      <c r="K674">
        <v>18000</v>
      </c>
      <c r="L674">
        <v>9000</v>
      </c>
      <c r="M674">
        <v>9000</v>
      </c>
      <c r="N674" t="s">
        <v>22</v>
      </c>
      <c r="O674" t="s">
        <v>67</v>
      </c>
      <c r="P674" t="s">
        <v>24</v>
      </c>
      <c r="Q674" t="str">
        <f>TEXT(clean_data[[#This Row],[Date]],"mmm")</f>
        <v>Oct</v>
      </c>
      <c r="R674">
        <f>YEAR(clean_data[[#This Row],[Date]])</f>
        <v>2023</v>
      </c>
      <c r="S674" s="2">
        <f>clean_data[[#This Row],[Profit]]/clean_data[[#This Row],[Revenue]]</f>
        <v>0.5</v>
      </c>
      <c r="T674" t="str" cm="1">
        <f t="array" ref="T674">_xlfn.IFS(clean_data[[#This Row],[Revenue]]&lt;300000,"Small",
     clean_data[[#This Row],[Revenue]]&lt;700000,"Medium",
     TRUE,"Large")</f>
        <v>Small</v>
      </c>
      <c r="U674" t="str" cm="1">
        <f t="array" ref="U674">_xlfn.IFS(clean_data[[#This Row],[profit margin%]]&lt;0.5,"Low Profit",
     clean_data[[#This Row],[profit margin%]]&lt;0.6,"Medium Profit",
     TRUE,"High Profit")</f>
        <v>Medium Profit</v>
      </c>
      <c r="V674" t="str">
        <f>TEXT(clean_data[[#This Row],[Date]],"mmm-yyyy")</f>
        <v>Oct-2023</v>
      </c>
      <c r="W674" s="8">
        <f>EOMONTH(clean_data[[#This Row],[Date]],-1)+1</f>
        <v>45200</v>
      </c>
    </row>
    <row r="675" spans="1:23" x14ac:dyDescent="0.3">
      <c r="A675" t="s">
        <v>747</v>
      </c>
      <c r="B675" s="1">
        <v>45184</v>
      </c>
      <c r="C675" t="s">
        <v>26</v>
      </c>
      <c r="D675" t="s">
        <v>27</v>
      </c>
      <c r="E675" t="s">
        <v>78</v>
      </c>
      <c r="F675" t="s">
        <v>65</v>
      </c>
      <c r="G675" t="s">
        <v>104</v>
      </c>
      <c r="H675">
        <v>1</v>
      </c>
      <c r="I675">
        <v>3000</v>
      </c>
      <c r="J675">
        <v>15</v>
      </c>
      <c r="K675">
        <v>2550</v>
      </c>
      <c r="L675">
        <v>1147.5</v>
      </c>
      <c r="M675">
        <v>1402.5</v>
      </c>
      <c r="N675" t="s">
        <v>22</v>
      </c>
      <c r="O675" t="s">
        <v>50</v>
      </c>
      <c r="P675" t="s">
        <v>24</v>
      </c>
      <c r="Q675" t="str">
        <f>TEXT(clean_data[[#This Row],[Date]],"mmm")</f>
        <v>Sep</v>
      </c>
      <c r="R675">
        <f>YEAR(clean_data[[#This Row],[Date]])</f>
        <v>2023</v>
      </c>
      <c r="S675" s="2">
        <f>clean_data[[#This Row],[Profit]]/clean_data[[#This Row],[Revenue]]</f>
        <v>0.55000000000000004</v>
      </c>
      <c r="T675" t="str" cm="1">
        <f t="array" ref="T675">_xlfn.IFS(clean_data[[#This Row],[Revenue]]&lt;300000,"Small",
     clean_data[[#This Row],[Revenue]]&lt;700000,"Medium",
     TRUE,"Large")</f>
        <v>Small</v>
      </c>
      <c r="U675" t="str" cm="1">
        <f t="array" ref="U675">_xlfn.IFS(clean_data[[#This Row],[profit margin%]]&lt;0.5,"Low Profit",
     clean_data[[#This Row],[profit margin%]]&lt;0.6,"Medium Profit",
     TRUE,"High Profit")</f>
        <v>Medium Profit</v>
      </c>
      <c r="V675" t="str">
        <f>TEXT(clean_data[[#This Row],[Date]],"mmm-yyyy")</f>
        <v>Sep-2023</v>
      </c>
      <c r="W675" s="8">
        <f>EOMONTH(clean_data[[#This Row],[Date]],-1)+1</f>
        <v>45170</v>
      </c>
    </row>
    <row r="676" spans="1:23" x14ac:dyDescent="0.3">
      <c r="A676" t="s">
        <v>748</v>
      </c>
      <c r="B676" s="1">
        <v>45188</v>
      </c>
      <c r="C676" t="s">
        <v>26</v>
      </c>
      <c r="D676" t="s">
        <v>27</v>
      </c>
      <c r="E676" t="s">
        <v>78</v>
      </c>
      <c r="F676" t="s">
        <v>20</v>
      </c>
      <c r="G676" t="s">
        <v>53</v>
      </c>
      <c r="H676">
        <v>46</v>
      </c>
      <c r="I676">
        <v>600</v>
      </c>
      <c r="J676">
        <v>5</v>
      </c>
      <c r="K676">
        <v>26220</v>
      </c>
      <c r="L676">
        <v>10488</v>
      </c>
      <c r="M676">
        <v>15732</v>
      </c>
      <c r="N676" t="s">
        <v>22</v>
      </c>
      <c r="O676" t="s">
        <v>23</v>
      </c>
      <c r="P676" t="s">
        <v>40</v>
      </c>
      <c r="Q676" t="str">
        <f>TEXT(clean_data[[#This Row],[Date]],"mmm")</f>
        <v>Sep</v>
      </c>
      <c r="R676">
        <f>YEAR(clean_data[[#This Row],[Date]])</f>
        <v>2023</v>
      </c>
      <c r="S676" s="2">
        <f>clean_data[[#This Row],[Profit]]/clean_data[[#This Row],[Revenue]]</f>
        <v>0.6</v>
      </c>
      <c r="T676" t="str" cm="1">
        <f t="array" ref="T676">_xlfn.IFS(clean_data[[#This Row],[Revenue]]&lt;300000,"Small",
     clean_data[[#This Row],[Revenue]]&lt;700000,"Medium",
     TRUE,"Large")</f>
        <v>Small</v>
      </c>
      <c r="U676" t="str" cm="1">
        <f t="array" ref="U676">_xlfn.IFS(clean_data[[#This Row],[profit margin%]]&lt;0.5,"Low Profit",
     clean_data[[#This Row],[profit margin%]]&lt;0.6,"Medium Profit",
     TRUE,"High Profit")</f>
        <v>High Profit</v>
      </c>
      <c r="V676" t="str">
        <f>TEXT(clean_data[[#This Row],[Date]],"mmm-yyyy")</f>
        <v>Sep-2023</v>
      </c>
      <c r="W676" s="8">
        <f>EOMONTH(clean_data[[#This Row],[Date]],-1)+1</f>
        <v>45170</v>
      </c>
    </row>
    <row r="677" spans="1:23" x14ac:dyDescent="0.3">
      <c r="A677" t="s">
        <v>749</v>
      </c>
      <c r="B677" s="1">
        <v>45184</v>
      </c>
      <c r="C677" t="s">
        <v>58</v>
      </c>
      <c r="D677" t="s">
        <v>64</v>
      </c>
      <c r="E677" t="s">
        <v>78</v>
      </c>
      <c r="F677" t="s">
        <v>33</v>
      </c>
      <c r="G677" t="s">
        <v>76</v>
      </c>
      <c r="H677">
        <v>44</v>
      </c>
      <c r="I677">
        <v>8500</v>
      </c>
      <c r="J677">
        <v>20</v>
      </c>
      <c r="K677">
        <v>299200</v>
      </c>
      <c r="L677">
        <v>149600</v>
      </c>
      <c r="M677">
        <v>149600</v>
      </c>
      <c r="N677" t="s">
        <v>49</v>
      </c>
      <c r="O677" t="s">
        <v>44</v>
      </c>
      <c r="P677" t="s">
        <v>24</v>
      </c>
      <c r="Q677" t="str">
        <f>TEXT(clean_data[[#This Row],[Date]],"mmm")</f>
        <v>Sep</v>
      </c>
      <c r="R677">
        <f>YEAR(clean_data[[#This Row],[Date]])</f>
        <v>2023</v>
      </c>
      <c r="S677" s="2">
        <f>clean_data[[#This Row],[Profit]]/clean_data[[#This Row],[Revenue]]</f>
        <v>0.5</v>
      </c>
      <c r="T677" t="str" cm="1">
        <f t="array" ref="T677">_xlfn.IFS(clean_data[[#This Row],[Revenue]]&lt;300000,"Small",
     clean_data[[#This Row],[Revenue]]&lt;700000,"Medium",
     TRUE,"Large")</f>
        <v>Small</v>
      </c>
      <c r="U677" t="str" cm="1">
        <f t="array" ref="U677">_xlfn.IFS(clean_data[[#This Row],[profit margin%]]&lt;0.5,"Low Profit",
     clean_data[[#This Row],[profit margin%]]&lt;0.6,"Medium Profit",
     TRUE,"High Profit")</f>
        <v>Medium Profit</v>
      </c>
      <c r="V677" t="str">
        <f>TEXT(clean_data[[#This Row],[Date]],"mmm-yyyy")</f>
        <v>Sep-2023</v>
      </c>
      <c r="W677" s="8">
        <f>EOMONTH(clean_data[[#This Row],[Date]],-1)+1</f>
        <v>45170</v>
      </c>
    </row>
    <row r="678" spans="1:23" x14ac:dyDescent="0.3">
      <c r="A678" t="s">
        <v>750</v>
      </c>
      <c r="B678" s="1">
        <v>44726</v>
      </c>
      <c r="C678" t="s">
        <v>17</v>
      </c>
      <c r="D678" t="s">
        <v>18</v>
      </c>
      <c r="E678" t="s">
        <v>32</v>
      </c>
      <c r="F678" t="s">
        <v>65</v>
      </c>
      <c r="G678" t="s">
        <v>79</v>
      </c>
      <c r="H678">
        <v>15</v>
      </c>
      <c r="I678">
        <v>900</v>
      </c>
      <c r="J678">
        <v>0</v>
      </c>
      <c r="K678">
        <v>13500</v>
      </c>
      <c r="L678">
        <v>6075</v>
      </c>
      <c r="M678">
        <v>7425</v>
      </c>
      <c r="N678" t="s">
        <v>22</v>
      </c>
      <c r="O678" t="s">
        <v>67</v>
      </c>
      <c r="P678" t="s">
        <v>24</v>
      </c>
      <c r="Q678" t="str">
        <f>TEXT(clean_data[[#This Row],[Date]],"mmm")</f>
        <v>Jun</v>
      </c>
      <c r="R678">
        <f>YEAR(clean_data[[#This Row],[Date]])</f>
        <v>2022</v>
      </c>
      <c r="S678" s="2">
        <f>clean_data[[#This Row],[Profit]]/clean_data[[#This Row],[Revenue]]</f>
        <v>0.55000000000000004</v>
      </c>
      <c r="T678" t="str" cm="1">
        <f t="array" ref="T678">_xlfn.IFS(clean_data[[#This Row],[Revenue]]&lt;300000,"Small",
     clean_data[[#This Row],[Revenue]]&lt;700000,"Medium",
     TRUE,"Large")</f>
        <v>Small</v>
      </c>
      <c r="U678" t="str" cm="1">
        <f t="array" ref="U678">_xlfn.IFS(clean_data[[#This Row],[profit margin%]]&lt;0.5,"Low Profit",
     clean_data[[#This Row],[profit margin%]]&lt;0.6,"Medium Profit",
     TRUE,"High Profit")</f>
        <v>Medium Profit</v>
      </c>
      <c r="V678" t="str">
        <f>TEXT(clean_data[[#This Row],[Date]],"mmm-yyyy")</f>
        <v>Jun-2022</v>
      </c>
      <c r="W678" s="8">
        <f>EOMONTH(clean_data[[#This Row],[Date]],-1)+1</f>
        <v>44713</v>
      </c>
    </row>
    <row r="679" spans="1:23" x14ac:dyDescent="0.3">
      <c r="A679" t="s">
        <v>751</v>
      </c>
      <c r="B679" s="1">
        <v>44988</v>
      </c>
      <c r="C679" t="s">
        <v>58</v>
      </c>
      <c r="D679" t="s">
        <v>84</v>
      </c>
      <c r="E679" t="s">
        <v>73</v>
      </c>
      <c r="F679" t="s">
        <v>20</v>
      </c>
      <c r="G679" t="s">
        <v>21</v>
      </c>
      <c r="H679">
        <v>26</v>
      </c>
      <c r="I679">
        <v>3500</v>
      </c>
      <c r="J679">
        <v>20</v>
      </c>
      <c r="K679">
        <v>72800</v>
      </c>
      <c r="L679">
        <v>29120</v>
      </c>
      <c r="M679">
        <v>43680</v>
      </c>
      <c r="N679" t="s">
        <v>22</v>
      </c>
      <c r="O679" t="s">
        <v>50</v>
      </c>
      <c r="P679" t="s">
        <v>24</v>
      </c>
      <c r="Q679" t="str">
        <f>TEXT(clean_data[[#This Row],[Date]],"mmm")</f>
        <v>Mar</v>
      </c>
      <c r="R679">
        <f>YEAR(clean_data[[#This Row],[Date]])</f>
        <v>2023</v>
      </c>
      <c r="S679" s="2">
        <f>clean_data[[#This Row],[Profit]]/clean_data[[#This Row],[Revenue]]</f>
        <v>0.6</v>
      </c>
      <c r="T679" t="str" cm="1">
        <f t="array" ref="T679">_xlfn.IFS(clean_data[[#This Row],[Revenue]]&lt;300000,"Small",
     clean_data[[#This Row],[Revenue]]&lt;700000,"Medium",
     TRUE,"Large")</f>
        <v>Small</v>
      </c>
      <c r="U679" t="str" cm="1">
        <f t="array" ref="U679">_xlfn.IFS(clean_data[[#This Row],[profit margin%]]&lt;0.5,"Low Profit",
     clean_data[[#This Row],[profit margin%]]&lt;0.6,"Medium Profit",
     TRUE,"High Profit")</f>
        <v>High Profit</v>
      </c>
      <c r="V679" t="str">
        <f>TEXT(clean_data[[#This Row],[Date]],"mmm-yyyy")</f>
        <v>Mar-2023</v>
      </c>
      <c r="W679" s="8">
        <f>EOMONTH(clean_data[[#This Row],[Date]],-1)+1</f>
        <v>44986</v>
      </c>
    </row>
    <row r="680" spans="1:23" x14ac:dyDescent="0.3">
      <c r="A680" t="s">
        <v>752</v>
      </c>
      <c r="B680" s="1">
        <v>44837</v>
      </c>
      <c r="C680" t="s">
        <v>17</v>
      </c>
      <c r="D680" t="s">
        <v>18</v>
      </c>
      <c r="E680" t="s">
        <v>38</v>
      </c>
      <c r="F680" t="s">
        <v>28</v>
      </c>
      <c r="G680" t="s">
        <v>95</v>
      </c>
      <c r="H680">
        <v>46</v>
      </c>
      <c r="I680">
        <v>75000</v>
      </c>
      <c r="J680">
        <v>20</v>
      </c>
      <c r="K680">
        <v>2760000</v>
      </c>
      <c r="L680">
        <v>1518000</v>
      </c>
      <c r="M680">
        <v>1242000</v>
      </c>
      <c r="N680" t="s">
        <v>49</v>
      </c>
      <c r="O680" t="s">
        <v>23</v>
      </c>
      <c r="P680" t="s">
        <v>24</v>
      </c>
      <c r="Q680" t="str">
        <f>TEXT(clean_data[[#This Row],[Date]],"mmm")</f>
        <v>Oct</v>
      </c>
      <c r="R680">
        <f>YEAR(clean_data[[#This Row],[Date]])</f>
        <v>2022</v>
      </c>
      <c r="S680" s="2">
        <f>clean_data[[#This Row],[Profit]]/clean_data[[#This Row],[Revenue]]</f>
        <v>0.45</v>
      </c>
      <c r="T680" t="str" cm="1">
        <f t="array" ref="T680">_xlfn.IFS(clean_data[[#This Row],[Revenue]]&lt;300000,"Small",
     clean_data[[#This Row],[Revenue]]&lt;700000,"Medium",
     TRUE,"Large")</f>
        <v>Large</v>
      </c>
      <c r="U680" t="str" cm="1">
        <f t="array" ref="U680">_xlfn.IFS(clean_data[[#This Row],[profit margin%]]&lt;0.5,"Low Profit",
     clean_data[[#This Row],[profit margin%]]&lt;0.6,"Medium Profit",
     TRUE,"High Profit")</f>
        <v>Low Profit</v>
      </c>
      <c r="V680" t="str">
        <f>TEXT(clean_data[[#This Row],[Date]],"mmm-yyyy")</f>
        <v>Oct-2022</v>
      </c>
      <c r="W680" s="8">
        <f>EOMONTH(clean_data[[#This Row],[Date]],-1)+1</f>
        <v>44835</v>
      </c>
    </row>
    <row r="681" spans="1:23" x14ac:dyDescent="0.3">
      <c r="A681" t="s">
        <v>753</v>
      </c>
      <c r="B681" s="1">
        <v>44781</v>
      </c>
      <c r="C681" t="s">
        <v>46</v>
      </c>
      <c r="D681" t="s">
        <v>47</v>
      </c>
      <c r="E681" t="s">
        <v>73</v>
      </c>
      <c r="F681" t="s">
        <v>33</v>
      </c>
      <c r="G681" t="s">
        <v>48</v>
      </c>
      <c r="H681">
        <v>25</v>
      </c>
      <c r="I681">
        <v>1500</v>
      </c>
      <c r="J681">
        <v>5</v>
      </c>
      <c r="K681">
        <v>35625</v>
      </c>
      <c r="L681">
        <v>17812.5</v>
      </c>
      <c r="M681">
        <v>17812.5</v>
      </c>
      <c r="N681" t="s">
        <v>30</v>
      </c>
      <c r="O681" t="s">
        <v>67</v>
      </c>
      <c r="P681" t="s">
        <v>24</v>
      </c>
      <c r="Q681" t="str">
        <f>TEXT(clean_data[[#This Row],[Date]],"mmm")</f>
        <v>Aug</v>
      </c>
      <c r="R681">
        <f>YEAR(clean_data[[#This Row],[Date]])</f>
        <v>2022</v>
      </c>
      <c r="S681" s="2">
        <f>clean_data[[#This Row],[Profit]]/clean_data[[#This Row],[Revenue]]</f>
        <v>0.5</v>
      </c>
      <c r="T681" t="str" cm="1">
        <f t="array" ref="T681">_xlfn.IFS(clean_data[[#This Row],[Revenue]]&lt;300000,"Small",
     clean_data[[#This Row],[Revenue]]&lt;700000,"Medium",
     TRUE,"Large")</f>
        <v>Small</v>
      </c>
      <c r="U681" t="str" cm="1">
        <f t="array" ref="U681">_xlfn.IFS(clean_data[[#This Row],[profit margin%]]&lt;0.5,"Low Profit",
     clean_data[[#This Row],[profit margin%]]&lt;0.6,"Medium Profit",
     TRUE,"High Profit")</f>
        <v>Medium Profit</v>
      </c>
      <c r="V681" t="str">
        <f>TEXT(clean_data[[#This Row],[Date]],"mmm-yyyy")</f>
        <v>Aug-2022</v>
      </c>
      <c r="W681" s="8">
        <f>EOMONTH(clean_data[[#This Row],[Date]],-1)+1</f>
        <v>44774</v>
      </c>
    </row>
    <row r="682" spans="1:23" x14ac:dyDescent="0.3">
      <c r="A682" t="s">
        <v>754</v>
      </c>
      <c r="B682" s="1">
        <v>44984</v>
      </c>
      <c r="C682" t="s">
        <v>17</v>
      </c>
      <c r="D682" t="s">
        <v>42</v>
      </c>
      <c r="E682" t="s">
        <v>19</v>
      </c>
      <c r="F682" t="s">
        <v>65</v>
      </c>
      <c r="G682" t="s">
        <v>104</v>
      </c>
      <c r="H682">
        <v>27</v>
      </c>
      <c r="I682">
        <v>3000</v>
      </c>
      <c r="J682">
        <v>5</v>
      </c>
      <c r="K682">
        <v>76950</v>
      </c>
      <c r="L682">
        <v>34627.5</v>
      </c>
      <c r="M682">
        <v>42322.5</v>
      </c>
      <c r="N682" t="s">
        <v>49</v>
      </c>
      <c r="O682" t="s">
        <v>50</v>
      </c>
      <c r="P682" t="s">
        <v>24</v>
      </c>
      <c r="Q682" t="str">
        <f>TEXT(clean_data[[#This Row],[Date]],"mmm")</f>
        <v>Feb</v>
      </c>
      <c r="R682">
        <f>YEAR(clean_data[[#This Row],[Date]])</f>
        <v>2023</v>
      </c>
      <c r="S682" s="2">
        <f>clean_data[[#This Row],[Profit]]/clean_data[[#This Row],[Revenue]]</f>
        <v>0.55000000000000004</v>
      </c>
      <c r="T682" t="str" cm="1">
        <f t="array" ref="T682">_xlfn.IFS(clean_data[[#This Row],[Revenue]]&lt;300000,"Small",
     clean_data[[#This Row],[Revenue]]&lt;700000,"Medium",
     TRUE,"Large")</f>
        <v>Small</v>
      </c>
      <c r="U682" t="str" cm="1">
        <f t="array" ref="U682">_xlfn.IFS(clean_data[[#This Row],[profit margin%]]&lt;0.5,"Low Profit",
     clean_data[[#This Row],[profit margin%]]&lt;0.6,"Medium Profit",
     TRUE,"High Profit")</f>
        <v>Medium Profit</v>
      </c>
      <c r="V682" t="str">
        <f>TEXT(clean_data[[#This Row],[Date]],"mmm-yyyy")</f>
        <v>Feb-2023</v>
      </c>
      <c r="W682" s="8">
        <f>EOMONTH(clean_data[[#This Row],[Date]],-1)+1</f>
        <v>44958</v>
      </c>
    </row>
    <row r="683" spans="1:23" x14ac:dyDescent="0.3">
      <c r="A683" t="s">
        <v>755</v>
      </c>
      <c r="B683" s="1">
        <v>45036</v>
      </c>
      <c r="C683" t="s">
        <v>58</v>
      </c>
      <c r="D683" t="s">
        <v>84</v>
      </c>
      <c r="E683" t="s">
        <v>70</v>
      </c>
      <c r="F683" t="s">
        <v>65</v>
      </c>
      <c r="G683" t="s">
        <v>117</v>
      </c>
      <c r="H683">
        <v>1</v>
      </c>
      <c r="I683">
        <v>1200</v>
      </c>
      <c r="J683">
        <v>15</v>
      </c>
      <c r="K683">
        <v>1020</v>
      </c>
      <c r="L683">
        <v>459</v>
      </c>
      <c r="M683">
        <v>561</v>
      </c>
      <c r="N683" t="s">
        <v>49</v>
      </c>
      <c r="O683" t="s">
        <v>23</v>
      </c>
      <c r="P683" t="s">
        <v>24</v>
      </c>
      <c r="Q683" t="str">
        <f>TEXT(clean_data[[#This Row],[Date]],"mmm")</f>
        <v>Apr</v>
      </c>
      <c r="R683">
        <f>YEAR(clean_data[[#This Row],[Date]])</f>
        <v>2023</v>
      </c>
      <c r="S683" s="2">
        <f>clean_data[[#This Row],[Profit]]/clean_data[[#This Row],[Revenue]]</f>
        <v>0.55000000000000004</v>
      </c>
      <c r="T683" t="str" cm="1">
        <f t="array" ref="T683">_xlfn.IFS(clean_data[[#This Row],[Revenue]]&lt;300000,"Small",
     clean_data[[#This Row],[Revenue]]&lt;700000,"Medium",
     TRUE,"Large")</f>
        <v>Small</v>
      </c>
      <c r="U683" t="str" cm="1">
        <f t="array" ref="U683">_xlfn.IFS(clean_data[[#This Row],[profit margin%]]&lt;0.5,"Low Profit",
     clean_data[[#This Row],[profit margin%]]&lt;0.6,"Medium Profit",
     TRUE,"High Profit")</f>
        <v>Medium Profit</v>
      </c>
      <c r="V683" t="str">
        <f>TEXT(clean_data[[#This Row],[Date]],"mmm-yyyy")</f>
        <v>Apr-2023</v>
      </c>
      <c r="W683" s="8">
        <f>EOMONTH(clean_data[[#This Row],[Date]],-1)+1</f>
        <v>45017</v>
      </c>
    </row>
    <row r="684" spans="1:23" x14ac:dyDescent="0.3">
      <c r="A684" t="s">
        <v>756</v>
      </c>
      <c r="B684" s="1">
        <v>44980</v>
      </c>
      <c r="C684" t="s">
        <v>58</v>
      </c>
      <c r="D684" t="s">
        <v>64</v>
      </c>
      <c r="E684" t="s">
        <v>32</v>
      </c>
      <c r="F684" t="s">
        <v>33</v>
      </c>
      <c r="G684" t="s">
        <v>39</v>
      </c>
      <c r="H684">
        <v>7</v>
      </c>
      <c r="I684">
        <v>5000</v>
      </c>
      <c r="J684">
        <v>20</v>
      </c>
      <c r="K684">
        <v>28000</v>
      </c>
      <c r="L684">
        <v>14000</v>
      </c>
      <c r="M684">
        <v>14000</v>
      </c>
      <c r="N684" t="s">
        <v>30</v>
      </c>
      <c r="O684" t="s">
        <v>50</v>
      </c>
      <c r="P684" t="s">
        <v>24</v>
      </c>
      <c r="Q684" t="str">
        <f>TEXT(clean_data[[#This Row],[Date]],"mmm")</f>
        <v>Feb</v>
      </c>
      <c r="R684">
        <f>YEAR(clean_data[[#This Row],[Date]])</f>
        <v>2023</v>
      </c>
      <c r="S684" s="2">
        <f>clean_data[[#This Row],[Profit]]/clean_data[[#This Row],[Revenue]]</f>
        <v>0.5</v>
      </c>
      <c r="T684" t="str" cm="1">
        <f t="array" ref="T684">_xlfn.IFS(clean_data[[#This Row],[Revenue]]&lt;300000,"Small",
     clean_data[[#This Row],[Revenue]]&lt;700000,"Medium",
     TRUE,"Large")</f>
        <v>Small</v>
      </c>
      <c r="U684" t="str" cm="1">
        <f t="array" ref="U684">_xlfn.IFS(clean_data[[#This Row],[profit margin%]]&lt;0.5,"Low Profit",
     clean_data[[#This Row],[profit margin%]]&lt;0.6,"Medium Profit",
     TRUE,"High Profit")</f>
        <v>Medium Profit</v>
      </c>
      <c r="V684" t="str">
        <f>TEXT(clean_data[[#This Row],[Date]],"mmm-yyyy")</f>
        <v>Feb-2023</v>
      </c>
      <c r="W684" s="8">
        <f>EOMONTH(clean_data[[#This Row],[Date]],-1)+1</f>
        <v>44958</v>
      </c>
    </row>
    <row r="685" spans="1:23" x14ac:dyDescent="0.3">
      <c r="A685" t="s">
        <v>757</v>
      </c>
      <c r="B685" s="1">
        <v>45032</v>
      </c>
      <c r="C685" t="s">
        <v>17</v>
      </c>
      <c r="D685" t="s">
        <v>42</v>
      </c>
      <c r="E685" t="s">
        <v>38</v>
      </c>
      <c r="F685" t="s">
        <v>28</v>
      </c>
      <c r="G685" t="s">
        <v>95</v>
      </c>
      <c r="H685">
        <v>17</v>
      </c>
      <c r="I685">
        <v>75000</v>
      </c>
      <c r="J685">
        <v>20</v>
      </c>
      <c r="K685">
        <v>1020000</v>
      </c>
      <c r="L685">
        <v>561000</v>
      </c>
      <c r="M685">
        <v>459000</v>
      </c>
      <c r="N685" t="s">
        <v>49</v>
      </c>
      <c r="O685" t="s">
        <v>50</v>
      </c>
      <c r="P685" t="s">
        <v>40</v>
      </c>
      <c r="Q685" t="str">
        <f>TEXT(clean_data[[#This Row],[Date]],"mmm")</f>
        <v>Apr</v>
      </c>
      <c r="R685">
        <f>YEAR(clean_data[[#This Row],[Date]])</f>
        <v>2023</v>
      </c>
      <c r="S685" s="2">
        <f>clean_data[[#This Row],[Profit]]/clean_data[[#This Row],[Revenue]]</f>
        <v>0.45</v>
      </c>
      <c r="T685" t="str" cm="1">
        <f t="array" ref="T685">_xlfn.IFS(clean_data[[#This Row],[Revenue]]&lt;300000,"Small",
     clean_data[[#This Row],[Revenue]]&lt;700000,"Medium",
     TRUE,"Large")</f>
        <v>Large</v>
      </c>
      <c r="U685" t="str" cm="1">
        <f t="array" ref="U685">_xlfn.IFS(clean_data[[#This Row],[profit margin%]]&lt;0.5,"Low Profit",
     clean_data[[#This Row],[profit margin%]]&lt;0.6,"Medium Profit",
     TRUE,"High Profit")</f>
        <v>Low Profit</v>
      </c>
      <c r="V685" t="str">
        <f>TEXT(clean_data[[#This Row],[Date]],"mmm-yyyy")</f>
        <v>Apr-2023</v>
      </c>
      <c r="W685" s="8">
        <f>EOMONTH(clean_data[[#This Row],[Date]],-1)+1</f>
        <v>45017</v>
      </c>
    </row>
    <row r="686" spans="1:23" x14ac:dyDescent="0.3">
      <c r="A686" t="s">
        <v>758</v>
      </c>
      <c r="B686" s="1">
        <v>45344</v>
      </c>
      <c r="C686" t="s">
        <v>17</v>
      </c>
      <c r="D686" t="s">
        <v>18</v>
      </c>
      <c r="E686" t="s">
        <v>111</v>
      </c>
      <c r="F686" t="s">
        <v>28</v>
      </c>
      <c r="G686" t="s">
        <v>29</v>
      </c>
      <c r="H686">
        <v>12</v>
      </c>
      <c r="I686">
        <v>15000</v>
      </c>
      <c r="J686">
        <v>10</v>
      </c>
      <c r="K686">
        <v>162000</v>
      </c>
      <c r="L686">
        <v>89100</v>
      </c>
      <c r="M686">
        <v>72900</v>
      </c>
      <c r="N686" t="s">
        <v>22</v>
      </c>
      <c r="O686" t="s">
        <v>23</v>
      </c>
      <c r="P686" t="s">
        <v>24</v>
      </c>
      <c r="Q686" t="str">
        <f>TEXT(clean_data[[#This Row],[Date]],"mmm")</f>
        <v>Feb</v>
      </c>
      <c r="R686">
        <f>YEAR(clean_data[[#This Row],[Date]])</f>
        <v>2024</v>
      </c>
      <c r="S686" s="2">
        <f>clean_data[[#This Row],[Profit]]/clean_data[[#This Row],[Revenue]]</f>
        <v>0.45</v>
      </c>
      <c r="T686" t="str" cm="1">
        <f t="array" ref="T686">_xlfn.IFS(clean_data[[#This Row],[Revenue]]&lt;300000,"Small",
     clean_data[[#This Row],[Revenue]]&lt;700000,"Medium",
     TRUE,"Large")</f>
        <v>Small</v>
      </c>
      <c r="U686" t="str" cm="1">
        <f t="array" ref="U686">_xlfn.IFS(clean_data[[#This Row],[profit margin%]]&lt;0.5,"Low Profit",
     clean_data[[#This Row],[profit margin%]]&lt;0.6,"Medium Profit",
     TRUE,"High Profit")</f>
        <v>Low Profit</v>
      </c>
      <c r="V686" t="str">
        <f>TEXT(clean_data[[#This Row],[Date]],"mmm-yyyy")</f>
        <v>Feb-2024</v>
      </c>
      <c r="W686" s="8">
        <f>EOMONTH(clean_data[[#This Row],[Date]],-1)+1</f>
        <v>45323</v>
      </c>
    </row>
    <row r="687" spans="1:23" x14ac:dyDescent="0.3">
      <c r="A687" t="s">
        <v>759</v>
      </c>
      <c r="B687" s="1">
        <v>45214</v>
      </c>
      <c r="C687" t="s">
        <v>46</v>
      </c>
      <c r="D687" t="s">
        <v>47</v>
      </c>
      <c r="E687" t="s">
        <v>70</v>
      </c>
      <c r="F687" t="s">
        <v>65</v>
      </c>
      <c r="G687" t="s">
        <v>104</v>
      </c>
      <c r="H687">
        <v>17</v>
      </c>
      <c r="I687">
        <v>3000</v>
      </c>
      <c r="J687">
        <v>0</v>
      </c>
      <c r="K687">
        <v>51000</v>
      </c>
      <c r="L687">
        <v>22950</v>
      </c>
      <c r="M687">
        <v>28050</v>
      </c>
      <c r="N687" t="s">
        <v>30</v>
      </c>
      <c r="O687" t="s">
        <v>44</v>
      </c>
      <c r="P687" t="s">
        <v>24</v>
      </c>
      <c r="Q687" t="str">
        <f>TEXT(clean_data[[#This Row],[Date]],"mmm")</f>
        <v>Oct</v>
      </c>
      <c r="R687">
        <f>YEAR(clean_data[[#This Row],[Date]])</f>
        <v>2023</v>
      </c>
      <c r="S687" s="2">
        <f>clean_data[[#This Row],[Profit]]/clean_data[[#This Row],[Revenue]]</f>
        <v>0.55000000000000004</v>
      </c>
      <c r="T687" t="str" cm="1">
        <f t="array" ref="T687">_xlfn.IFS(clean_data[[#This Row],[Revenue]]&lt;300000,"Small",
     clean_data[[#This Row],[Revenue]]&lt;700000,"Medium",
     TRUE,"Large")</f>
        <v>Small</v>
      </c>
      <c r="U687" t="str" cm="1">
        <f t="array" ref="U687">_xlfn.IFS(clean_data[[#This Row],[profit margin%]]&lt;0.5,"Low Profit",
     clean_data[[#This Row],[profit margin%]]&lt;0.6,"Medium Profit",
     TRUE,"High Profit")</f>
        <v>Medium Profit</v>
      </c>
      <c r="V687" t="str">
        <f>TEXT(clean_data[[#This Row],[Date]],"mmm-yyyy")</f>
        <v>Oct-2023</v>
      </c>
      <c r="W687" s="8">
        <f>EOMONTH(clean_data[[#This Row],[Date]],-1)+1</f>
        <v>45200</v>
      </c>
    </row>
    <row r="688" spans="1:23" x14ac:dyDescent="0.3">
      <c r="A688" t="s">
        <v>760</v>
      </c>
      <c r="B688" s="1">
        <v>45532</v>
      </c>
      <c r="C688" t="s">
        <v>17</v>
      </c>
      <c r="D688" t="s">
        <v>42</v>
      </c>
      <c r="E688" t="s">
        <v>70</v>
      </c>
      <c r="F688" t="s">
        <v>65</v>
      </c>
      <c r="G688" t="s">
        <v>124</v>
      </c>
      <c r="H688">
        <v>17</v>
      </c>
      <c r="I688">
        <v>18000</v>
      </c>
      <c r="J688">
        <v>20</v>
      </c>
      <c r="K688">
        <v>244800</v>
      </c>
      <c r="L688">
        <v>110160</v>
      </c>
      <c r="M688">
        <v>134640</v>
      </c>
      <c r="N688" t="s">
        <v>22</v>
      </c>
      <c r="O688" t="s">
        <v>50</v>
      </c>
      <c r="P688" t="s">
        <v>24</v>
      </c>
      <c r="Q688" t="str">
        <f>TEXT(clean_data[[#This Row],[Date]],"mmm")</f>
        <v>Aug</v>
      </c>
      <c r="R688">
        <f>YEAR(clean_data[[#This Row],[Date]])</f>
        <v>2024</v>
      </c>
      <c r="S688" s="2">
        <f>clean_data[[#This Row],[Profit]]/clean_data[[#This Row],[Revenue]]</f>
        <v>0.55000000000000004</v>
      </c>
      <c r="T688" t="str" cm="1">
        <f t="array" ref="T688">_xlfn.IFS(clean_data[[#This Row],[Revenue]]&lt;300000,"Small",
     clean_data[[#This Row],[Revenue]]&lt;700000,"Medium",
     TRUE,"Large")</f>
        <v>Small</v>
      </c>
      <c r="U688" t="str" cm="1">
        <f t="array" ref="U688">_xlfn.IFS(clean_data[[#This Row],[profit margin%]]&lt;0.5,"Low Profit",
     clean_data[[#This Row],[profit margin%]]&lt;0.6,"Medium Profit",
     TRUE,"High Profit")</f>
        <v>Medium Profit</v>
      </c>
      <c r="V688" t="str">
        <f>TEXT(clean_data[[#This Row],[Date]],"mmm-yyyy")</f>
        <v>Aug-2024</v>
      </c>
      <c r="W688" s="8">
        <f>EOMONTH(clean_data[[#This Row],[Date]],-1)+1</f>
        <v>45505</v>
      </c>
    </row>
    <row r="689" spans="1:23" x14ac:dyDescent="0.3">
      <c r="A689" t="s">
        <v>761</v>
      </c>
      <c r="B689" s="1">
        <v>45388</v>
      </c>
      <c r="C689" t="s">
        <v>17</v>
      </c>
      <c r="D689" t="s">
        <v>42</v>
      </c>
      <c r="E689" t="s">
        <v>60</v>
      </c>
      <c r="F689" t="s">
        <v>20</v>
      </c>
      <c r="G689" t="s">
        <v>53</v>
      </c>
      <c r="H689">
        <v>43</v>
      </c>
      <c r="I689">
        <v>600</v>
      </c>
      <c r="J689">
        <v>15</v>
      </c>
      <c r="K689">
        <v>21930</v>
      </c>
      <c r="L689">
        <v>8772</v>
      </c>
      <c r="M689">
        <v>13158</v>
      </c>
      <c r="N689" t="s">
        <v>30</v>
      </c>
      <c r="O689" t="s">
        <v>44</v>
      </c>
      <c r="P689" t="s">
        <v>24</v>
      </c>
      <c r="Q689" t="str">
        <f>TEXT(clean_data[[#This Row],[Date]],"mmm")</f>
        <v>Apr</v>
      </c>
      <c r="R689">
        <f>YEAR(clean_data[[#This Row],[Date]])</f>
        <v>2024</v>
      </c>
      <c r="S689" s="2">
        <f>clean_data[[#This Row],[Profit]]/clean_data[[#This Row],[Revenue]]</f>
        <v>0.6</v>
      </c>
      <c r="T689" t="str" cm="1">
        <f t="array" ref="T689">_xlfn.IFS(clean_data[[#This Row],[Revenue]]&lt;300000,"Small",
     clean_data[[#This Row],[Revenue]]&lt;700000,"Medium",
     TRUE,"Large")</f>
        <v>Small</v>
      </c>
      <c r="U689" t="str" cm="1">
        <f t="array" ref="U689">_xlfn.IFS(clean_data[[#This Row],[profit margin%]]&lt;0.5,"Low Profit",
     clean_data[[#This Row],[profit margin%]]&lt;0.6,"Medium Profit",
     TRUE,"High Profit")</f>
        <v>High Profit</v>
      </c>
      <c r="V689" t="str">
        <f>TEXT(clean_data[[#This Row],[Date]],"mmm-yyyy")</f>
        <v>Apr-2024</v>
      </c>
      <c r="W689" s="8">
        <f>EOMONTH(clean_data[[#This Row],[Date]],-1)+1</f>
        <v>45383</v>
      </c>
    </row>
    <row r="690" spans="1:23" x14ac:dyDescent="0.3">
      <c r="A690" t="s">
        <v>762</v>
      </c>
      <c r="B690" s="1">
        <v>44659</v>
      </c>
      <c r="C690" t="s">
        <v>46</v>
      </c>
      <c r="D690" t="s">
        <v>47</v>
      </c>
      <c r="E690" t="s">
        <v>60</v>
      </c>
      <c r="F690" t="s">
        <v>33</v>
      </c>
      <c r="G690" t="s">
        <v>76</v>
      </c>
      <c r="H690">
        <v>46</v>
      </c>
      <c r="I690">
        <v>8500</v>
      </c>
      <c r="J690">
        <v>15</v>
      </c>
      <c r="K690">
        <v>332350</v>
      </c>
      <c r="L690">
        <v>166175</v>
      </c>
      <c r="M690">
        <v>166175</v>
      </c>
      <c r="N690" t="s">
        <v>30</v>
      </c>
      <c r="O690" t="s">
        <v>23</v>
      </c>
      <c r="P690" t="s">
        <v>24</v>
      </c>
      <c r="Q690" t="str">
        <f>TEXT(clean_data[[#This Row],[Date]],"mmm")</f>
        <v>Apr</v>
      </c>
      <c r="R690">
        <f>YEAR(clean_data[[#This Row],[Date]])</f>
        <v>2022</v>
      </c>
      <c r="S690" s="2">
        <f>clean_data[[#This Row],[Profit]]/clean_data[[#This Row],[Revenue]]</f>
        <v>0.5</v>
      </c>
      <c r="T690" t="str" cm="1">
        <f t="array" ref="T690">_xlfn.IFS(clean_data[[#This Row],[Revenue]]&lt;300000,"Small",
     clean_data[[#This Row],[Revenue]]&lt;700000,"Medium",
     TRUE,"Large")</f>
        <v>Medium</v>
      </c>
      <c r="U690" t="str" cm="1">
        <f t="array" ref="U690">_xlfn.IFS(clean_data[[#This Row],[profit margin%]]&lt;0.5,"Low Profit",
     clean_data[[#This Row],[profit margin%]]&lt;0.6,"Medium Profit",
     TRUE,"High Profit")</f>
        <v>Medium Profit</v>
      </c>
      <c r="V690" t="str">
        <f>TEXT(clean_data[[#This Row],[Date]],"mmm-yyyy")</f>
        <v>Apr-2022</v>
      </c>
      <c r="W690" s="8">
        <f>EOMONTH(clean_data[[#This Row],[Date]],-1)+1</f>
        <v>44652</v>
      </c>
    </row>
    <row r="691" spans="1:23" x14ac:dyDescent="0.3">
      <c r="A691" t="s">
        <v>763</v>
      </c>
      <c r="B691" s="1">
        <v>44635</v>
      </c>
      <c r="C691" t="s">
        <v>17</v>
      </c>
      <c r="D691" t="s">
        <v>42</v>
      </c>
      <c r="E691" t="s">
        <v>111</v>
      </c>
      <c r="F691" t="s">
        <v>65</v>
      </c>
      <c r="G691" t="s">
        <v>66</v>
      </c>
      <c r="H691">
        <v>32</v>
      </c>
      <c r="I691">
        <v>5500</v>
      </c>
      <c r="J691">
        <v>0</v>
      </c>
      <c r="K691">
        <v>176000</v>
      </c>
      <c r="L691">
        <v>79200</v>
      </c>
      <c r="M691">
        <v>96800</v>
      </c>
      <c r="N691" t="s">
        <v>30</v>
      </c>
      <c r="O691" t="s">
        <v>50</v>
      </c>
      <c r="P691" t="s">
        <v>24</v>
      </c>
      <c r="Q691" t="str">
        <f>TEXT(clean_data[[#This Row],[Date]],"mmm")</f>
        <v>Mar</v>
      </c>
      <c r="R691">
        <f>YEAR(clean_data[[#This Row],[Date]])</f>
        <v>2022</v>
      </c>
      <c r="S691" s="2">
        <f>clean_data[[#This Row],[Profit]]/clean_data[[#This Row],[Revenue]]</f>
        <v>0.55000000000000004</v>
      </c>
      <c r="T691" t="str" cm="1">
        <f t="array" ref="T691">_xlfn.IFS(clean_data[[#This Row],[Revenue]]&lt;300000,"Small",
     clean_data[[#This Row],[Revenue]]&lt;700000,"Medium",
     TRUE,"Large")</f>
        <v>Small</v>
      </c>
      <c r="U691" t="str" cm="1">
        <f t="array" ref="U691">_xlfn.IFS(clean_data[[#This Row],[profit margin%]]&lt;0.5,"Low Profit",
     clean_data[[#This Row],[profit margin%]]&lt;0.6,"Medium Profit",
     TRUE,"High Profit")</f>
        <v>Medium Profit</v>
      </c>
      <c r="V691" t="str">
        <f>TEXT(clean_data[[#This Row],[Date]],"mmm-yyyy")</f>
        <v>Mar-2022</v>
      </c>
      <c r="W691" s="8">
        <f>EOMONTH(clean_data[[#This Row],[Date]],-1)+1</f>
        <v>44621</v>
      </c>
    </row>
    <row r="692" spans="1:23" x14ac:dyDescent="0.3">
      <c r="A692" t="s">
        <v>764</v>
      </c>
      <c r="B692" s="1">
        <v>44719</v>
      </c>
      <c r="C692" t="s">
        <v>17</v>
      </c>
      <c r="D692" t="s">
        <v>18</v>
      </c>
      <c r="E692" t="s">
        <v>78</v>
      </c>
      <c r="F692" t="s">
        <v>33</v>
      </c>
      <c r="G692" t="s">
        <v>43</v>
      </c>
      <c r="H692">
        <v>43</v>
      </c>
      <c r="I692">
        <v>4000</v>
      </c>
      <c r="J692">
        <v>20</v>
      </c>
      <c r="K692">
        <v>137600</v>
      </c>
      <c r="L692">
        <v>68800</v>
      </c>
      <c r="M692">
        <v>68800</v>
      </c>
      <c r="N692" t="s">
        <v>22</v>
      </c>
      <c r="O692" t="s">
        <v>35</v>
      </c>
      <c r="P692" t="s">
        <v>24</v>
      </c>
      <c r="Q692" t="str">
        <f>TEXT(clean_data[[#This Row],[Date]],"mmm")</f>
        <v>Jun</v>
      </c>
      <c r="R692">
        <f>YEAR(clean_data[[#This Row],[Date]])</f>
        <v>2022</v>
      </c>
      <c r="S692" s="2">
        <f>clean_data[[#This Row],[Profit]]/clean_data[[#This Row],[Revenue]]</f>
        <v>0.5</v>
      </c>
      <c r="T692" t="str" cm="1">
        <f t="array" ref="T692">_xlfn.IFS(clean_data[[#This Row],[Revenue]]&lt;300000,"Small",
     clean_data[[#This Row],[Revenue]]&lt;700000,"Medium",
     TRUE,"Large")</f>
        <v>Small</v>
      </c>
      <c r="U692" t="str" cm="1">
        <f t="array" ref="U692">_xlfn.IFS(clean_data[[#This Row],[profit margin%]]&lt;0.5,"Low Profit",
     clean_data[[#This Row],[profit margin%]]&lt;0.6,"Medium Profit",
     TRUE,"High Profit")</f>
        <v>Medium Profit</v>
      </c>
      <c r="V692" t="str">
        <f>TEXT(clean_data[[#This Row],[Date]],"mmm-yyyy")</f>
        <v>Jun-2022</v>
      </c>
      <c r="W692" s="8">
        <f>EOMONTH(clean_data[[#This Row],[Date]],-1)+1</f>
        <v>44713</v>
      </c>
    </row>
    <row r="693" spans="1:23" x14ac:dyDescent="0.3">
      <c r="A693" t="s">
        <v>765</v>
      </c>
      <c r="B693" s="1">
        <v>45590</v>
      </c>
      <c r="C693" t="s">
        <v>46</v>
      </c>
      <c r="D693" t="s">
        <v>55</v>
      </c>
      <c r="E693" t="s">
        <v>52</v>
      </c>
      <c r="F693" t="s">
        <v>20</v>
      </c>
      <c r="G693" t="s">
        <v>115</v>
      </c>
      <c r="H693">
        <v>44</v>
      </c>
      <c r="I693">
        <v>2500</v>
      </c>
      <c r="J693">
        <v>0</v>
      </c>
      <c r="K693">
        <v>110000</v>
      </c>
      <c r="L693">
        <v>44000</v>
      </c>
      <c r="M693">
        <v>66000</v>
      </c>
      <c r="N693" t="s">
        <v>30</v>
      </c>
      <c r="O693" t="s">
        <v>50</v>
      </c>
      <c r="P693" t="s">
        <v>24</v>
      </c>
      <c r="Q693" t="str">
        <f>TEXT(clean_data[[#This Row],[Date]],"mmm")</f>
        <v>Oct</v>
      </c>
      <c r="R693">
        <f>YEAR(clean_data[[#This Row],[Date]])</f>
        <v>2024</v>
      </c>
      <c r="S693" s="2">
        <f>clean_data[[#This Row],[Profit]]/clean_data[[#This Row],[Revenue]]</f>
        <v>0.6</v>
      </c>
      <c r="T693" t="str" cm="1">
        <f t="array" ref="T693">_xlfn.IFS(clean_data[[#This Row],[Revenue]]&lt;300000,"Small",
     clean_data[[#This Row],[Revenue]]&lt;700000,"Medium",
     TRUE,"Large")</f>
        <v>Small</v>
      </c>
      <c r="U693" t="str" cm="1">
        <f t="array" ref="U693">_xlfn.IFS(clean_data[[#This Row],[profit margin%]]&lt;0.5,"Low Profit",
     clean_data[[#This Row],[profit margin%]]&lt;0.6,"Medium Profit",
     TRUE,"High Profit")</f>
        <v>High Profit</v>
      </c>
      <c r="V693" t="str">
        <f>TEXT(clean_data[[#This Row],[Date]],"mmm-yyyy")</f>
        <v>Oct-2024</v>
      </c>
      <c r="W693" s="8">
        <f>EOMONTH(clean_data[[#This Row],[Date]],-1)+1</f>
        <v>45566</v>
      </c>
    </row>
    <row r="694" spans="1:23" x14ac:dyDescent="0.3">
      <c r="A694" t="s">
        <v>766</v>
      </c>
      <c r="B694" s="1">
        <v>44786</v>
      </c>
      <c r="C694" t="s">
        <v>17</v>
      </c>
      <c r="D694" t="s">
        <v>42</v>
      </c>
      <c r="E694" t="s">
        <v>52</v>
      </c>
      <c r="F694" t="s">
        <v>33</v>
      </c>
      <c r="G694" t="s">
        <v>76</v>
      </c>
      <c r="H694">
        <v>2</v>
      </c>
      <c r="I694">
        <v>8500</v>
      </c>
      <c r="J694">
        <v>0</v>
      </c>
      <c r="K694">
        <v>17000</v>
      </c>
      <c r="L694">
        <v>8500</v>
      </c>
      <c r="M694">
        <v>8500</v>
      </c>
      <c r="N694" t="s">
        <v>22</v>
      </c>
      <c r="O694" t="s">
        <v>23</v>
      </c>
      <c r="P694" t="s">
        <v>24</v>
      </c>
      <c r="Q694" t="str">
        <f>TEXT(clean_data[[#This Row],[Date]],"mmm")</f>
        <v>Aug</v>
      </c>
      <c r="R694">
        <f>YEAR(clean_data[[#This Row],[Date]])</f>
        <v>2022</v>
      </c>
      <c r="S694" s="2">
        <f>clean_data[[#This Row],[Profit]]/clean_data[[#This Row],[Revenue]]</f>
        <v>0.5</v>
      </c>
      <c r="T694" t="str" cm="1">
        <f t="array" ref="T694">_xlfn.IFS(clean_data[[#This Row],[Revenue]]&lt;300000,"Small",
     clean_data[[#This Row],[Revenue]]&lt;700000,"Medium",
     TRUE,"Large")</f>
        <v>Small</v>
      </c>
      <c r="U694" t="str" cm="1">
        <f t="array" ref="U694">_xlfn.IFS(clean_data[[#This Row],[profit margin%]]&lt;0.5,"Low Profit",
     clean_data[[#This Row],[profit margin%]]&lt;0.6,"Medium Profit",
     TRUE,"High Profit")</f>
        <v>Medium Profit</v>
      </c>
      <c r="V694" t="str">
        <f>TEXT(clean_data[[#This Row],[Date]],"mmm-yyyy")</f>
        <v>Aug-2022</v>
      </c>
      <c r="W694" s="8">
        <f>EOMONTH(clean_data[[#This Row],[Date]],-1)+1</f>
        <v>44774</v>
      </c>
    </row>
    <row r="695" spans="1:23" x14ac:dyDescent="0.3">
      <c r="A695" t="s">
        <v>767</v>
      </c>
      <c r="B695" s="1">
        <v>45464</v>
      </c>
      <c r="C695" t="s">
        <v>17</v>
      </c>
      <c r="D695" t="s">
        <v>42</v>
      </c>
      <c r="E695" t="s">
        <v>56</v>
      </c>
      <c r="F695" t="s">
        <v>33</v>
      </c>
      <c r="G695" t="s">
        <v>39</v>
      </c>
      <c r="H695">
        <v>42</v>
      </c>
      <c r="I695">
        <v>5000</v>
      </c>
      <c r="J695">
        <v>20</v>
      </c>
      <c r="K695">
        <v>168000</v>
      </c>
      <c r="L695">
        <v>84000</v>
      </c>
      <c r="M695">
        <v>84000</v>
      </c>
      <c r="N695" t="s">
        <v>49</v>
      </c>
      <c r="O695" t="s">
        <v>67</v>
      </c>
      <c r="P695" t="s">
        <v>24</v>
      </c>
      <c r="Q695" t="str">
        <f>TEXT(clean_data[[#This Row],[Date]],"mmm")</f>
        <v>Jun</v>
      </c>
      <c r="R695">
        <f>YEAR(clean_data[[#This Row],[Date]])</f>
        <v>2024</v>
      </c>
      <c r="S695" s="2">
        <f>clean_data[[#This Row],[Profit]]/clean_data[[#This Row],[Revenue]]</f>
        <v>0.5</v>
      </c>
      <c r="T695" t="str" cm="1">
        <f t="array" ref="T695">_xlfn.IFS(clean_data[[#This Row],[Revenue]]&lt;300000,"Small",
     clean_data[[#This Row],[Revenue]]&lt;700000,"Medium",
     TRUE,"Large")</f>
        <v>Small</v>
      </c>
      <c r="U695" t="str" cm="1">
        <f t="array" ref="U695">_xlfn.IFS(clean_data[[#This Row],[profit margin%]]&lt;0.5,"Low Profit",
     clean_data[[#This Row],[profit margin%]]&lt;0.6,"Medium Profit",
     TRUE,"High Profit")</f>
        <v>Medium Profit</v>
      </c>
      <c r="V695" t="str">
        <f>TEXT(clean_data[[#This Row],[Date]],"mmm-yyyy")</f>
        <v>Jun-2024</v>
      </c>
      <c r="W695" s="8">
        <f>EOMONTH(clean_data[[#This Row],[Date]],-1)+1</f>
        <v>45444</v>
      </c>
    </row>
    <row r="696" spans="1:23" x14ac:dyDescent="0.3">
      <c r="A696" t="s">
        <v>768</v>
      </c>
      <c r="B696" s="1">
        <v>44811</v>
      </c>
      <c r="C696" t="s">
        <v>26</v>
      </c>
      <c r="D696" t="s">
        <v>69</v>
      </c>
      <c r="E696" t="s">
        <v>70</v>
      </c>
      <c r="F696" t="s">
        <v>28</v>
      </c>
      <c r="G696" t="s">
        <v>95</v>
      </c>
      <c r="H696">
        <v>36</v>
      </c>
      <c r="I696">
        <v>75000</v>
      </c>
      <c r="J696">
        <v>20</v>
      </c>
      <c r="K696">
        <v>2160000</v>
      </c>
      <c r="L696">
        <v>1188000</v>
      </c>
      <c r="M696">
        <v>972000</v>
      </c>
      <c r="N696" t="s">
        <v>30</v>
      </c>
      <c r="O696" t="s">
        <v>23</v>
      </c>
      <c r="P696" t="s">
        <v>24</v>
      </c>
      <c r="Q696" t="str">
        <f>TEXT(clean_data[[#This Row],[Date]],"mmm")</f>
        <v>Sep</v>
      </c>
      <c r="R696">
        <f>YEAR(clean_data[[#This Row],[Date]])</f>
        <v>2022</v>
      </c>
      <c r="S696" s="2">
        <f>clean_data[[#This Row],[Profit]]/clean_data[[#This Row],[Revenue]]</f>
        <v>0.45</v>
      </c>
      <c r="T696" t="str" cm="1">
        <f t="array" ref="T696">_xlfn.IFS(clean_data[[#This Row],[Revenue]]&lt;300000,"Small",
     clean_data[[#This Row],[Revenue]]&lt;700000,"Medium",
     TRUE,"Large")</f>
        <v>Large</v>
      </c>
      <c r="U696" t="str" cm="1">
        <f t="array" ref="U696">_xlfn.IFS(clean_data[[#This Row],[profit margin%]]&lt;0.5,"Low Profit",
     clean_data[[#This Row],[profit margin%]]&lt;0.6,"Medium Profit",
     TRUE,"High Profit")</f>
        <v>Low Profit</v>
      </c>
      <c r="V696" t="str">
        <f>TEXT(clean_data[[#This Row],[Date]],"mmm-yyyy")</f>
        <v>Sep-2022</v>
      </c>
      <c r="W696" s="8">
        <f>EOMONTH(clean_data[[#This Row],[Date]],-1)+1</f>
        <v>44805</v>
      </c>
    </row>
    <row r="697" spans="1:23" x14ac:dyDescent="0.3">
      <c r="A697" t="s">
        <v>769</v>
      </c>
      <c r="B697" s="1">
        <v>45052</v>
      </c>
      <c r="C697" t="s">
        <v>46</v>
      </c>
      <c r="D697" t="s">
        <v>55</v>
      </c>
      <c r="E697" t="s">
        <v>52</v>
      </c>
      <c r="F697" t="s">
        <v>28</v>
      </c>
      <c r="G697" t="s">
        <v>87</v>
      </c>
      <c r="H697">
        <v>11</v>
      </c>
      <c r="I697">
        <v>45000</v>
      </c>
      <c r="J697">
        <v>15</v>
      </c>
      <c r="K697">
        <v>420750</v>
      </c>
      <c r="L697">
        <v>231412.5</v>
      </c>
      <c r="M697">
        <v>189337.5</v>
      </c>
      <c r="N697" t="s">
        <v>49</v>
      </c>
      <c r="O697" t="s">
        <v>44</v>
      </c>
      <c r="P697" t="s">
        <v>24</v>
      </c>
      <c r="Q697" t="str">
        <f>TEXT(clean_data[[#This Row],[Date]],"mmm")</f>
        <v>May</v>
      </c>
      <c r="R697">
        <f>YEAR(clean_data[[#This Row],[Date]])</f>
        <v>2023</v>
      </c>
      <c r="S697" s="2">
        <f>clean_data[[#This Row],[Profit]]/clean_data[[#This Row],[Revenue]]</f>
        <v>0.45</v>
      </c>
      <c r="T697" t="str" cm="1">
        <f t="array" ref="T697">_xlfn.IFS(clean_data[[#This Row],[Revenue]]&lt;300000,"Small",
     clean_data[[#This Row],[Revenue]]&lt;700000,"Medium",
     TRUE,"Large")</f>
        <v>Medium</v>
      </c>
      <c r="U697" t="str" cm="1">
        <f t="array" ref="U697">_xlfn.IFS(clean_data[[#This Row],[profit margin%]]&lt;0.5,"Low Profit",
     clean_data[[#This Row],[profit margin%]]&lt;0.6,"Medium Profit",
     TRUE,"High Profit")</f>
        <v>Low Profit</v>
      </c>
      <c r="V697" t="str">
        <f>TEXT(clean_data[[#This Row],[Date]],"mmm-yyyy")</f>
        <v>May-2023</v>
      </c>
      <c r="W697" s="8">
        <f>EOMONTH(clean_data[[#This Row],[Date]],-1)+1</f>
        <v>45047</v>
      </c>
    </row>
    <row r="698" spans="1:23" x14ac:dyDescent="0.3">
      <c r="A698" t="s">
        <v>770</v>
      </c>
      <c r="B698" s="1">
        <v>44783</v>
      </c>
      <c r="C698" t="s">
        <v>58</v>
      </c>
      <c r="D698" t="s">
        <v>59</v>
      </c>
      <c r="E698" t="s">
        <v>73</v>
      </c>
      <c r="F698" t="s">
        <v>20</v>
      </c>
      <c r="G698" t="s">
        <v>61</v>
      </c>
      <c r="H698">
        <v>43</v>
      </c>
      <c r="I698">
        <v>800</v>
      </c>
      <c r="J698">
        <v>0</v>
      </c>
      <c r="K698">
        <v>34400</v>
      </c>
      <c r="L698">
        <v>13760</v>
      </c>
      <c r="M698">
        <v>20640</v>
      </c>
      <c r="N698" t="s">
        <v>22</v>
      </c>
      <c r="O698" t="s">
        <v>44</v>
      </c>
      <c r="P698" t="s">
        <v>24</v>
      </c>
      <c r="Q698" t="str">
        <f>TEXT(clean_data[[#This Row],[Date]],"mmm")</f>
        <v>Aug</v>
      </c>
      <c r="R698">
        <f>YEAR(clean_data[[#This Row],[Date]])</f>
        <v>2022</v>
      </c>
      <c r="S698" s="2">
        <f>clean_data[[#This Row],[Profit]]/clean_data[[#This Row],[Revenue]]</f>
        <v>0.6</v>
      </c>
      <c r="T698" t="str" cm="1">
        <f t="array" ref="T698">_xlfn.IFS(clean_data[[#This Row],[Revenue]]&lt;300000,"Small",
     clean_data[[#This Row],[Revenue]]&lt;700000,"Medium",
     TRUE,"Large")</f>
        <v>Small</v>
      </c>
      <c r="U698" t="str" cm="1">
        <f t="array" ref="U698">_xlfn.IFS(clean_data[[#This Row],[profit margin%]]&lt;0.5,"Low Profit",
     clean_data[[#This Row],[profit margin%]]&lt;0.6,"Medium Profit",
     TRUE,"High Profit")</f>
        <v>High Profit</v>
      </c>
      <c r="V698" t="str">
        <f>TEXT(clean_data[[#This Row],[Date]],"mmm-yyyy")</f>
        <v>Aug-2022</v>
      </c>
      <c r="W698" s="8">
        <f>EOMONTH(clean_data[[#This Row],[Date]],-1)+1</f>
        <v>44774</v>
      </c>
    </row>
    <row r="699" spans="1:23" x14ac:dyDescent="0.3">
      <c r="A699" t="s">
        <v>771</v>
      </c>
      <c r="B699" s="1">
        <v>45519</v>
      </c>
      <c r="C699" t="s">
        <v>58</v>
      </c>
      <c r="D699" t="s">
        <v>59</v>
      </c>
      <c r="E699" t="s">
        <v>73</v>
      </c>
      <c r="F699" t="s">
        <v>65</v>
      </c>
      <c r="G699" t="s">
        <v>117</v>
      </c>
      <c r="H699">
        <v>49</v>
      </c>
      <c r="I699">
        <v>1200</v>
      </c>
      <c r="J699">
        <v>15</v>
      </c>
      <c r="K699">
        <v>49980</v>
      </c>
      <c r="L699">
        <v>22491</v>
      </c>
      <c r="M699">
        <v>27489</v>
      </c>
      <c r="N699" t="s">
        <v>22</v>
      </c>
      <c r="O699" t="s">
        <v>44</v>
      </c>
      <c r="P699" t="s">
        <v>24</v>
      </c>
      <c r="Q699" t="str">
        <f>TEXT(clean_data[[#This Row],[Date]],"mmm")</f>
        <v>Aug</v>
      </c>
      <c r="R699">
        <f>YEAR(clean_data[[#This Row],[Date]])</f>
        <v>2024</v>
      </c>
      <c r="S699" s="2">
        <f>clean_data[[#This Row],[Profit]]/clean_data[[#This Row],[Revenue]]</f>
        <v>0.55000000000000004</v>
      </c>
      <c r="T699" t="str" cm="1">
        <f t="array" ref="T699">_xlfn.IFS(clean_data[[#This Row],[Revenue]]&lt;300000,"Small",
     clean_data[[#This Row],[Revenue]]&lt;700000,"Medium",
     TRUE,"Large")</f>
        <v>Small</v>
      </c>
      <c r="U699" t="str" cm="1">
        <f t="array" ref="U699">_xlfn.IFS(clean_data[[#This Row],[profit margin%]]&lt;0.5,"Low Profit",
     clean_data[[#This Row],[profit margin%]]&lt;0.6,"Medium Profit",
     TRUE,"High Profit")</f>
        <v>Medium Profit</v>
      </c>
      <c r="V699" t="str">
        <f>TEXT(clean_data[[#This Row],[Date]],"mmm-yyyy")</f>
        <v>Aug-2024</v>
      </c>
      <c r="W699" s="8">
        <f>EOMONTH(clean_data[[#This Row],[Date]],-1)+1</f>
        <v>45505</v>
      </c>
    </row>
    <row r="700" spans="1:23" x14ac:dyDescent="0.3">
      <c r="A700" t="s">
        <v>772</v>
      </c>
      <c r="B700" s="1">
        <v>45403</v>
      </c>
      <c r="C700" t="s">
        <v>58</v>
      </c>
      <c r="D700" t="s">
        <v>84</v>
      </c>
      <c r="E700" t="s">
        <v>56</v>
      </c>
      <c r="F700" t="s">
        <v>33</v>
      </c>
      <c r="G700" t="s">
        <v>48</v>
      </c>
      <c r="H700">
        <v>44</v>
      </c>
      <c r="I700">
        <v>1500</v>
      </c>
      <c r="J700">
        <v>5</v>
      </c>
      <c r="K700">
        <v>62700</v>
      </c>
      <c r="L700">
        <v>31350</v>
      </c>
      <c r="M700">
        <v>31350</v>
      </c>
      <c r="N700" t="s">
        <v>49</v>
      </c>
      <c r="O700" t="s">
        <v>67</v>
      </c>
      <c r="P700" t="s">
        <v>24</v>
      </c>
      <c r="Q700" t="str">
        <f>TEXT(clean_data[[#This Row],[Date]],"mmm")</f>
        <v>Apr</v>
      </c>
      <c r="R700">
        <f>YEAR(clean_data[[#This Row],[Date]])</f>
        <v>2024</v>
      </c>
      <c r="S700" s="2">
        <f>clean_data[[#This Row],[Profit]]/clean_data[[#This Row],[Revenue]]</f>
        <v>0.5</v>
      </c>
      <c r="T700" t="str" cm="1">
        <f t="array" ref="T700">_xlfn.IFS(clean_data[[#This Row],[Revenue]]&lt;300000,"Small",
     clean_data[[#This Row],[Revenue]]&lt;700000,"Medium",
     TRUE,"Large")</f>
        <v>Small</v>
      </c>
      <c r="U700" t="str" cm="1">
        <f t="array" ref="U700">_xlfn.IFS(clean_data[[#This Row],[profit margin%]]&lt;0.5,"Low Profit",
     clean_data[[#This Row],[profit margin%]]&lt;0.6,"Medium Profit",
     TRUE,"High Profit")</f>
        <v>Medium Profit</v>
      </c>
      <c r="V700" t="str">
        <f>TEXT(clean_data[[#This Row],[Date]],"mmm-yyyy")</f>
        <v>Apr-2024</v>
      </c>
      <c r="W700" s="8">
        <f>EOMONTH(clean_data[[#This Row],[Date]],-1)+1</f>
        <v>45383</v>
      </c>
    </row>
    <row r="701" spans="1:23" x14ac:dyDescent="0.3">
      <c r="A701" t="s">
        <v>773</v>
      </c>
      <c r="B701" s="1">
        <v>45568</v>
      </c>
      <c r="C701" t="s">
        <v>17</v>
      </c>
      <c r="D701" t="s">
        <v>37</v>
      </c>
      <c r="E701" t="s">
        <v>32</v>
      </c>
      <c r="F701" t="s">
        <v>28</v>
      </c>
      <c r="G701" t="s">
        <v>85</v>
      </c>
      <c r="H701">
        <v>20</v>
      </c>
      <c r="I701">
        <v>8000</v>
      </c>
      <c r="J701">
        <v>5</v>
      </c>
      <c r="K701">
        <v>152000</v>
      </c>
      <c r="L701">
        <v>83600</v>
      </c>
      <c r="M701">
        <v>68400</v>
      </c>
      <c r="N701" t="s">
        <v>22</v>
      </c>
      <c r="O701" t="s">
        <v>50</v>
      </c>
      <c r="P701" t="s">
        <v>24</v>
      </c>
      <c r="Q701" t="str">
        <f>TEXT(clean_data[[#This Row],[Date]],"mmm")</f>
        <v>Oct</v>
      </c>
      <c r="R701">
        <f>YEAR(clean_data[[#This Row],[Date]])</f>
        <v>2024</v>
      </c>
      <c r="S701" s="2">
        <f>clean_data[[#This Row],[Profit]]/clean_data[[#This Row],[Revenue]]</f>
        <v>0.45</v>
      </c>
      <c r="T701" t="str" cm="1">
        <f t="array" ref="T701">_xlfn.IFS(clean_data[[#This Row],[Revenue]]&lt;300000,"Small",
     clean_data[[#This Row],[Revenue]]&lt;700000,"Medium",
     TRUE,"Large")</f>
        <v>Small</v>
      </c>
      <c r="U701" t="str" cm="1">
        <f t="array" ref="U701">_xlfn.IFS(clean_data[[#This Row],[profit margin%]]&lt;0.5,"Low Profit",
     clean_data[[#This Row],[profit margin%]]&lt;0.6,"Medium Profit",
     TRUE,"High Profit")</f>
        <v>Low Profit</v>
      </c>
      <c r="V701" t="str">
        <f>TEXT(clean_data[[#This Row],[Date]],"mmm-yyyy")</f>
        <v>Oct-2024</v>
      </c>
      <c r="W701" s="8">
        <f>EOMONTH(clean_data[[#This Row],[Date]],-1)+1</f>
        <v>45566</v>
      </c>
    </row>
    <row r="702" spans="1:23" x14ac:dyDescent="0.3">
      <c r="A702" t="s">
        <v>774</v>
      </c>
      <c r="B702" s="1">
        <v>45033</v>
      </c>
      <c r="C702" t="s">
        <v>58</v>
      </c>
      <c r="D702" t="s">
        <v>59</v>
      </c>
      <c r="E702" t="s">
        <v>38</v>
      </c>
      <c r="F702" t="s">
        <v>28</v>
      </c>
      <c r="G702" t="s">
        <v>29</v>
      </c>
      <c r="H702">
        <v>5</v>
      </c>
      <c r="I702">
        <v>15000</v>
      </c>
      <c r="J702">
        <v>0</v>
      </c>
      <c r="K702">
        <v>75000</v>
      </c>
      <c r="L702">
        <v>41250</v>
      </c>
      <c r="M702">
        <v>33750</v>
      </c>
      <c r="N702" t="s">
        <v>30</v>
      </c>
      <c r="O702" t="s">
        <v>67</v>
      </c>
      <c r="P702" t="s">
        <v>40</v>
      </c>
      <c r="Q702" t="str">
        <f>TEXT(clean_data[[#This Row],[Date]],"mmm")</f>
        <v>Apr</v>
      </c>
      <c r="R702">
        <f>YEAR(clean_data[[#This Row],[Date]])</f>
        <v>2023</v>
      </c>
      <c r="S702" s="2">
        <f>clean_data[[#This Row],[Profit]]/clean_data[[#This Row],[Revenue]]</f>
        <v>0.45</v>
      </c>
      <c r="T702" t="str" cm="1">
        <f t="array" ref="T702">_xlfn.IFS(clean_data[[#This Row],[Revenue]]&lt;300000,"Small",
     clean_data[[#This Row],[Revenue]]&lt;700000,"Medium",
     TRUE,"Large")</f>
        <v>Small</v>
      </c>
      <c r="U702" t="str" cm="1">
        <f t="array" ref="U702">_xlfn.IFS(clean_data[[#This Row],[profit margin%]]&lt;0.5,"Low Profit",
     clean_data[[#This Row],[profit margin%]]&lt;0.6,"Medium Profit",
     TRUE,"High Profit")</f>
        <v>Low Profit</v>
      </c>
      <c r="V702" t="str">
        <f>TEXT(clean_data[[#This Row],[Date]],"mmm-yyyy")</f>
        <v>Apr-2023</v>
      </c>
      <c r="W702" s="8">
        <f>EOMONTH(clean_data[[#This Row],[Date]],-1)+1</f>
        <v>45017</v>
      </c>
    </row>
    <row r="703" spans="1:23" x14ac:dyDescent="0.3">
      <c r="A703" t="s">
        <v>775</v>
      </c>
      <c r="B703" s="1">
        <v>45396</v>
      </c>
      <c r="C703" t="s">
        <v>26</v>
      </c>
      <c r="D703" t="s">
        <v>69</v>
      </c>
      <c r="E703" t="s">
        <v>38</v>
      </c>
      <c r="F703" t="s">
        <v>33</v>
      </c>
      <c r="G703" t="s">
        <v>34</v>
      </c>
      <c r="H703">
        <v>17</v>
      </c>
      <c r="I703">
        <v>25000</v>
      </c>
      <c r="J703">
        <v>20</v>
      </c>
      <c r="K703">
        <v>340000</v>
      </c>
      <c r="L703">
        <v>170000</v>
      </c>
      <c r="M703">
        <v>170000</v>
      </c>
      <c r="N703" t="s">
        <v>22</v>
      </c>
      <c r="O703" t="s">
        <v>35</v>
      </c>
      <c r="P703" t="s">
        <v>24</v>
      </c>
      <c r="Q703" t="str">
        <f>TEXT(clean_data[[#This Row],[Date]],"mmm")</f>
        <v>Apr</v>
      </c>
      <c r="R703">
        <f>YEAR(clean_data[[#This Row],[Date]])</f>
        <v>2024</v>
      </c>
      <c r="S703" s="2">
        <f>clean_data[[#This Row],[Profit]]/clean_data[[#This Row],[Revenue]]</f>
        <v>0.5</v>
      </c>
      <c r="T703" t="str" cm="1">
        <f t="array" ref="T703">_xlfn.IFS(clean_data[[#This Row],[Revenue]]&lt;300000,"Small",
     clean_data[[#This Row],[Revenue]]&lt;700000,"Medium",
     TRUE,"Large")</f>
        <v>Medium</v>
      </c>
      <c r="U703" t="str" cm="1">
        <f t="array" ref="U703">_xlfn.IFS(clean_data[[#This Row],[profit margin%]]&lt;0.5,"Low Profit",
     clean_data[[#This Row],[profit margin%]]&lt;0.6,"Medium Profit",
     TRUE,"High Profit")</f>
        <v>Medium Profit</v>
      </c>
      <c r="V703" t="str">
        <f>TEXT(clean_data[[#This Row],[Date]],"mmm-yyyy")</f>
        <v>Apr-2024</v>
      </c>
      <c r="W703" s="8">
        <f>EOMONTH(clean_data[[#This Row],[Date]],-1)+1</f>
        <v>45383</v>
      </c>
    </row>
    <row r="704" spans="1:23" x14ac:dyDescent="0.3">
      <c r="A704" t="s">
        <v>776</v>
      </c>
      <c r="B704" s="1">
        <v>44797</v>
      </c>
      <c r="C704" t="s">
        <v>58</v>
      </c>
      <c r="D704" t="s">
        <v>84</v>
      </c>
      <c r="E704" t="s">
        <v>78</v>
      </c>
      <c r="F704" t="s">
        <v>65</v>
      </c>
      <c r="G704" t="s">
        <v>117</v>
      </c>
      <c r="H704">
        <v>6</v>
      </c>
      <c r="I704">
        <v>1200</v>
      </c>
      <c r="J704">
        <v>15</v>
      </c>
      <c r="K704">
        <v>6120</v>
      </c>
      <c r="L704">
        <v>2754</v>
      </c>
      <c r="M704">
        <v>3366</v>
      </c>
      <c r="N704" t="s">
        <v>49</v>
      </c>
      <c r="O704" t="s">
        <v>67</v>
      </c>
      <c r="P704" t="s">
        <v>24</v>
      </c>
      <c r="Q704" t="str">
        <f>TEXT(clean_data[[#This Row],[Date]],"mmm")</f>
        <v>Aug</v>
      </c>
      <c r="R704">
        <f>YEAR(clean_data[[#This Row],[Date]])</f>
        <v>2022</v>
      </c>
      <c r="S704" s="2">
        <f>clean_data[[#This Row],[Profit]]/clean_data[[#This Row],[Revenue]]</f>
        <v>0.55000000000000004</v>
      </c>
      <c r="T704" t="str" cm="1">
        <f t="array" ref="T704">_xlfn.IFS(clean_data[[#This Row],[Revenue]]&lt;300000,"Small",
     clean_data[[#This Row],[Revenue]]&lt;700000,"Medium",
     TRUE,"Large")</f>
        <v>Small</v>
      </c>
      <c r="U704" t="str" cm="1">
        <f t="array" ref="U704">_xlfn.IFS(clean_data[[#This Row],[profit margin%]]&lt;0.5,"Low Profit",
     clean_data[[#This Row],[profit margin%]]&lt;0.6,"Medium Profit",
     TRUE,"High Profit")</f>
        <v>Medium Profit</v>
      </c>
      <c r="V704" t="str">
        <f>TEXT(clean_data[[#This Row],[Date]],"mmm-yyyy")</f>
        <v>Aug-2022</v>
      </c>
      <c r="W704" s="8">
        <f>EOMONTH(clean_data[[#This Row],[Date]],-1)+1</f>
        <v>44774</v>
      </c>
    </row>
    <row r="705" spans="1:23" x14ac:dyDescent="0.3">
      <c r="A705" t="s">
        <v>777</v>
      </c>
      <c r="B705" s="1">
        <v>45468</v>
      </c>
      <c r="C705" t="s">
        <v>58</v>
      </c>
      <c r="D705" t="s">
        <v>64</v>
      </c>
      <c r="E705" t="s">
        <v>73</v>
      </c>
      <c r="F705" t="s">
        <v>33</v>
      </c>
      <c r="G705" t="s">
        <v>76</v>
      </c>
      <c r="H705">
        <v>14</v>
      </c>
      <c r="I705">
        <v>8500</v>
      </c>
      <c r="J705">
        <v>5</v>
      </c>
      <c r="K705">
        <v>113050</v>
      </c>
      <c r="L705">
        <v>56525</v>
      </c>
      <c r="M705">
        <v>56525</v>
      </c>
      <c r="N705" t="s">
        <v>22</v>
      </c>
      <c r="O705" t="s">
        <v>67</v>
      </c>
      <c r="P705" t="s">
        <v>24</v>
      </c>
      <c r="Q705" t="str">
        <f>TEXT(clean_data[[#This Row],[Date]],"mmm")</f>
        <v>Jun</v>
      </c>
      <c r="R705">
        <f>YEAR(clean_data[[#This Row],[Date]])</f>
        <v>2024</v>
      </c>
      <c r="S705" s="2">
        <f>clean_data[[#This Row],[Profit]]/clean_data[[#This Row],[Revenue]]</f>
        <v>0.5</v>
      </c>
      <c r="T705" t="str" cm="1">
        <f t="array" ref="T705">_xlfn.IFS(clean_data[[#This Row],[Revenue]]&lt;300000,"Small",
     clean_data[[#This Row],[Revenue]]&lt;700000,"Medium",
     TRUE,"Large")</f>
        <v>Small</v>
      </c>
      <c r="U705" t="str" cm="1">
        <f t="array" ref="U705">_xlfn.IFS(clean_data[[#This Row],[profit margin%]]&lt;0.5,"Low Profit",
     clean_data[[#This Row],[profit margin%]]&lt;0.6,"Medium Profit",
     TRUE,"High Profit")</f>
        <v>Medium Profit</v>
      </c>
      <c r="V705" t="str">
        <f>TEXT(clean_data[[#This Row],[Date]],"mmm-yyyy")</f>
        <v>Jun-2024</v>
      </c>
      <c r="W705" s="8">
        <f>EOMONTH(clean_data[[#This Row],[Date]],-1)+1</f>
        <v>45444</v>
      </c>
    </row>
    <row r="706" spans="1:23" x14ac:dyDescent="0.3">
      <c r="A706" t="s">
        <v>778</v>
      </c>
      <c r="B706" s="1">
        <v>45074</v>
      </c>
      <c r="C706" t="s">
        <v>26</v>
      </c>
      <c r="D706" t="s">
        <v>69</v>
      </c>
      <c r="E706" t="s">
        <v>111</v>
      </c>
      <c r="F706" t="s">
        <v>28</v>
      </c>
      <c r="G706" t="s">
        <v>95</v>
      </c>
      <c r="H706">
        <v>26</v>
      </c>
      <c r="I706">
        <v>75000</v>
      </c>
      <c r="J706">
        <v>0</v>
      </c>
      <c r="K706">
        <v>1950000</v>
      </c>
      <c r="L706">
        <v>1072500</v>
      </c>
      <c r="M706">
        <v>877500</v>
      </c>
      <c r="N706" t="s">
        <v>30</v>
      </c>
      <c r="O706" t="s">
        <v>23</v>
      </c>
      <c r="P706" t="s">
        <v>24</v>
      </c>
      <c r="Q706" t="str">
        <f>TEXT(clean_data[[#This Row],[Date]],"mmm")</f>
        <v>May</v>
      </c>
      <c r="R706">
        <f>YEAR(clean_data[[#This Row],[Date]])</f>
        <v>2023</v>
      </c>
      <c r="S706" s="2">
        <f>clean_data[[#This Row],[Profit]]/clean_data[[#This Row],[Revenue]]</f>
        <v>0.45</v>
      </c>
      <c r="T706" t="str" cm="1">
        <f t="array" ref="T706">_xlfn.IFS(clean_data[[#This Row],[Revenue]]&lt;300000,"Small",
     clean_data[[#This Row],[Revenue]]&lt;700000,"Medium",
     TRUE,"Large")</f>
        <v>Large</v>
      </c>
      <c r="U706" t="str" cm="1">
        <f t="array" ref="U706">_xlfn.IFS(clean_data[[#This Row],[profit margin%]]&lt;0.5,"Low Profit",
     clean_data[[#This Row],[profit margin%]]&lt;0.6,"Medium Profit",
     TRUE,"High Profit")</f>
        <v>Low Profit</v>
      </c>
      <c r="V706" t="str">
        <f>TEXT(clean_data[[#This Row],[Date]],"mmm-yyyy")</f>
        <v>May-2023</v>
      </c>
      <c r="W706" s="8">
        <f>EOMONTH(clean_data[[#This Row],[Date]],-1)+1</f>
        <v>45047</v>
      </c>
    </row>
    <row r="707" spans="1:23" x14ac:dyDescent="0.3">
      <c r="A707" t="s">
        <v>779</v>
      </c>
      <c r="B707" s="1">
        <v>45466</v>
      </c>
      <c r="C707" t="s">
        <v>58</v>
      </c>
      <c r="D707" t="s">
        <v>64</v>
      </c>
      <c r="E707" t="s">
        <v>38</v>
      </c>
      <c r="F707" t="s">
        <v>65</v>
      </c>
      <c r="G707" t="s">
        <v>124</v>
      </c>
      <c r="H707">
        <v>40</v>
      </c>
      <c r="I707">
        <v>18000</v>
      </c>
      <c r="J707">
        <v>20</v>
      </c>
      <c r="K707">
        <v>576000</v>
      </c>
      <c r="L707">
        <v>259200</v>
      </c>
      <c r="M707">
        <v>316800</v>
      </c>
      <c r="N707" t="s">
        <v>22</v>
      </c>
      <c r="O707" t="s">
        <v>23</v>
      </c>
      <c r="P707" t="s">
        <v>24</v>
      </c>
      <c r="Q707" t="str">
        <f>TEXT(clean_data[[#This Row],[Date]],"mmm")</f>
        <v>Jun</v>
      </c>
      <c r="R707">
        <f>YEAR(clean_data[[#This Row],[Date]])</f>
        <v>2024</v>
      </c>
      <c r="S707" s="2">
        <f>clean_data[[#This Row],[Profit]]/clean_data[[#This Row],[Revenue]]</f>
        <v>0.55000000000000004</v>
      </c>
      <c r="T707" t="str" cm="1">
        <f t="array" ref="T707">_xlfn.IFS(clean_data[[#This Row],[Revenue]]&lt;300000,"Small",
     clean_data[[#This Row],[Revenue]]&lt;700000,"Medium",
     TRUE,"Large")</f>
        <v>Medium</v>
      </c>
      <c r="U707" t="str" cm="1">
        <f t="array" ref="U707">_xlfn.IFS(clean_data[[#This Row],[profit margin%]]&lt;0.5,"Low Profit",
     clean_data[[#This Row],[profit margin%]]&lt;0.6,"Medium Profit",
     TRUE,"High Profit")</f>
        <v>Medium Profit</v>
      </c>
      <c r="V707" t="str">
        <f>TEXT(clean_data[[#This Row],[Date]],"mmm-yyyy")</f>
        <v>Jun-2024</v>
      </c>
      <c r="W707" s="8">
        <f>EOMONTH(clean_data[[#This Row],[Date]],-1)+1</f>
        <v>45444</v>
      </c>
    </row>
    <row r="708" spans="1:23" x14ac:dyDescent="0.3">
      <c r="A708" t="s">
        <v>780</v>
      </c>
      <c r="B708" s="1">
        <v>45141</v>
      </c>
      <c r="C708" t="s">
        <v>46</v>
      </c>
      <c r="D708" t="s">
        <v>47</v>
      </c>
      <c r="E708" t="s">
        <v>56</v>
      </c>
      <c r="F708" t="s">
        <v>20</v>
      </c>
      <c r="G708" t="s">
        <v>21</v>
      </c>
      <c r="H708">
        <v>2</v>
      </c>
      <c r="I708">
        <v>3500</v>
      </c>
      <c r="J708">
        <v>5</v>
      </c>
      <c r="K708">
        <v>6650</v>
      </c>
      <c r="L708">
        <v>2660</v>
      </c>
      <c r="M708">
        <v>3990</v>
      </c>
      <c r="N708" t="s">
        <v>30</v>
      </c>
      <c r="O708" t="s">
        <v>23</v>
      </c>
      <c r="P708" t="s">
        <v>24</v>
      </c>
      <c r="Q708" t="str">
        <f>TEXT(clean_data[[#This Row],[Date]],"mmm")</f>
        <v>Aug</v>
      </c>
      <c r="R708">
        <f>YEAR(clean_data[[#This Row],[Date]])</f>
        <v>2023</v>
      </c>
      <c r="S708" s="2">
        <f>clean_data[[#This Row],[Profit]]/clean_data[[#This Row],[Revenue]]</f>
        <v>0.6</v>
      </c>
      <c r="T708" t="str" cm="1">
        <f t="array" ref="T708">_xlfn.IFS(clean_data[[#This Row],[Revenue]]&lt;300000,"Small",
     clean_data[[#This Row],[Revenue]]&lt;700000,"Medium",
     TRUE,"Large")</f>
        <v>Small</v>
      </c>
      <c r="U708" t="str" cm="1">
        <f t="array" ref="U708">_xlfn.IFS(clean_data[[#This Row],[profit margin%]]&lt;0.5,"Low Profit",
     clean_data[[#This Row],[profit margin%]]&lt;0.6,"Medium Profit",
     TRUE,"High Profit")</f>
        <v>High Profit</v>
      </c>
      <c r="V708" t="str">
        <f>TEXT(clean_data[[#This Row],[Date]],"mmm-yyyy")</f>
        <v>Aug-2023</v>
      </c>
      <c r="W708" s="8">
        <f>EOMONTH(clean_data[[#This Row],[Date]],-1)+1</f>
        <v>45139</v>
      </c>
    </row>
    <row r="709" spans="1:23" x14ac:dyDescent="0.3">
      <c r="A709" t="s">
        <v>781</v>
      </c>
      <c r="B709" s="1">
        <v>44855</v>
      </c>
      <c r="C709" t="s">
        <v>46</v>
      </c>
      <c r="D709" t="s">
        <v>55</v>
      </c>
      <c r="E709" t="s">
        <v>111</v>
      </c>
      <c r="F709" t="s">
        <v>20</v>
      </c>
      <c r="G709" t="s">
        <v>21</v>
      </c>
      <c r="H709">
        <v>20</v>
      </c>
      <c r="I709">
        <v>3500</v>
      </c>
      <c r="J709">
        <v>15</v>
      </c>
      <c r="K709">
        <v>59500</v>
      </c>
      <c r="L709">
        <v>23800</v>
      </c>
      <c r="M709">
        <v>35700</v>
      </c>
      <c r="N709" t="s">
        <v>49</v>
      </c>
      <c r="O709" t="s">
        <v>23</v>
      </c>
      <c r="P709" t="s">
        <v>24</v>
      </c>
      <c r="Q709" t="str">
        <f>TEXT(clean_data[[#This Row],[Date]],"mmm")</f>
        <v>Oct</v>
      </c>
      <c r="R709">
        <f>YEAR(clean_data[[#This Row],[Date]])</f>
        <v>2022</v>
      </c>
      <c r="S709" s="2">
        <f>clean_data[[#This Row],[Profit]]/clean_data[[#This Row],[Revenue]]</f>
        <v>0.6</v>
      </c>
      <c r="T709" t="str" cm="1">
        <f t="array" ref="T709">_xlfn.IFS(clean_data[[#This Row],[Revenue]]&lt;300000,"Small",
     clean_data[[#This Row],[Revenue]]&lt;700000,"Medium",
     TRUE,"Large")</f>
        <v>Small</v>
      </c>
      <c r="U709" t="str" cm="1">
        <f t="array" ref="U709">_xlfn.IFS(clean_data[[#This Row],[profit margin%]]&lt;0.5,"Low Profit",
     clean_data[[#This Row],[profit margin%]]&lt;0.6,"Medium Profit",
     TRUE,"High Profit")</f>
        <v>High Profit</v>
      </c>
      <c r="V709" t="str">
        <f>TEXT(clean_data[[#This Row],[Date]],"mmm-yyyy")</f>
        <v>Oct-2022</v>
      </c>
      <c r="W709" s="8">
        <f>EOMONTH(clean_data[[#This Row],[Date]],-1)+1</f>
        <v>44835</v>
      </c>
    </row>
    <row r="710" spans="1:23" x14ac:dyDescent="0.3">
      <c r="A710" t="s">
        <v>782</v>
      </c>
      <c r="B710" s="1">
        <v>44596</v>
      </c>
      <c r="C710" t="s">
        <v>46</v>
      </c>
      <c r="D710" t="s">
        <v>47</v>
      </c>
      <c r="E710" t="s">
        <v>60</v>
      </c>
      <c r="F710" t="s">
        <v>65</v>
      </c>
      <c r="G710" t="s">
        <v>66</v>
      </c>
      <c r="H710">
        <v>2</v>
      </c>
      <c r="I710">
        <v>5500</v>
      </c>
      <c r="J710">
        <v>15</v>
      </c>
      <c r="K710">
        <v>9350</v>
      </c>
      <c r="L710">
        <v>4207.5</v>
      </c>
      <c r="M710">
        <v>5142.5</v>
      </c>
      <c r="N710" t="s">
        <v>30</v>
      </c>
      <c r="O710" t="s">
        <v>44</v>
      </c>
      <c r="P710" t="s">
        <v>40</v>
      </c>
      <c r="Q710" t="str">
        <f>TEXT(clean_data[[#This Row],[Date]],"mmm")</f>
        <v>Feb</v>
      </c>
      <c r="R710">
        <f>YEAR(clean_data[[#This Row],[Date]])</f>
        <v>2022</v>
      </c>
      <c r="S710" s="2">
        <f>clean_data[[#This Row],[Profit]]/clean_data[[#This Row],[Revenue]]</f>
        <v>0.55000000000000004</v>
      </c>
      <c r="T710" t="str" cm="1">
        <f t="array" ref="T710">_xlfn.IFS(clean_data[[#This Row],[Revenue]]&lt;300000,"Small",
     clean_data[[#This Row],[Revenue]]&lt;700000,"Medium",
     TRUE,"Large")</f>
        <v>Small</v>
      </c>
      <c r="U710" t="str" cm="1">
        <f t="array" ref="U710">_xlfn.IFS(clean_data[[#This Row],[profit margin%]]&lt;0.5,"Low Profit",
     clean_data[[#This Row],[profit margin%]]&lt;0.6,"Medium Profit",
     TRUE,"High Profit")</f>
        <v>Medium Profit</v>
      </c>
      <c r="V710" t="str">
        <f>TEXT(clean_data[[#This Row],[Date]],"mmm-yyyy")</f>
        <v>Feb-2022</v>
      </c>
      <c r="W710" s="8">
        <f>EOMONTH(clean_data[[#This Row],[Date]],-1)+1</f>
        <v>44593</v>
      </c>
    </row>
    <row r="711" spans="1:23" x14ac:dyDescent="0.3">
      <c r="A711" t="s">
        <v>783</v>
      </c>
      <c r="B711" s="1">
        <v>45126</v>
      </c>
      <c r="C711" t="s">
        <v>58</v>
      </c>
      <c r="D711" t="s">
        <v>84</v>
      </c>
      <c r="E711" t="s">
        <v>70</v>
      </c>
      <c r="F711" t="s">
        <v>28</v>
      </c>
      <c r="G711" t="s">
        <v>95</v>
      </c>
      <c r="H711">
        <v>41</v>
      </c>
      <c r="I711">
        <v>75000</v>
      </c>
      <c r="J711">
        <v>15</v>
      </c>
      <c r="K711">
        <v>2613750</v>
      </c>
      <c r="L711">
        <v>1437562.5</v>
      </c>
      <c r="M711">
        <v>1176187.5</v>
      </c>
      <c r="N711" t="s">
        <v>49</v>
      </c>
      <c r="O711" t="s">
        <v>67</v>
      </c>
      <c r="P711" t="s">
        <v>24</v>
      </c>
      <c r="Q711" t="str">
        <f>TEXT(clean_data[[#This Row],[Date]],"mmm")</f>
        <v>Jul</v>
      </c>
      <c r="R711">
        <f>YEAR(clean_data[[#This Row],[Date]])</f>
        <v>2023</v>
      </c>
      <c r="S711" s="2">
        <f>clean_data[[#This Row],[Profit]]/clean_data[[#This Row],[Revenue]]</f>
        <v>0.45</v>
      </c>
      <c r="T711" t="str" cm="1">
        <f t="array" ref="T711">_xlfn.IFS(clean_data[[#This Row],[Revenue]]&lt;300000,"Small",
     clean_data[[#This Row],[Revenue]]&lt;700000,"Medium",
     TRUE,"Large")</f>
        <v>Large</v>
      </c>
      <c r="U711" t="str" cm="1">
        <f t="array" ref="U711">_xlfn.IFS(clean_data[[#This Row],[profit margin%]]&lt;0.5,"Low Profit",
     clean_data[[#This Row],[profit margin%]]&lt;0.6,"Medium Profit",
     TRUE,"High Profit")</f>
        <v>Low Profit</v>
      </c>
      <c r="V711" t="str">
        <f>TEXT(clean_data[[#This Row],[Date]],"mmm-yyyy")</f>
        <v>Jul-2023</v>
      </c>
      <c r="W711" s="8">
        <f>EOMONTH(clean_data[[#This Row],[Date]],-1)+1</f>
        <v>45108</v>
      </c>
    </row>
    <row r="712" spans="1:23" x14ac:dyDescent="0.3">
      <c r="A712" t="s">
        <v>784</v>
      </c>
      <c r="B712" s="1">
        <v>45636</v>
      </c>
      <c r="C712" t="s">
        <v>26</v>
      </c>
      <c r="D712" t="s">
        <v>69</v>
      </c>
      <c r="E712" t="s">
        <v>32</v>
      </c>
      <c r="F712" t="s">
        <v>65</v>
      </c>
      <c r="G712" t="s">
        <v>79</v>
      </c>
      <c r="H712">
        <v>38</v>
      </c>
      <c r="I712">
        <v>900</v>
      </c>
      <c r="J712">
        <v>20</v>
      </c>
      <c r="K712">
        <v>27360</v>
      </c>
      <c r="L712">
        <v>12312</v>
      </c>
      <c r="M712">
        <v>15048</v>
      </c>
      <c r="N712" t="s">
        <v>30</v>
      </c>
      <c r="O712" t="s">
        <v>35</v>
      </c>
      <c r="P712" t="s">
        <v>24</v>
      </c>
      <c r="Q712" t="str">
        <f>TEXT(clean_data[[#This Row],[Date]],"mmm")</f>
        <v>Dec</v>
      </c>
      <c r="R712">
        <f>YEAR(clean_data[[#This Row],[Date]])</f>
        <v>2024</v>
      </c>
      <c r="S712" s="2">
        <f>clean_data[[#This Row],[Profit]]/clean_data[[#This Row],[Revenue]]</f>
        <v>0.55000000000000004</v>
      </c>
      <c r="T712" t="str" cm="1">
        <f t="array" ref="T712">_xlfn.IFS(clean_data[[#This Row],[Revenue]]&lt;300000,"Small",
     clean_data[[#This Row],[Revenue]]&lt;700000,"Medium",
     TRUE,"Large")</f>
        <v>Small</v>
      </c>
      <c r="U712" t="str" cm="1">
        <f t="array" ref="U712">_xlfn.IFS(clean_data[[#This Row],[profit margin%]]&lt;0.5,"Low Profit",
     clean_data[[#This Row],[profit margin%]]&lt;0.6,"Medium Profit",
     TRUE,"High Profit")</f>
        <v>Medium Profit</v>
      </c>
      <c r="V712" t="str">
        <f>TEXT(clean_data[[#This Row],[Date]],"mmm-yyyy")</f>
        <v>Dec-2024</v>
      </c>
      <c r="W712" s="8">
        <f>EOMONTH(clean_data[[#This Row],[Date]],-1)+1</f>
        <v>45627</v>
      </c>
    </row>
    <row r="713" spans="1:23" x14ac:dyDescent="0.3">
      <c r="A713" t="s">
        <v>785</v>
      </c>
      <c r="B713" s="1">
        <v>45566</v>
      </c>
      <c r="C713" t="s">
        <v>58</v>
      </c>
      <c r="D713" t="s">
        <v>64</v>
      </c>
      <c r="E713" t="s">
        <v>70</v>
      </c>
      <c r="F713" t="s">
        <v>28</v>
      </c>
      <c r="G713" t="s">
        <v>71</v>
      </c>
      <c r="H713">
        <v>42</v>
      </c>
      <c r="I713">
        <v>35000</v>
      </c>
      <c r="J713">
        <v>15</v>
      </c>
      <c r="K713">
        <v>1249500</v>
      </c>
      <c r="L713">
        <v>687225</v>
      </c>
      <c r="M713">
        <v>562275</v>
      </c>
      <c r="N713" t="s">
        <v>30</v>
      </c>
      <c r="O713" t="s">
        <v>23</v>
      </c>
      <c r="P713" t="s">
        <v>24</v>
      </c>
      <c r="Q713" t="str">
        <f>TEXT(clean_data[[#This Row],[Date]],"mmm")</f>
        <v>Oct</v>
      </c>
      <c r="R713">
        <f>YEAR(clean_data[[#This Row],[Date]])</f>
        <v>2024</v>
      </c>
      <c r="S713" s="2">
        <f>clean_data[[#This Row],[Profit]]/clean_data[[#This Row],[Revenue]]</f>
        <v>0.45</v>
      </c>
      <c r="T713" t="str" cm="1">
        <f t="array" ref="T713">_xlfn.IFS(clean_data[[#This Row],[Revenue]]&lt;300000,"Small",
     clean_data[[#This Row],[Revenue]]&lt;700000,"Medium",
     TRUE,"Large")</f>
        <v>Large</v>
      </c>
      <c r="U713" t="str" cm="1">
        <f t="array" ref="U713">_xlfn.IFS(clean_data[[#This Row],[profit margin%]]&lt;0.5,"Low Profit",
     clean_data[[#This Row],[profit margin%]]&lt;0.6,"Medium Profit",
     TRUE,"High Profit")</f>
        <v>Low Profit</v>
      </c>
      <c r="V713" t="str">
        <f>TEXT(clean_data[[#This Row],[Date]],"mmm-yyyy")</f>
        <v>Oct-2024</v>
      </c>
      <c r="W713" s="8">
        <f>EOMONTH(clean_data[[#This Row],[Date]],-1)+1</f>
        <v>45566</v>
      </c>
    </row>
    <row r="714" spans="1:23" x14ac:dyDescent="0.3">
      <c r="A714" t="s">
        <v>786</v>
      </c>
      <c r="B714" s="1">
        <v>45245</v>
      </c>
      <c r="C714" t="s">
        <v>58</v>
      </c>
      <c r="D714" t="s">
        <v>84</v>
      </c>
      <c r="E714" t="s">
        <v>78</v>
      </c>
      <c r="F714" t="s">
        <v>33</v>
      </c>
      <c r="G714" t="s">
        <v>76</v>
      </c>
      <c r="H714">
        <v>31</v>
      </c>
      <c r="I714">
        <v>8500</v>
      </c>
      <c r="J714">
        <v>10</v>
      </c>
      <c r="K714">
        <v>237150</v>
      </c>
      <c r="L714">
        <v>118575</v>
      </c>
      <c r="M714">
        <v>118575</v>
      </c>
      <c r="N714" t="s">
        <v>30</v>
      </c>
      <c r="O714" t="s">
        <v>67</v>
      </c>
      <c r="P714" t="s">
        <v>24</v>
      </c>
      <c r="Q714" t="str">
        <f>TEXT(clean_data[[#This Row],[Date]],"mmm")</f>
        <v>Nov</v>
      </c>
      <c r="R714">
        <f>YEAR(clean_data[[#This Row],[Date]])</f>
        <v>2023</v>
      </c>
      <c r="S714" s="2">
        <f>clean_data[[#This Row],[Profit]]/clean_data[[#This Row],[Revenue]]</f>
        <v>0.5</v>
      </c>
      <c r="T714" t="str" cm="1">
        <f t="array" ref="T714">_xlfn.IFS(clean_data[[#This Row],[Revenue]]&lt;300000,"Small",
     clean_data[[#This Row],[Revenue]]&lt;700000,"Medium",
     TRUE,"Large")</f>
        <v>Small</v>
      </c>
      <c r="U714" t="str" cm="1">
        <f t="array" ref="U714">_xlfn.IFS(clean_data[[#This Row],[profit margin%]]&lt;0.5,"Low Profit",
     clean_data[[#This Row],[profit margin%]]&lt;0.6,"Medium Profit",
     TRUE,"High Profit")</f>
        <v>Medium Profit</v>
      </c>
      <c r="V714" t="str">
        <f>TEXT(clean_data[[#This Row],[Date]],"mmm-yyyy")</f>
        <v>Nov-2023</v>
      </c>
      <c r="W714" s="8">
        <f>EOMONTH(clean_data[[#This Row],[Date]],-1)+1</f>
        <v>45231</v>
      </c>
    </row>
    <row r="715" spans="1:23" x14ac:dyDescent="0.3">
      <c r="A715" t="s">
        <v>787</v>
      </c>
      <c r="B715" s="1">
        <v>45004</v>
      </c>
      <c r="C715" t="s">
        <v>17</v>
      </c>
      <c r="D715" t="s">
        <v>42</v>
      </c>
      <c r="E715" t="s">
        <v>60</v>
      </c>
      <c r="F715" t="s">
        <v>20</v>
      </c>
      <c r="G715" t="s">
        <v>61</v>
      </c>
      <c r="H715">
        <v>47</v>
      </c>
      <c r="I715">
        <v>800</v>
      </c>
      <c r="J715">
        <v>15</v>
      </c>
      <c r="K715">
        <v>31960</v>
      </c>
      <c r="L715">
        <v>12784</v>
      </c>
      <c r="M715">
        <v>19176</v>
      </c>
      <c r="N715" t="s">
        <v>22</v>
      </c>
      <c r="O715" t="s">
        <v>50</v>
      </c>
      <c r="P715" t="s">
        <v>24</v>
      </c>
      <c r="Q715" t="str">
        <f>TEXT(clean_data[[#This Row],[Date]],"mmm")</f>
        <v>Mar</v>
      </c>
      <c r="R715">
        <f>YEAR(clean_data[[#This Row],[Date]])</f>
        <v>2023</v>
      </c>
      <c r="S715" s="2">
        <f>clean_data[[#This Row],[Profit]]/clean_data[[#This Row],[Revenue]]</f>
        <v>0.6</v>
      </c>
      <c r="T715" t="str" cm="1">
        <f t="array" ref="T715">_xlfn.IFS(clean_data[[#This Row],[Revenue]]&lt;300000,"Small",
     clean_data[[#This Row],[Revenue]]&lt;700000,"Medium",
     TRUE,"Large")</f>
        <v>Small</v>
      </c>
      <c r="U715" t="str" cm="1">
        <f t="array" ref="U715">_xlfn.IFS(clean_data[[#This Row],[profit margin%]]&lt;0.5,"Low Profit",
     clean_data[[#This Row],[profit margin%]]&lt;0.6,"Medium Profit",
     TRUE,"High Profit")</f>
        <v>High Profit</v>
      </c>
      <c r="V715" t="str">
        <f>TEXT(clean_data[[#This Row],[Date]],"mmm-yyyy")</f>
        <v>Mar-2023</v>
      </c>
      <c r="W715" s="8">
        <f>EOMONTH(clean_data[[#This Row],[Date]],-1)+1</f>
        <v>44986</v>
      </c>
    </row>
    <row r="716" spans="1:23" x14ac:dyDescent="0.3">
      <c r="A716" t="s">
        <v>788</v>
      </c>
      <c r="B716" s="1">
        <v>45499</v>
      </c>
      <c r="C716" t="s">
        <v>46</v>
      </c>
      <c r="D716" t="s">
        <v>47</v>
      </c>
      <c r="E716" t="s">
        <v>73</v>
      </c>
      <c r="F716" t="s">
        <v>28</v>
      </c>
      <c r="G716" t="s">
        <v>85</v>
      </c>
      <c r="H716">
        <v>9</v>
      </c>
      <c r="I716">
        <v>8000</v>
      </c>
      <c r="J716">
        <v>5</v>
      </c>
      <c r="K716">
        <v>68400</v>
      </c>
      <c r="L716">
        <v>37620</v>
      </c>
      <c r="M716">
        <v>30780</v>
      </c>
      <c r="N716" t="s">
        <v>30</v>
      </c>
      <c r="O716" t="s">
        <v>67</v>
      </c>
      <c r="P716" t="s">
        <v>24</v>
      </c>
      <c r="Q716" t="str">
        <f>TEXT(clean_data[[#This Row],[Date]],"mmm")</f>
        <v>Jul</v>
      </c>
      <c r="R716">
        <f>YEAR(clean_data[[#This Row],[Date]])</f>
        <v>2024</v>
      </c>
      <c r="S716" s="2">
        <f>clean_data[[#This Row],[Profit]]/clean_data[[#This Row],[Revenue]]</f>
        <v>0.45</v>
      </c>
      <c r="T716" t="str" cm="1">
        <f t="array" ref="T716">_xlfn.IFS(clean_data[[#This Row],[Revenue]]&lt;300000,"Small",
     clean_data[[#This Row],[Revenue]]&lt;700000,"Medium",
     TRUE,"Large")</f>
        <v>Small</v>
      </c>
      <c r="U716" t="str" cm="1">
        <f t="array" ref="U716">_xlfn.IFS(clean_data[[#This Row],[profit margin%]]&lt;0.5,"Low Profit",
     clean_data[[#This Row],[profit margin%]]&lt;0.6,"Medium Profit",
     TRUE,"High Profit")</f>
        <v>Low Profit</v>
      </c>
      <c r="V716" t="str">
        <f>TEXT(clean_data[[#This Row],[Date]],"mmm-yyyy")</f>
        <v>Jul-2024</v>
      </c>
      <c r="W716" s="8">
        <f>EOMONTH(clean_data[[#This Row],[Date]],-1)+1</f>
        <v>45474</v>
      </c>
    </row>
    <row r="717" spans="1:23" x14ac:dyDescent="0.3">
      <c r="A717" t="s">
        <v>789</v>
      </c>
      <c r="B717" s="1">
        <v>45508</v>
      </c>
      <c r="C717" t="s">
        <v>58</v>
      </c>
      <c r="D717" t="s">
        <v>59</v>
      </c>
      <c r="E717" t="s">
        <v>73</v>
      </c>
      <c r="F717" t="s">
        <v>20</v>
      </c>
      <c r="G717" t="s">
        <v>74</v>
      </c>
      <c r="H717">
        <v>36</v>
      </c>
      <c r="I717">
        <v>4200</v>
      </c>
      <c r="J717">
        <v>0</v>
      </c>
      <c r="K717">
        <v>151200</v>
      </c>
      <c r="L717">
        <v>60480</v>
      </c>
      <c r="M717">
        <v>90720</v>
      </c>
      <c r="N717" t="s">
        <v>49</v>
      </c>
      <c r="O717" t="s">
        <v>50</v>
      </c>
      <c r="P717" t="s">
        <v>24</v>
      </c>
      <c r="Q717" t="str">
        <f>TEXT(clean_data[[#This Row],[Date]],"mmm")</f>
        <v>Aug</v>
      </c>
      <c r="R717">
        <f>YEAR(clean_data[[#This Row],[Date]])</f>
        <v>2024</v>
      </c>
      <c r="S717" s="2">
        <f>clean_data[[#This Row],[Profit]]/clean_data[[#This Row],[Revenue]]</f>
        <v>0.6</v>
      </c>
      <c r="T717" t="str" cm="1">
        <f t="array" ref="T717">_xlfn.IFS(clean_data[[#This Row],[Revenue]]&lt;300000,"Small",
     clean_data[[#This Row],[Revenue]]&lt;700000,"Medium",
     TRUE,"Large")</f>
        <v>Small</v>
      </c>
      <c r="U717" t="str" cm="1">
        <f t="array" ref="U717">_xlfn.IFS(clean_data[[#This Row],[profit margin%]]&lt;0.5,"Low Profit",
     clean_data[[#This Row],[profit margin%]]&lt;0.6,"Medium Profit",
     TRUE,"High Profit")</f>
        <v>High Profit</v>
      </c>
      <c r="V717" t="str">
        <f>TEXT(clean_data[[#This Row],[Date]],"mmm-yyyy")</f>
        <v>Aug-2024</v>
      </c>
      <c r="W717" s="8">
        <f>EOMONTH(clean_data[[#This Row],[Date]],-1)+1</f>
        <v>45505</v>
      </c>
    </row>
    <row r="718" spans="1:23" x14ac:dyDescent="0.3">
      <c r="A718" t="s">
        <v>790</v>
      </c>
      <c r="B718" s="1">
        <v>45252</v>
      </c>
      <c r="C718" t="s">
        <v>46</v>
      </c>
      <c r="D718" t="s">
        <v>47</v>
      </c>
      <c r="E718" t="s">
        <v>111</v>
      </c>
      <c r="F718" t="s">
        <v>28</v>
      </c>
      <c r="G718" t="s">
        <v>95</v>
      </c>
      <c r="H718">
        <v>22</v>
      </c>
      <c r="I718">
        <v>75000</v>
      </c>
      <c r="J718">
        <v>15</v>
      </c>
      <c r="K718">
        <v>1402500</v>
      </c>
      <c r="L718">
        <v>771375</v>
      </c>
      <c r="M718">
        <v>631125</v>
      </c>
      <c r="N718" t="s">
        <v>22</v>
      </c>
      <c r="O718" t="s">
        <v>44</v>
      </c>
      <c r="P718" t="s">
        <v>24</v>
      </c>
      <c r="Q718" t="str">
        <f>TEXT(clean_data[[#This Row],[Date]],"mmm")</f>
        <v>Nov</v>
      </c>
      <c r="R718">
        <f>YEAR(clean_data[[#This Row],[Date]])</f>
        <v>2023</v>
      </c>
      <c r="S718" s="2">
        <f>clean_data[[#This Row],[Profit]]/clean_data[[#This Row],[Revenue]]</f>
        <v>0.45</v>
      </c>
      <c r="T718" t="str" cm="1">
        <f t="array" ref="T718">_xlfn.IFS(clean_data[[#This Row],[Revenue]]&lt;300000,"Small",
     clean_data[[#This Row],[Revenue]]&lt;700000,"Medium",
     TRUE,"Large")</f>
        <v>Large</v>
      </c>
      <c r="U718" t="str" cm="1">
        <f t="array" ref="U718">_xlfn.IFS(clean_data[[#This Row],[profit margin%]]&lt;0.5,"Low Profit",
     clean_data[[#This Row],[profit margin%]]&lt;0.6,"Medium Profit",
     TRUE,"High Profit")</f>
        <v>Low Profit</v>
      </c>
      <c r="V718" t="str">
        <f>TEXT(clean_data[[#This Row],[Date]],"mmm-yyyy")</f>
        <v>Nov-2023</v>
      </c>
      <c r="W718" s="8">
        <f>EOMONTH(clean_data[[#This Row],[Date]],-1)+1</f>
        <v>45231</v>
      </c>
    </row>
    <row r="719" spans="1:23" x14ac:dyDescent="0.3">
      <c r="A719" t="s">
        <v>791</v>
      </c>
      <c r="B719" s="1">
        <v>44791</v>
      </c>
      <c r="C719" t="s">
        <v>46</v>
      </c>
      <c r="D719" t="s">
        <v>55</v>
      </c>
      <c r="E719" t="s">
        <v>73</v>
      </c>
      <c r="F719" t="s">
        <v>33</v>
      </c>
      <c r="G719" t="s">
        <v>34</v>
      </c>
      <c r="H719">
        <v>50</v>
      </c>
      <c r="I719">
        <v>25000</v>
      </c>
      <c r="J719">
        <v>0</v>
      </c>
      <c r="K719">
        <v>1250000</v>
      </c>
      <c r="L719">
        <v>625000</v>
      </c>
      <c r="M719">
        <v>625000</v>
      </c>
      <c r="N719" t="s">
        <v>49</v>
      </c>
      <c r="O719" t="s">
        <v>44</v>
      </c>
      <c r="P719" t="s">
        <v>40</v>
      </c>
      <c r="Q719" t="str">
        <f>TEXT(clean_data[[#This Row],[Date]],"mmm")</f>
        <v>Aug</v>
      </c>
      <c r="R719">
        <f>YEAR(clean_data[[#This Row],[Date]])</f>
        <v>2022</v>
      </c>
      <c r="S719" s="2">
        <f>clean_data[[#This Row],[Profit]]/clean_data[[#This Row],[Revenue]]</f>
        <v>0.5</v>
      </c>
      <c r="T719" t="str" cm="1">
        <f t="array" ref="T719">_xlfn.IFS(clean_data[[#This Row],[Revenue]]&lt;300000,"Small",
     clean_data[[#This Row],[Revenue]]&lt;700000,"Medium",
     TRUE,"Large")</f>
        <v>Large</v>
      </c>
      <c r="U719" t="str" cm="1">
        <f t="array" ref="U719">_xlfn.IFS(clean_data[[#This Row],[profit margin%]]&lt;0.5,"Low Profit",
     clean_data[[#This Row],[profit margin%]]&lt;0.6,"Medium Profit",
     TRUE,"High Profit")</f>
        <v>Medium Profit</v>
      </c>
      <c r="V719" t="str">
        <f>TEXT(clean_data[[#This Row],[Date]],"mmm-yyyy")</f>
        <v>Aug-2022</v>
      </c>
      <c r="W719" s="8">
        <f>EOMONTH(clean_data[[#This Row],[Date]],-1)+1</f>
        <v>44774</v>
      </c>
    </row>
    <row r="720" spans="1:23" x14ac:dyDescent="0.3">
      <c r="A720" t="s">
        <v>792</v>
      </c>
      <c r="B720" s="1">
        <v>45555</v>
      </c>
      <c r="C720" t="s">
        <v>26</v>
      </c>
      <c r="D720" t="s">
        <v>27</v>
      </c>
      <c r="E720" t="s">
        <v>60</v>
      </c>
      <c r="F720" t="s">
        <v>65</v>
      </c>
      <c r="G720" t="s">
        <v>117</v>
      </c>
      <c r="H720">
        <v>7</v>
      </c>
      <c r="I720">
        <v>1200</v>
      </c>
      <c r="J720">
        <v>20</v>
      </c>
      <c r="K720">
        <v>6720</v>
      </c>
      <c r="L720">
        <v>3024</v>
      </c>
      <c r="M720">
        <v>3696</v>
      </c>
      <c r="N720" t="s">
        <v>30</v>
      </c>
      <c r="O720" t="s">
        <v>67</v>
      </c>
      <c r="P720" t="s">
        <v>40</v>
      </c>
      <c r="Q720" t="str">
        <f>TEXT(clean_data[[#This Row],[Date]],"mmm")</f>
        <v>Sep</v>
      </c>
      <c r="R720">
        <f>YEAR(clean_data[[#This Row],[Date]])</f>
        <v>2024</v>
      </c>
      <c r="S720" s="2">
        <f>clean_data[[#This Row],[Profit]]/clean_data[[#This Row],[Revenue]]</f>
        <v>0.55000000000000004</v>
      </c>
      <c r="T720" t="str" cm="1">
        <f t="array" ref="T720">_xlfn.IFS(clean_data[[#This Row],[Revenue]]&lt;300000,"Small",
     clean_data[[#This Row],[Revenue]]&lt;700000,"Medium",
     TRUE,"Large")</f>
        <v>Small</v>
      </c>
      <c r="U720" t="str" cm="1">
        <f t="array" ref="U720">_xlfn.IFS(clean_data[[#This Row],[profit margin%]]&lt;0.5,"Low Profit",
     clean_data[[#This Row],[profit margin%]]&lt;0.6,"Medium Profit",
     TRUE,"High Profit")</f>
        <v>Medium Profit</v>
      </c>
      <c r="V720" t="str">
        <f>TEXT(clean_data[[#This Row],[Date]],"mmm-yyyy")</f>
        <v>Sep-2024</v>
      </c>
      <c r="W720" s="8">
        <f>EOMONTH(clean_data[[#This Row],[Date]],-1)+1</f>
        <v>45536</v>
      </c>
    </row>
    <row r="721" spans="1:23" x14ac:dyDescent="0.3">
      <c r="A721" t="s">
        <v>793</v>
      </c>
      <c r="B721" s="1">
        <v>44637</v>
      </c>
      <c r="C721" t="s">
        <v>26</v>
      </c>
      <c r="D721" t="s">
        <v>27</v>
      </c>
      <c r="E721" t="s">
        <v>52</v>
      </c>
      <c r="F721" t="s">
        <v>20</v>
      </c>
      <c r="G721" t="s">
        <v>61</v>
      </c>
      <c r="H721">
        <v>11</v>
      </c>
      <c r="I721">
        <v>800</v>
      </c>
      <c r="J721">
        <v>10</v>
      </c>
      <c r="K721">
        <v>7920</v>
      </c>
      <c r="L721">
        <v>3168</v>
      </c>
      <c r="M721">
        <v>4752</v>
      </c>
      <c r="N721" t="s">
        <v>22</v>
      </c>
      <c r="O721" t="s">
        <v>23</v>
      </c>
      <c r="P721" t="s">
        <v>24</v>
      </c>
      <c r="Q721" t="str">
        <f>TEXT(clean_data[[#This Row],[Date]],"mmm")</f>
        <v>Mar</v>
      </c>
      <c r="R721">
        <f>YEAR(clean_data[[#This Row],[Date]])</f>
        <v>2022</v>
      </c>
      <c r="S721" s="2">
        <f>clean_data[[#This Row],[Profit]]/clean_data[[#This Row],[Revenue]]</f>
        <v>0.6</v>
      </c>
      <c r="T721" t="str" cm="1">
        <f t="array" ref="T721">_xlfn.IFS(clean_data[[#This Row],[Revenue]]&lt;300000,"Small",
     clean_data[[#This Row],[Revenue]]&lt;700000,"Medium",
     TRUE,"Large")</f>
        <v>Small</v>
      </c>
      <c r="U721" t="str" cm="1">
        <f t="array" ref="U721">_xlfn.IFS(clean_data[[#This Row],[profit margin%]]&lt;0.5,"Low Profit",
     clean_data[[#This Row],[profit margin%]]&lt;0.6,"Medium Profit",
     TRUE,"High Profit")</f>
        <v>High Profit</v>
      </c>
      <c r="V721" t="str">
        <f>TEXT(clean_data[[#This Row],[Date]],"mmm-yyyy")</f>
        <v>Mar-2022</v>
      </c>
      <c r="W721" s="8">
        <f>EOMONTH(clean_data[[#This Row],[Date]],-1)+1</f>
        <v>44621</v>
      </c>
    </row>
    <row r="722" spans="1:23" x14ac:dyDescent="0.3">
      <c r="A722" t="s">
        <v>794</v>
      </c>
      <c r="B722" s="1">
        <v>44747</v>
      </c>
      <c r="C722" t="s">
        <v>17</v>
      </c>
      <c r="D722" t="s">
        <v>37</v>
      </c>
      <c r="E722" t="s">
        <v>78</v>
      </c>
      <c r="F722" t="s">
        <v>28</v>
      </c>
      <c r="G722" t="s">
        <v>87</v>
      </c>
      <c r="H722">
        <v>29</v>
      </c>
      <c r="I722">
        <v>45000</v>
      </c>
      <c r="J722">
        <v>15</v>
      </c>
      <c r="K722">
        <v>1109250</v>
      </c>
      <c r="L722">
        <v>610087.5</v>
      </c>
      <c r="M722">
        <v>499162.5</v>
      </c>
      <c r="N722" t="s">
        <v>30</v>
      </c>
      <c r="O722" t="s">
        <v>23</v>
      </c>
      <c r="P722" t="s">
        <v>24</v>
      </c>
      <c r="Q722" t="str">
        <f>TEXT(clean_data[[#This Row],[Date]],"mmm")</f>
        <v>Jul</v>
      </c>
      <c r="R722">
        <f>YEAR(clean_data[[#This Row],[Date]])</f>
        <v>2022</v>
      </c>
      <c r="S722" s="2">
        <f>clean_data[[#This Row],[Profit]]/clean_data[[#This Row],[Revenue]]</f>
        <v>0.45</v>
      </c>
      <c r="T722" t="str" cm="1">
        <f t="array" ref="T722">_xlfn.IFS(clean_data[[#This Row],[Revenue]]&lt;300000,"Small",
     clean_data[[#This Row],[Revenue]]&lt;700000,"Medium",
     TRUE,"Large")</f>
        <v>Large</v>
      </c>
      <c r="U722" t="str" cm="1">
        <f t="array" ref="U722">_xlfn.IFS(clean_data[[#This Row],[profit margin%]]&lt;0.5,"Low Profit",
     clean_data[[#This Row],[profit margin%]]&lt;0.6,"Medium Profit",
     TRUE,"High Profit")</f>
        <v>Low Profit</v>
      </c>
      <c r="V722" t="str">
        <f>TEXT(clean_data[[#This Row],[Date]],"mmm-yyyy")</f>
        <v>Jul-2022</v>
      </c>
      <c r="W722" s="8">
        <f>EOMONTH(clean_data[[#This Row],[Date]],-1)+1</f>
        <v>44743</v>
      </c>
    </row>
    <row r="723" spans="1:23" x14ac:dyDescent="0.3">
      <c r="A723" t="s">
        <v>795</v>
      </c>
      <c r="B723" s="1">
        <v>45209</v>
      </c>
      <c r="C723" t="s">
        <v>46</v>
      </c>
      <c r="D723" t="s">
        <v>47</v>
      </c>
      <c r="E723" t="s">
        <v>73</v>
      </c>
      <c r="F723" t="s">
        <v>33</v>
      </c>
      <c r="G723" t="s">
        <v>48</v>
      </c>
      <c r="H723">
        <v>24</v>
      </c>
      <c r="I723">
        <v>1500</v>
      </c>
      <c r="J723">
        <v>5</v>
      </c>
      <c r="K723">
        <v>34200</v>
      </c>
      <c r="L723">
        <v>17100</v>
      </c>
      <c r="M723">
        <v>17100</v>
      </c>
      <c r="N723" t="s">
        <v>22</v>
      </c>
      <c r="O723" t="s">
        <v>23</v>
      </c>
      <c r="P723" t="s">
        <v>24</v>
      </c>
      <c r="Q723" t="str">
        <f>TEXT(clean_data[[#This Row],[Date]],"mmm")</f>
        <v>Oct</v>
      </c>
      <c r="R723">
        <f>YEAR(clean_data[[#This Row],[Date]])</f>
        <v>2023</v>
      </c>
      <c r="S723" s="2">
        <f>clean_data[[#This Row],[Profit]]/clean_data[[#This Row],[Revenue]]</f>
        <v>0.5</v>
      </c>
      <c r="T723" t="str" cm="1">
        <f t="array" ref="T723">_xlfn.IFS(clean_data[[#This Row],[Revenue]]&lt;300000,"Small",
     clean_data[[#This Row],[Revenue]]&lt;700000,"Medium",
     TRUE,"Large")</f>
        <v>Small</v>
      </c>
      <c r="U723" t="str" cm="1">
        <f t="array" ref="U723">_xlfn.IFS(clean_data[[#This Row],[profit margin%]]&lt;0.5,"Low Profit",
     clean_data[[#This Row],[profit margin%]]&lt;0.6,"Medium Profit",
     TRUE,"High Profit")</f>
        <v>Medium Profit</v>
      </c>
      <c r="V723" t="str">
        <f>TEXT(clean_data[[#This Row],[Date]],"mmm-yyyy")</f>
        <v>Oct-2023</v>
      </c>
      <c r="W723" s="8">
        <f>EOMONTH(clean_data[[#This Row],[Date]],-1)+1</f>
        <v>45200</v>
      </c>
    </row>
    <row r="724" spans="1:23" x14ac:dyDescent="0.3">
      <c r="A724" t="s">
        <v>796</v>
      </c>
      <c r="B724" s="1">
        <v>44990</v>
      </c>
      <c r="C724" t="s">
        <v>58</v>
      </c>
      <c r="D724" t="s">
        <v>59</v>
      </c>
      <c r="E724" t="s">
        <v>32</v>
      </c>
      <c r="F724" t="s">
        <v>65</v>
      </c>
      <c r="G724" t="s">
        <v>79</v>
      </c>
      <c r="H724">
        <v>44</v>
      </c>
      <c r="I724">
        <v>900</v>
      </c>
      <c r="J724">
        <v>10</v>
      </c>
      <c r="K724">
        <v>35640</v>
      </c>
      <c r="L724">
        <v>16038</v>
      </c>
      <c r="M724">
        <v>19602</v>
      </c>
      <c r="N724" t="s">
        <v>49</v>
      </c>
      <c r="O724" t="s">
        <v>44</v>
      </c>
      <c r="P724" t="s">
        <v>24</v>
      </c>
      <c r="Q724" t="str">
        <f>TEXT(clean_data[[#This Row],[Date]],"mmm")</f>
        <v>Mar</v>
      </c>
      <c r="R724">
        <f>YEAR(clean_data[[#This Row],[Date]])</f>
        <v>2023</v>
      </c>
      <c r="S724" s="2">
        <f>clean_data[[#This Row],[Profit]]/clean_data[[#This Row],[Revenue]]</f>
        <v>0.55000000000000004</v>
      </c>
      <c r="T724" t="str" cm="1">
        <f t="array" ref="T724">_xlfn.IFS(clean_data[[#This Row],[Revenue]]&lt;300000,"Small",
     clean_data[[#This Row],[Revenue]]&lt;700000,"Medium",
     TRUE,"Large")</f>
        <v>Small</v>
      </c>
      <c r="U724" t="str" cm="1">
        <f t="array" ref="U724">_xlfn.IFS(clean_data[[#This Row],[profit margin%]]&lt;0.5,"Low Profit",
     clean_data[[#This Row],[profit margin%]]&lt;0.6,"Medium Profit",
     TRUE,"High Profit")</f>
        <v>Medium Profit</v>
      </c>
      <c r="V724" t="str">
        <f>TEXT(clean_data[[#This Row],[Date]],"mmm-yyyy")</f>
        <v>Mar-2023</v>
      </c>
      <c r="W724" s="8">
        <f>EOMONTH(clean_data[[#This Row],[Date]],-1)+1</f>
        <v>44986</v>
      </c>
    </row>
    <row r="725" spans="1:23" x14ac:dyDescent="0.3">
      <c r="A725" t="s">
        <v>797</v>
      </c>
      <c r="B725" s="1">
        <v>44584</v>
      </c>
      <c r="C725" t="s">
        <v>26</v>
      </c>
      <c r="D725" t="s">
        <v>27</v>
      </c>
      <c r="E725" t="s">
        <v>70</v>
      </c>
      <c r="F725" t="s">
        <v>33</v>
      </c>
      <c r="G725" t="s">
        <v>48</v>
      </c>
      <c r="H725">
        <v>50</v>
      </c>
      <c r="I725">
        <v>1500</v>
      </c>
      <c r="J725">
        <v>5</v>
      </c>
      <c r="K725">
        <v>71250</v>
      </c>
      <c r="L725">
        <v>35625</v>
      </c>
      <c r="M725">
        <v>35625</v>
      </c>
      <c r="N725" t="s">
        <v>30</v>
      </c>
      <c r="O725" t="s">
        <v>23</v>
      </c>
      <c r="P725" t="s">
        <v>24</v>
      </c>
      <c r="Q725" t="str">
        <f>TEXT(clean_data[[#This Row],[Date]],"mmm")</f>
        <v>Jan</v>
      </c>
      <c r="R725">
        <f>YEAR(clean_data[[#This Row],[Date]])</f>
        <v>2022</v>
      </c>
      <c r="S725" s="2">
        <f>clean_data[[#This Row],[Profit]]/clean_data[[#This Row],[Revenue]]</f>
        <v>0.5</v>
      </c>
      <c r="T725" t="str" cm="1">
        <f t="array" ref="T725">_xlfn.IFS(clean_data[[#This Row],[Revenue]]&lt;300000,"Small",
     clean_data[[#This Row],[Revenue]]&lt;700000,"Medium",
     TRUE,"Large")</f>
        <v>Small</v>
      </c>
      <c r="U725" t="str" cm="1">
        <f t="array" ref="U725">_xlfn.IFS(clean_data[[#This Row],[profit margin%]]&lt;0.5,"Low Profit",
     clean_data[[#This Row],[profit margin%]]&lt;0.6,"Medium Profit",
     TRUE,"High Profit")</f>
        <v>Medium Profit</v>
      </c>
      <c r="V725" t="str">
        <f>TEXT(clean_data[[#This Row],[Date]],"mmm-yyyy")</f>
        <v>Jan-2022</v>
      </c>
      <c r="W725" s="8">
        <f>EOMONTH(clean_data[[#This Row],[Date]],-1)+1</f>
        <v>44562</v>
      </c>
    </row>
    <row r="726" spans="1:23" x14ac:dyDescent="0.3">
      <c r="A726" t="s">
        <v>798</v>
      </c>
      <c r="B726" s="1">
        <v>44642</v>
      </c>
      <c r="C726" t="s">
        <v>46</v>
      </c>
      <c r="D726" t="s">
        <v>47</v>
      </c>
      <c r="E726" t="s">
        <v>111</v>
      </c>
      <c r="F726" t="s">
        <v>33</v>
      </c>
      <c r="G726" t="s">
        <v>48</v>
      </c>
      <c r="H726">
        <v>26</v>
      </c>
      <c r="I726">
        <v>1500</v>
      </c>
      <c r="J726">
        <v>20</v>
      </c>
      <c r="K726">
        <v>31200</v>
      </c>
      <c r="L726">
        <v>15600</v>
      </c>
      <c r="M726">
        <v>15600</v>
      </c>
      <c r="N726" t="s">
        <v>22</v>
      </c>
      <c r="O726" t="s">
        <v>50</v>
      </c>
      <c r="P726" t="s">
        <v>24</v>
      </c>
      <c r="Q726" t="str">
        <f>TEXT(clean_data[[#This Row],[Date]],"mmm")</f>
        <v>Mar</v>
      </c>
      <c r="R726">
        <f>YEAR(clean_data[[#This Row],[Date]])</f>
        <v>2022</v>
      </c>
      <c r="S726" s="2">
        <f>clean_data[[#This Row],[Profit]]/clean_data[[#This Row],[Revenue]]</f>
        <v>0.5</v>
      </c>
      <c r="T726" t="str" cm="1">
        <f t="array" ref="T726">_xlfn.IFS(clean_data[[#This Row],[Revenue]]&lt;300000,"Small",
     clean_data[[#This Row],[Revenue]]&lt;700000,"Medium",
     TRUE,"Large")</f>
        <v>Small</v>
      </c>
      <c r="U726" t="str" cm="1">
        <f t="array" ref="U726">_xlfn.IFS(clean_data[[#This Row],[profit margin%]]&lt;0.5,"Low Profit",
     clean_data[[#This Row],[profit margin%]]&lt;0.6,"Medium Profit",
     TRUE,"High Profit")</f>
        <v>Medium Profit</v>
      </c>
      <c r="V726" t="str">
        <f>TEXT(clean_data[[#This Row],[Date]],"mmm-yyyy")</f>
        <v>Mar-2022</v>
      </c>
      <c r="W726" s="8">
        <f>EOMONTH(clean_data[[#This Row],[Date]],-1)+1</f>
        <v>44621</v>
      </c>
    </row>
    <row r="727" spans="1:23" x14ac:dyDescent="0.3">
      <c r="A727" t="s">
        <v>799</v>
      </c>
      <c r="B727" s="1">
        <v>45231</v>
      </c>
      <c r="C727" t="s">
        <v>17</v>
      </c>
      <c r="D727" t="s">
        <v>42</v>
      </c>
      <c r="E727" t="s">
        <v>38</v>
      </c>
      <c r="F727" t="s">
        <v>20</v>
      </c>
      <c r="G727" t="s">
        <v>115</v>
      </c>
      <c r="H727">
        <v>29</v>
      </c>
      <c r="I727">
        <v>2500</v>
      </c>
      <c r="J727">
        <v>5</v>
      </c>
      <c r="K727">
        <v>68875</v>
      </c>
      <c r="L727">
        <v>27550</v>
      </c>
      <c r="M727">
        <v>41325</v>
      </c>
      <c r="N727" t="s">
        <v>22</v>
      </c>
      <c r="O727" t="s">
        <v>67</v>
      </c>
      <c r="P727" t="s">
        <v>40</v>
      </c>
      <c r="Q727" t="str">
        <f>TEXT(clean_data[[#This Row],[Date]],"mmm")</f>
        <v>Nov</v>
      </c>
      <c r="R727">
        <f>YEAR(clean_data[[#This Row],[Date]])</f>
        <v>2023</v>
      </c>
      <c r="S727" s="2">
        <f>clean_data[[#This Row],[Profit]]/clean_data[[#This Row],[Revenue]]</f>
        <v>0.6</v>
      </c>
      <c r="T727" t="str" cm="1">
        <f t="array" ref="T727">_xlfn.IFS(clean_data[[#This Row],[Revenue]]&lt;300000,"Small",
     clean_data[[#This Row],[Revenue]]&lt;700000,"Medium",
     TRUE,"Large")</f>
        <v>Small</v>
      </c>
      <c r="U727" t="str" cm="1">
        <f t="array" ref="U727">_xlfn.IFS(clean_data[[#This Row],[profit margin%]]&lt;0.5,"Low Profit",
     clean_data[[#This Row],[profit margin%]]&lt;0.6,"Medium Profit",
     TRUE,"High Profit")</f>
        <v>High Profit</v>
      </c>
      <c r="V727" t="str">
        <f>TEXT(clean_data[[#This Row],[Date]],"mmm-yyyy")</f>
        <v>Nov-2023</v>
      </c>
      <c r="W727" s="8">
        <f>EOMONTH(clean_data[[#This Row],[Date]],-1)+1</f>
        <v>45231</v>
      </c>
    </row>
    <row r="728" spans="1:23" x14ac:dyDescent="0.3">
      <c r="A728" t="s">
        <v>800</v>
      </c>
      <c r="B728" s="1">
        <v>45435</v>
      </c>
      <c r="C728" t="s">
        <v>17</v>
      </c>
      <c r="D728" t="s">
        <v>42</v>
      </c>
      <c r="E728" t="s">
        <v>32</v>
      </c>
      <c r="F728" t="s">
        <v>20</v>
      </c>
      <c r="G728" t="s">
        <v>61</v>
      </c>
      <c r="H728">
        <v>6</v>
      </c>
      <c r="I728">
        <v>800</v>
      </c>
      <c r="J728">
        <v>0</v>
      </c>
      <c r="K728">
        <v>4800</v>
      </c>
      <c r="L728">
        <v>1920</v>
      </c>
      <c r="M728">
        <v>2880</v>
      </c>
      <c r="N728" t="s">
        <v>49</v>
      </c>
      <c r="O728" t="s">
        <v>23</v>
      </c>
      <c r="P728" t="s">
        <v>40</v>
      </c>
      <c r="Q728" t="str">
        <f>TEXT(clean_data[[#This Row],[Date]],"mmm")</f>
        <v>May</v>
      </c>
      <c r="R728">
        <f>YEAR(clean_data[[#This Row],[Date]])</f>
        <v>2024</v>
      </c>
      <c r="S728" s="2">
        <f>clean_data[[#This Row],[Profit]]/clean_data[[#This Row],[Revenue]]</f>
        <v>0.6</v>
      </c>
      <c r="T728" t="str" cm="1">
        <f t="array" ref="T728">_xlfn.IFS(clean_data[[#This Row],[Revenue]]&lt;300000,"Small",
     clean_data[[#This Row],[Revenue]]&lt;700000,"Medium",
     TRUE,"Large")</f>
        <v>Small</v>
      </c>
      <c r="U728" t="str" cm="1">
        <f t="array" ref="U728">_xlfn.IFS(clean_data[[#This Row],[profit margin%]]&lt;0.5,"Low Profit",
     clean_data[[#This Row],[profit margin%]]&lt;0.6,"Medium Profit",
     TRUE,"High Profit")</f>
        <v>High Profit</v>
      </c>
      <c r="V728" t="str">
        <f>TEXT(clean_data[[#This Row],[Date]],"mmm-yyyy")</f>
        <v>May-2024</v>
      </c>
      <c r="W728" s="8">
        <f>EOMONTH(clean_data[[#This Row],[Date]],-1)+1</f>
        <v>45413</v>
      </c>
    </row>
    <row r="729" spans="1:23" x14ac:dyDescent="0.3">
      <c r="A729" t="s">
        <v>801</v>
      </c>
      <c r="B729" s="1">
        <v>44821</v>
      </c>
      <c r="C729" t="s">
        <v>17</v>
      </c>
      <c r="D729" t="s">
        <v>18</v>
      </c>
      <c r="E729" t="s">
        <v>52</v>
      </c>
      <c r="F729" t="s">
        <v>33</v>
      </c>
      <c r="G729" t="s">
        <v>43</v>
      </c>
      <c r="H729">
        <v>22</v>
      </c>
      <c r="I729">
        <v>4000</v>
      </c>
      <c r="J729">
        <v>5</v>
      </c>
      <c r="K729">
        <v>83600</v>
      </c>
      <c r="L729">
        <v>41800</v>
      </c>
      <c r="M729">
        <v>41800</v>
      </c>
      <c r="N729" t="s">
        <v>30</v>
      </c>
      <c r="O729" t="s">
        <v>67</v>
      </c>
      <c r="P729" t="s">
        <v>24</v>
      </c>
      <c r="Q729" t="str">
        <f>TEXT(clean_data[[#This Row],[Date]],"mmm")</f>
        <v>Sep</v>
      </c>
      <c r="R729">
        <f>YEAR(clean_data[[#This Row],[Date]])</f>
        <v>2022</v>
      </c>
      <c r="S729" s="2">
        <f>clean_data[[#This Row],[Profit]]/clean_data[[#This Row],[Revenue]]</f>
        <v>0.5</v>
      </c>
      <c r="T729" t="str" cm="1">
        <f t="array" ref="T729">_xlfn.IFS(clean_data[[#This Row],[Revenue]]&lt;300000,"Small",
     clean_data[[#This Row],[Revenue]]&lt;700000,"Medium",
     TRUE,"Large")</f>
        <v>Small</v>
      </c>
      <c r="U729" t="str" cm="1">
        <f t="array" ref="U729">_xlfn.IFS(clean_data[[#This Row],[profit margin%]]&lt;0.5,"Low Profit",
     clean_data[[#This Row],[profit margin%]]&lt;0.6,"Medium Profit",
     TRUE,"High Profit")</f>
        <v>Medium Profit</v>
      </c>
      <c r="V729" t="str">
        <f>TEXT(clean_data[[#This Row],[Date]],"mmm-yyyy")</f>
        <v>Sep-2022</v>
      </c>
      <c r="W729" s="8">
        <f>EOMONTH(clean_data[[#This Row],[Date]],-1)+1</f>
        <v>44805</v>
      </c>
    </row>
    <row r="730" spans="1:23" x14ac:dyDescent="0.3">
      <c r="A730" t="s">
        <v>802</v>
      </c>
      <c r="B730" s="1">
        <v>45054</v>
      </c>
      <c r="C730" t="s">
        <v>17</v>
      </c>
      <c r="D730" t="s">
        <v>42</v>
      </c>
      <c r="E730" t="s">
        <v>32</v>
      </c>
      <c r="F730" t="s">
        <v>28</v>
      </c>
      <c r="G730" t="s">
        <v>95</v>
      </c>
      <c r="H730">
        <v>24</v>
      </c>
      <c r="I730">
        <v>75000</v>
      </c>
      <c r="J730">
        <v>10</v>
      </c>
      <c r="K730">
        <v>1620000</v>
      </c>
      <c r="L730">
        <v>891000</v>
      </c>
      <c r="M730">
        <v>729000</v>
      </c>
      <c r="N730" t="s">
        <v>49</v>
      </c>
      <c r="O730" t="s">
        <v>35</v>
      </c>
      <c r="P730" t="s">
        <v>40</v>
      </c>
      <c r="Q730" t="str">
        <f>TEXT(clean_data[[#This Row],[Date]],"mmm")</f>
        <v>May</v>
      </c>
      <c r="R730">
        <f>YEAR(clean_data[[#This Row],[Date]])</f>
        <v>2023</v>
      </c>
      <c r="S730" s="2">
        <f>clean_data[[#This Row],[Profit]]/clean_data[[#This Row],[Revenue]]</f>
        <v>0.45</v>
      </c>
      <c r="T730" t="str" cm="1">
        <f t="array" ref="T730">_xlfn.IFS(clean_data[[#This Row],[Revenue]]&lt;300000,"Small",
     clean_data[[#This Row],[Revenue]]&lt;700000,"Medium",
     TRUE,"Large")</f>
        <v>Large</v>
      </c>
      <c r="U730" t="str" cm="1">
        <f t="array" ref="U730">_xlfn.IFS(clean_data[[#This Row],[profit margin%]]&lt;0.5,"Low Profit",
     clean_data[[#This Row],[profit margin%]]&lt;0.6,"Medium Profit",
     TRUE,"High Profit")</f>
        <v>Low Profit</v>
      </c>
      <c r="V730" t="str">
        <f>TEXT(clean_data[[#This Row],[Date]],"mmm-yyyy")</f>
        <v>May-2023</v>
      </c>
      <c r="W730" s="8">
        <f>EOMONTH(clean_data[[#This Row],[Date]],-1)+1</f>
        <v>45047</v>
      </c>
    </row>
    <row r="731" spans="1:23" x14ac:dyDescent="0.3">
      <c r="A731" t="s">
        <v>803</v>
      </c>
      <c r="B731" s="1">
        <v>44676</v>
      </c>
      <c r="C731" t="s">
        <v>26</v>
      </c>
      <c r="D731" t="s">
        <v>69</v>
      </c>
      <c r="E731" t="s">
        <v>73</v>
      </c>
      <c r="F731" t="s">
        <v>28</v>
      </c>
      <c r="G731" t="s">
        <v>85</v>
      </c>
      <c r="H731">
        <v>22</v>
      </c>
      <c r="I731">
        <v>8000</v>
      </c>
      <c r="J731">
        <v>5</v>
      </c>
      <c r="K731">
        <v>167200</v>
      </c>
      <c r="L731">
        <v>91960</v>
      </c>
      <c r="M731">
        <v>75240</v>
      </c>
      <c r="N731" t="s">
        <v>22</v>
      </c>
      <c r="O731" t="s">
        <v>67</v>
      </c>
      <c r="P731" t="s">
        <v>40</v>
      </c>
      <c r="Q731" t="str">
        <f>TEXT(clean_data[[#This Row],[Date]],"mmm")</f>
        <v>Apr</v>
      </c>
      <c r="R731">
        <f>YEAR(clean_data[[#This Row],[Date]])</f>
        <v>2022</v>
      </c>
      <c r="S731" s="2">
        <f>clean_data[[#This Row],[Profit]]/clean_data[[#This Row],[Revenue]]</f>
        <v>0.45</v>
      </c>
      <c r="T731" t="str" cm="1">
        <f t="array" ref="T731">_xlfn.IFS(clean_data[[#This Row],[Revenue]]&lt;300000,"Small",
     clean_data[[#This Row],[Revenue]]&lt;700000,"Medium",
     TRUE,"Large")</f>
        <v>Small</v>
      </c>
      <c r="U731" t="str" cm="1">
        <f t="array" ref="U731">_xlfn.IFS(clean_data[[#This Row],[profit margin%]]&lt;0.5,"Low Profit",
     clean_data[[#This Row],[profit margin%]]&lt;0.6,"Medium Profit",
     TRUE,"High Profit")</f>
        <v>Low Profit</v>
      </c>
      <c r="V731" t="str">
        <f>TEXT(clean_data[[#This Row],[Date]],"mmm-yyyy")</f>
        <v>Apr-2022</v>
      </c>
      <c r="W731" s="8">
        <f>EOMONTH(clean_data[[#This Row],[Date]],-1)+1</f>
        <v>44652</v>
      </c>
    </row>
    <row r="732" spans="1:23" x14ac:dyDescent="0.3">
      <c r="A732" t="s">
        <v>804</v>
      </c>
      <c r="B732" s="1">
        <v>44997</v>
      </c>
      <c r="C732" t="s">
        <v>17</v>
      </c>
      <c r="D732" t="s">
        <v>37</v>
      </c>
      <c r="E732" t="s">
        <v>38</v>
      </c>
      <c r="F732" t="s">
        <v>20</v>
      </c>
      <c r="G732" t="s">
        <v>115</v>
      </c>
      <c r="H732">
        <v>34</v>
      </c>
      <c r="I732">
        <v>2500</v>
      </c>
      <c r="J732">
        <v>5</v>
      </c>
      <c r="K732">
        <v>80750</v>
      </c>
      <c r="L732">
        <v>32300</v>
      </c>
      <c r="M732">
        <v>48450</v>
      </c>
      <c r="N732" t="s">
        <v>49</v>
      </c>
      <c r="O732" t="s">
        <v>67</v>
      </c>
      <c r="P732" t="s">
        <v>24</v>
      </c>
      <c r="Q732" t="str">
        <f>TEXT(clean_data[[#This Row],[Date]],"mmm")</f>
        <v>Mar</v>
      </c>
      <c r="R732">
        <f>YEAR(clean_data[[#This Row],[Date]])</f>
        <v>2023</v>
      </c>
      <c r="S732" s="2">
        <f>clean_data[[#This Row],[Profit]]/clean_data[[#This Row],[Revenue]]</f>
        <v>0.6</v>
      </c>
      <c r="T732" t="str" cm="1">
        <f t="array" ref="T732">_xlfn.IFS(clean_data[[#This Row],[Revenue]]&lt;300000,"Small",
     clean_data[[#This Row],[Revenue]]&lt;700000,"Medium",
     TRUE,"Large")</f>
        <v>Small</v>
      </c>
      <c r="U732" t="str" cm="1">
        <f t="array" ref="U732">_xlfn.IFS(clean_data[[#This Row],[profit margin%]]&lt;0.5,"Low Profit",
     clean_data[[#This Row],[profit margin%]]&lt;0.6,"Medium Profit",
     TRUE,"High Profit")</f>
        <v>High Profit</v>
      </c>
      <c r="V732" t="str">
        <f>TEXT(clean_data[[#This Row],[Date]],"mmm-yyyy")</f>
        <v>Mar-2023</v>
      </c>
      <c r="W732" s="8">
        <f>EOMONTH(clean_data[[#This Row],[Date]],-1)+1</f>
        <v>44986</v>
      </c>
    </row>
    <row r="733" spans="1:23" x14ac:dyDescent="0.3">
      <c r="A733" t="s">
        <v>805</v>
      </c>
      <c r="B733" s="1">
        <v>44953</v>
      </c>
      <c r="C733" t="s">
        <v>17</v>
      </c>
      <c r="D733" t="s">
        <v>37</v>
      </c>
      <c r="E733" t="s">
        <v>52</v>
      </c>
      <c r="F733" t="s">
        <v>20</v>
      </c>
      <c r="G733" t="s">
        <v>115</v>
      </c>
      <c r="H733">
        <v>27</v>
      </c>
      <c r="I733">
        <v>2500</v>
      </c>
      <c r="J733">
        <v>0</v>
      </c>
      <c r="K733">
        <v>67500</v>
      </c>
      <c r="L733">
        <v>27000</v>
      </c>
      <c r="M733">
        <v>40500</v>
      </c>
      <c r="N733" t="s">
        <v>30</v>
      </c>
      <c r="O733" t="s">
        <v>23</v>
      </c>
      <c r="P733" t="s">
        <v>24</v>
      </c>
      <c r="Q733" t="str">
        <f>TEXT(clean_data[[#This Row],[Date]],"mmm")</f>
        <v>Jan</v>
      </c>
      <c r="R733">
        <f>YEAR(clean_data[[#This Row],[Date]])</f>
        <v>2023</v>
      </c>
      <c r="S733" s="2">
        <f>clean_data[[#This Row],[Profit]]/clean_data[[#This Row],[Revenue]]</f>
        <v>0.6</v>
      </c>
      <c r="T733" t="str" cm="1">
        <f t="array" ref="T733">_xlfn.IFS(clean_data[[#This Row],[Revenue]]&lt;300000,"Small",
     clean_data[[#This Row],[Revenue]]&lt;700000,"Medium",
     TRUE,"Large")</f>
        <v>Small</v>
      </c>
      <c r="U733" t="str" cm="1">
        <f t="array" ref="U733">_xlfn.IFS(clean_data[[#This Row],[profit margin%]]&lt;0.5,"Low Profit",
     clean_data[[#This Row],[profit margin%]]&lt;0.6,"Medium Profit",
     TRUE,"High Profit")</f>
        <v>High Profit</v>
      </c>
      <c r="V733" t="str">
        <f>TEXT(clean_data[[#This Row],[Date]],"mmm-yyyy")</f>
        <v>Jan-2023</v>
      </c>
      <c r="W733" s="8">
        <f>EOMONTH(clean_data[[#This Row],[Date]],-1)+1</f>
        <v>44927</v>
      </c>
    </row>
    <row r="734" spans="1:23" x14ac:dyDescent="0.3">
      <c r="A734" t="s">
        <v>806</v>
      </c>
      <c r="B734" s="1">
        <v>44820</v>
      </c>
      <c r="C734" t="s">
        <v>46</v>
      </c>
      <c r="D734" t="s">
        <v>55</v>
      </c>
      <c r="E734" t="s">
        <v>52</v>
      </c>
      <c r="F734" t="s">
        <v>33</v>
      </c>
      <c r="G734" t="s">
        <v>43</v>
      </c>
      <c r="H734">
        <v>26</v>
      </c>
      <c r="I734">
        <v>4000</v>
      </c>
      <c r="J734">
        <v>20</v>
      </c>
      <c r="K734">
        <v>83200</v>
      </c>
      <c r="L734">
        <v>41600</v>
      </c>
      <c r="M734">
        <v>41600</v>
      </c>
      <c r="N734" t="s">
        <v>22</v>
      </c>
      <c r="O734" t="s">
        <v>23</v>
      </c>
      <c r="P734" t="s">
        <v>40</v>
      </c>
      <c r="Q734" t="str">
        <f>TEXT(clean_data[[#This Row],[Date]],"mmm")</f>
        <v>Sep</v>
      </c>
      <c r="R734">
        <f>YEAR(clean_data[[#This Row],[Date]])</f>
        <v>2022</v>
      </c>
      <c r="S734" s="2">
        <f>clean_data[[#This Row],[Profit]]/clean_data[[#This Row],[Revenue]]</f>
        <v>0.5</v>
      </c>
      <c r="T734" t="str" cm="1">
        <f t="array" ref="T734">_xlfn.IFS(clean_data[[#This Row],[Revenue]]&lt;300000,"Small",
     clean_data[[#This Row],[Revenue]]&lt;700000,"Medium",
     TRUE,"Large")</f>
        <v>Small</v>
      </c>
      <c r="U734" t="str" cm="1">
        <f t="array" ref="U734">_xlfn.IFS(clean_data[[#This Row],[profit margin%]]&lt;0.5,"Low Profit",
     clean_data[[#This Row],[profit margin%]]&lt;0.6,"Medium Profit",
     TRUE,"High Profit")</f>
        <v>Medium Profit</v>
      </c>
      <c r="V734" t="str">
        <f>TEXT(clean_data[[#This Row],[Date]],"mmm-yyyy")</f>
        <v>Sep-2022</v>
      </c>
      <c r="W734" s="8">
        <f>EOMONTH(clean_data[[#This Row],[Date]],-1)+1</f>
        <v>44805</v>
      </c>
    </row>
    <row r="735" spans="1:23" x14ac:dyDescent="0.3">
      <c r="A735" t="s">
        <v>807</v>
      </c>
      <c r="B735" s="1">
        <v>45065</v>
      </c>
      <c r="C735" t="s">
        <v>58</v>
      </c>
      <c r="D735" t="s">
        <v>64</v>
      </c>
      <c r="E735" t="s">
        <v>32</v>
      </c>
      <c r="F735" t="s">
        <v>65</v>
      </c>
      <c r="G735" t="s">
        <v>66</v>
      </c>
      <c r="H735">
        <v>47</v>
      </c>
      <c r="I735">
        <v>5500</v>
      </c>
      <c r="J735">
        <v>15</v>
      </c>
      <c r="K735">
        <v>219725</v>
      </c>
      <c r="L735">
        <v>98876.25</v>
      </c>
      <c r="M735">
        <v>120848.75</v>
      </c>
      <c r="N735" t="s">
        <v>30</v>
      </c>
      <c r="O735" t="s">
        <v>67</v>
      </c>
      <c r="P735" t="s">
        <v>24</v>
      </c>
      <c r="Q735" t="str">
        <f>TEXT(clean_data[[#This Row],[Date]],"mmm")</f>
        <v>May</v>
      </c>
      <c r="R735">
        <f>YEAR(clean_data[[#This Row],[Date]])</f>
        <v>2023</v>
      </c>
      <c r="S735" s="2">
        <f>clean_data[[#This Row],[Profit]]/clean_data[[#This Row],[Revenue]]</f>
        <v>0.55000000000000004</v>
      </c>
      <c r="T735" t="str" cm="1">
        <f t="array" ref="T735">_xlfn.IFS(clean_data[[#This Row],[Revenue]]&lt;300000,"Small",
     clean_data[[#This Row],[Revenue]]&lt;700000,"Medium",
     TRUE,"Large")</f>
        <v>Small</v>
      </c>
      <c r="U735" t="str" cm="1">
        <f t="array" ref="U735">_xlfn.IFS(clean_data[[#This Row],[profit margin%]]&lt;0.5,"Low Profit",
     clean_data[[#This Row],[profit margin%]]&lt;0.6,"Medium Profit",
     TRUE,"High Profit")</f>
        <v>Medium Profit</v>
      </c>
      <c r="V735" t="str">
        <f>TEXT(clean_data[[#This Row],[Date]],"mmm-yyyy")</f>
        <v>May-2023</v>
      </c>
      <c r="W735" s="8">
        <f>EOMONTH(clean_data[[#This Row],[Date]],-1)+1</f>
        <v>45047</v>
      </c>
    </row>
    <row r="736" spans="1:23" x14ac:dyDescent="0.3">
      <c r="A736" t="s">
        <v>808</v>
      </c>
      <c r="B736" s="1">
        <v>44820</v>
      </c>
      <c r="C736" t="s">
        <v>58</v>
      </c>
      <c r="D736" t="s">
        <v>84</v>
      </c>
      <c r="E736" t="s">
        <v>111</v>
      </c>
      <c r="F736" t="s">
        <v>28</v>
      </c>
      <c r="G736" t="s">
        <v>87</v>
      </c>
      <c r="H736">
        <v>30</v>
      </c>
      <c r="I736">
        <v>45000</v>
      </c>
      <c r="J736">
        <v>15</v>
      </c>
      <c r="K736">
        <v>1147500</v>
      </c>
      <c r="L736">
        <v>631125</v>
      </c>
      <c r="M736">
        <v>516375</v>
      </c>
      <c r="N736" t="s">
        <v>22</v>
      </c>
      <c r="O736" t="s">
        <v>44</v>
      </c>
      <c r="P736" t="s">
        <v>24</v>
      </c>
      <c r="Q736" t="str">
        <f>TEXT(clean_data[[#This Row],[Date]],"mmm")</f>
        <v>Sep</v>
      </c>
      <c r="R736">
        <f>YEAR(clean_data[[#This Row],[Date]])</f>
        <v>2022</v>
      </c>
      <c r="S736" s="2">
        <f>clean_data[[#This Row],[Profit]]/clean_data[[#This Row],[Revenue]]</f>
        <v>0.45</v>
      </c>
      <c r="T736" t="str" cm="1">
        <f t="array" ref="T736">_xlfn.IFS(clean_data[[#This Row],[Revenue]]&lt;300000,"Small",
     clean_data[[#This Row],[Revenue]]&lt;700000,"Medium",
     TRUE,"Large")</f>
        <v>Large</v>
      </c>
      <c r="U736" t="str" cm="1">
        <f t="array" ref="U736">_xlfn.IFS(clean_data[[#This Row],[profit margin%]]&lt;0.5,"Low Profit",
     clean_data[[#This Row],[profit margin%]]&lt;0.6,"Medium Profit",
     TRUE,"High Profit")</f>
        <v>Low Profit</v>
      </c>
      <c r="V736" t="str">
        <f>TEXT(clean_data[[#This Row],[Date]],"mmm-yyyy")</f>
        <v>Sep-2022</v>
      </c>
      <c r="W736" s="8">
        <f>EOMONTH(clean_data[[#This Row],[Date]],-1)+1</f>
        <v>44805</v>
      </c>
    </row>
    <row r="737" spans="1:23" x14ac:dyDescent="0.3">
      <c r="A737" t="s">
        <v>809</v>
      </c>
      <c r="B737" s="1">
        <v>45638</v>
      </c>
      <c r="C737" t="s">
        <v>26</v>
      </c>
      <c r="D737" t="s">
        <v>69</v>
      </c>
      <c r="E737" t="s">
        <v>52</v>
      </c>
      <c r="F737" t="s">
        <v>28</v>
      </c>
      <c r="G737" t="s">
        <v>71</v>
      </c>
      <c r="H737">
        <v>37</v>
      </c>
      <c r="I737">
        <v>35000</v>
      </c>
      <c r="J737">
        <v>10</v>
      </c>
      <c r="K737">
        <v>1165500</v>
      </c>
      <c r="L737">
        <v>641025</v>
      </c>
      <c r="M737">
        <v>524475</v>
      </c>
      <c r="N737" t="s">
        <v>22</v>
      </c>
      <c r="O737" t="s">
        <v>44</v>
      </c>
      <c r="P737" t="s">
        <v>24</v>
      </c>
      <c r="Q737" t="str">
        <f>TEXT(clean_data[[#This Row],[Date]],"mmm")</f>
        <v>Dec</v>
      </c>
      <c r="R737">
        <f>YEAR(clean_data[[#This Row],[Date]])</f>
        <v>2024</v>
      </c>
      <c r="S737" s="2">
        <f>clean_data[[#This Row],[Profit]]/clean_data[[#This Row],[Revenue]]</f>
        <v>0.45</v>
      </c>
      <c r="T737" t="str" cm="1">
        <f t="array" ref="T737">_xlfn.IFS(clean_data[[#This Row],[Revenue]]&lt;300000,"Small",
     clean_data[[#This Row],[Revenue]]&lt;700000,"Medium",
     TRUE,"Large")</f>
        <v>Large</v>
      </c>
      <c r="U737" t="str" cm="1">
        <f t="array" ref="U737">_xlfn.IFS(clean_data[[#This Row],[profit margin%]]&lt;0.5,"Low Profit",
     clean_data[[#This Row],[profit margin%]]&lt;0.6,"Medium Profit",
     TRUE,"High Profit")</f>
        <v>Low Profit</v>
      </c>
      <c r="V737" t="str">
        <f>TEXT(clean_data[[#This Row],[Date]],"mmm-yyyy")</f>
        <v>Dec-2024</v>
      </c>
      <c r="W737" s="8">
        <f>EOMONTH(clean_data[[#This Row],[Date]],-1)+1</f>
        <v>45627</v>
      </c>
    </row>
    <row r="738" spans="1:23" x14ac:dyDescent="0.3">
      <c r="A738" t="s">
        <v>810</v>
      </c>
      <c r="B738" s="1">
        <v>44785</v>
      </c>
      <c r="C738" t="s">
        <v>17</v>
      </c>
      <c r="D738" t="s">
        <v>37</v>
      </c>
      <c r="E738" t="s">
        <v>73</v>
      </c>
      <c r="F738" t="s">
        <v>33</v>
      </c>
      <c r="G738" t="s">
        <v>48</v>
      </c>
      <c r="H738">
        <v>2</v>
      </c>
      <c r="I738">
        <v>1500</v>
      </c>
      <c r="J738">
        <v>5</v>
      </c>
      <c r="K738">
        <v>2850</v>
      </c>
      <c r="L738">
        <v>1425</v>
      </c>
      <c r="M738">
        <v>1425</v>
      </c>
      <c r="N738" t="s">
        <v>22</v>
      </c>
      <c r="O738" t="s">
        <v>23</v>
      </c>
      <c r="P738" t="s">
        <v>24</v>
      </c>
      <c r="Q738" t="str">
        <f>TEXT(clean_data[[#This Row],[Date]],"mmm")</f>
        <v>Aug</v>
      </c>
      <c r="R738">
        <f>YEAR(clean_data[[#This Row],[Date]])</f>
        <v>2022</v>
      </c>
      <c r="S738" s="2">
        <f>clean_data[[#This Row],[Profit]]/clean_data[[#This Row],[Revenue]]</f>
        <v>0.5</v>
      </c>
      <c r="T738" t="str" cm="1">
        <f t="array" ref="T738">_xlfn.IFS(clean_data[[#This Row],[Revenue]]&lt;300000,"Small",
     clean_data[[#This Row],[Revenue]]&lt;700000,"Medium",
     TRUE,"Large")</f>
        <v>Small</v>
      </c>
      <c r="U738" t="str" cm="1">
        <f t="array" ref="U738">_xlfn.IFS(clean_data[[#This Row],[profit margin%]]&lt;0.5,"Low Profit",
     clean_data[[#This Row],[profit margin%]]&lt;0.6,"Medium Profit",
     TRUE,"High Profit")</f>
        <v>Medium Profit</v>
      </c>
      <c r="V738" t="str">
        <f>TEXT(clean_data[[#This Row],[Date]],"mmm-yyyy")</f>
        <v>Aug-2022</v>
      </c>
      <c r="W738" s="8">
        <f>EOMONTH(clean_data[[#This Row],[Date]],-1)+1</f>
        <v>44774</v>
      </c>
    </row>
    <row r="739" spans="1:23" x14ac:dyDescent="0.3">
      <c r="A739" t="s">
        <v>811</v>
      </c>
      <c r="B739" s="1">
        <v>44661</v>
      </c>
      <c r="C739" t="s">
        <v>17</v>
      </c>
      <c r="D739" t="s">
        <v>18</v>
      </c>
      <c r="E739" t="s">
        <v>78</v>
      </c>
      <c r="F739" t="s">
        <v>65</v>
      </c>
      <c r="G739" t="s">
        <v>117</v>
      </c>
      <c r="H739">
        <v>8</v>
      </c>
      <c r="I739">
        <v>1200</v>
      </c>
      <c r="J739">
        <v>20</v>
      </c>
      <c r="K739">
        <v>7680</v>
      </c>
      <c r="L739">
        <v>3456</v>
      </c>
      <c r="M739">
        <v>4224</v>
      </c>
      <c r="N739" t="s">
        <v>30</v>
      </c>
      <c r="O739" t="s">
        <v>35</v>
      </c>
      <c r="P739" t="s">
        <v>24</v>
      </c>
      <c r="Q739" t="str">
        <f>TEXT(clean_data[[#This Row],[Date]],"mmm")</f>
        <v>Apr</v>
      </c>
      <c r="R739">
        <f>YEAR(clean_data[[#This Row],[Date]])</f>
        <v>2022</v>
      </c>
      <c r="S739" s="2">
        <f>clean_data[[#This Row],[Profit]]/clean_data[[#This Row],[Revenue]]</f>
        <v>0.55000000000000004</v>
      </c>
      <c r="T739" t="str" cm="1">
        <f t="array" ref="T739">_xlfn.IFS(clean_data[[#This Row],[Revenue]]&lt;300000,"Small",
     clean_data[[#This Row],[Revenue]]&lt;700000,"Medium",
     TRUE,"Large")</f>
        <v>Small</v>
      </c>
      <c r="U739" t="str" cm="1">
        <f t="array" ref="U739">_xlfn.IFS(clean_data[[#This Row],[profit margin%]]&lt;0.5,"Low Profit",
     clean_data[[#This Row],[profit margin%]]&lt;0.6,"Medium Profit",
     TRUE,"High Profit")</f>
        <v>Medium Profit</v>
      </c>
      <c r="V739" t="str">
        <f>TEXT(clean_data[[#This Row],[Date]],"mmm-yyyy")</f>
        <v>Apr-2022</v>
      </c>
      <c r="W739" s="8">
        <f>EOMONTH(clean_data[[#This Row],[Date]],-1)+1</f>
        <v>44652</v>
      </c>
    </row>
    <row r="740" spans="1:23" x14ac:dyDescent="0.3">
      <c r="A740" t="s">
        <v>812</v>
      </c>
      <c r="B740" s="1">
        <v>45367</v>
      </c>
      <c r="C740" t="s">
        <v>17</v>
      </c>
      <c r="D740" t="s">
        <v>42</v>
      </c>
      <c r="E740" t="s">
        <v>60</v>
      </c>
      <c r="F740" t="s">
        <v>33</v>
      </c>
      <c r="G740" t="s">
        <v>48</v>
      </c>
      <c r="H740">
        <v>31</v>
      </c>
      <c r="I740">
        <v>1500</v>
      </c>
      <c r="J740">
        <v>20</v>
      </c>
      <c r="K740">
        <v>37200</v>
      </c>
      <c r="L740">
        <v>18600</v>
      </c>
      <c r="M740">
        <v>18600</v>
      </c>
      <c r="N740" t="s">
        <v>30</v>
      </c>
      <c r="O740" t="s">
        <v>67</v>
      </c>
      <c r="P740" t="s">
        <v>24</v>
      </c>
      <c r="Q740" t="str">
        <f>TEXT(clean_data[[#This Row],[Date]],"mmm")</f>
        <v>Mar</v>
      </c>
      <c r="R740">
        <f>YEAR(clean_data[[#This Row],[Date]])</f>
        <v>2024</v>
      </c>
      <c r="S740" s="2">
        <f>clean_data[[#This Row],[Profit]]/clean_data[[#This Row],[Revenue]]</f>
        <v>0.5</v>
      </c>
      <c r="T740" t="str" cm="1">
        <f t="array" ref="T740">_xlfn.IFS(clean_data[[#This Row],[Revenue]]&lt;300000,"Small",
     clean_data[[#This Row],[Revenue]]&lt;700000,"Medium",
     TRUE,"Large")</f>
        <v>Small</v>
      </c>
      <c r="U740" t="str" cm="1">
        <f t="array" ref="U740">_xlfn.IFS(clean_data[[#This Row],[profit margin%]]&lt;0.5,"Low Profit",
     clean_data[[#This Row],[profit margin%]]&lt;0.6,"Medium Profit",
     TRUE,"High Profit")</f>
        <v>Medium Profit</v>
      </c>
      <c r="V740" t="str">
        <f>TEXT(clean_data[[#This Row],[Date]],"mmm-yyyy")</f>
        <v>Mar-2024</v>
      </c>
      <c r="W740" s="8">
        <f>EOMONTH(clean_data[[#This Row],[Date]],-1)+1</f>
        <v>45352</v>
      </c>
    </row>
    <row r="741" spans="1:23" x14ac:dyDescent="0.3">
      <c r="A741" t="s">
        <v>813</v>
      </c>
      <c r="B741" s="1">
        <v>45468</v>
      </c>
      <c r="C741" t="s">
        <v>58</v>
      </c>
      <c r="D741" t="s">
        <v>64</v>
      </c>
      <c r="E741" t="s">
        <v>60</v>
      </c>
      <c r="F741" t="s">
        <v>20</v>
      </c>
      <c r="G741" t="s">
        <v>61</v>
      </c>
      <c r="H741">
        <v>6</v>
      </c>
      <c r="I741">
        <v>800</v>
      </c>
      <c r="J741">
        <v>20</v>
      </c>
      <c r="K741">
        <v>3840</v>
      </c>
      <c r="L741">
        <v>1536</v>
      </c>
      <c r="M741">
        <v>2304</v>
      </c>
      <c r="N741" t="s">
        <v>49</v>
      </c>
      <c r="O741" t="s">
        <v>23</v>
      </c>
      <c r="P741" t="s">
        <v>40</v>
      </c>
      <c r="Q741" t="str">
        <f>TEXT(clean_data[[#This Row],[Date]],"mmm")</f>
        <v>Jun</v>
      </c>
      <c r="R741">
        <f>YEAR(clean_data[[#This Row],[Date]])</f>
        <v>2024</v>
      </c>
      <c r="S741" s="2">
        <f>clean_data[[#This Row],[Profit]]/clean_data[[#This Row],[Revenue]]</f>
        <v>0.6</v>
      </c>
      <c r="T741" t="str" cm="1">
        <f t="array" ref="T741">_xlfn.IFS(clean_data[[#This Row],[Revenue]]&lt;300000,"Small",
     clean_data[[#This Row],[Revenue]]&lt;700000,"Medium",
     TRUE,"Large")</f>
        <v>Small</v>
      </c>
      <c r="U741" t="str" cm="1">
        <f t="array" ref="U741">_xlfn.IFS(clean_data[[#This Row],[profit margin%]]&lt;0.5,"Low Profit",
     clean_data[[#This Row],[profit margin%]]&lt;0.6,"Medium Profit",
     TRUE,"High Profit")</f>
        <v>High Profit</v>
      </c>
      <c r="V741" t="str">
        <f>TEXT(clean_data[[#This Row],[Date]],"mmm-yyyy")</f>
        <v>Jun-2024</v>
      </c>
      <c r="W741" s="8">
        <f>EOMONTH(clean_data[[#This Row],[Date]],-1)+1</f>
        <v>45444</v>
      </c>
    </row>
    <row r="742" spans="1:23" x14ac:dyDescent="0.3">
      <c r="A742" t="s">
        <v>814</v>
      </c>
      <c r="B742" s="1">
        <v>44998</v>
      </c>
      <c r="C742" t="s">
        <v>17</v>
      </c>
      <c r="D742" t="s">
        <v>42</v>
      </c>
      <c r="E742" t="s">
        <v>56</v>
      </c>
      <c r="F742" t="s">
        <v>65</v>
      </c>
      <c r="G742" t="s">
        <v>124</v>
      </c>
      <c r="H742">
        <v>42</v>
      </c>
      <c r="I742">
        <v>18000</v>
      </c>
      <c r="J742">
        <v>0</v>
      </c>
      <c r="K742">
        <v>756000</v>
      </c>
      <c r="L742">
        <v>340200</v>
      </c>
      <c r="M742">
        <v>415800</v>
      </c>
      <c r="N742" t="s">
        <v>22</v>
      </c>
      <c r="O742" t="s">
        <v>35</v>
      </c>
      <c r="P742" t="s">
        <v>24</v>
      </c>
      <c r="Q742" t="str">
        <f>TEXT(clean_data[[#This Row],[Date]],"mmm")</f>
        <v>Mar</v>
      </c>
      <c r="R742">
        <f>YEAR(clean_data[[#This Row],[Date]])</f>
        <v>2023</v>
      </c>
      <c r="S742" s="2">
        <f>clean_data[[#This Row],[Profit]]/clean_data[[#This Row],[Revenue]]</f>
        <v>0.55000000000000004</v>
      </c>
      <c r="T742" t="str" cm="1">
        <f t="array" ref="T742">_xlfn.IFS(clean_data[[#This Row],[Revenue]]&lt;300000,"Small",
     clean_data[[#This Row],[Revenue]]&lt;700000,"Medium",
     TRUE,"Large")</f>
        <v>Large</v>
      </c>
      <c r="U742" t="str" cm="1">
        <f t="array" ref="U742">_xlfn.IFS(clean_data[[#This Row],[profit margin%]]&lt;0.5,"Low Profit",
     clean_data[[#This Row],[profit margin%]]&lt;0.6,"Medium Profit",
     TRUE,"High Profit")</f>
        <v>Medium Profit</v>
      </c>
      <c r="V742" t="str">
        <f>TEXT(clean_data[[#This Row],[Date]],"mmm-yyyy")</f>
        <v>Mar-2023</v>
      </c>
      <c r="W742" s="8">
        <f>EOMONTH(clean_data[[#This Row],[Date]],-1)+1</f>
        <v>44986</v>
      </c>
    </row>
    <row r="743" spans="1:23" x14ac:dyDescent="0.3">
      <c r="A743" t="s">
        <v>815</v>
      </c>
      <c r="B743" s="1">
        <v>45156</v>
      </c>
      <c r="C743" t="s">
        <v>26</v>
      </c>
      <c r="D743" t="s">
        <v>27</v>
      </c>
      <c r="E743" t="s">
        <v>19</v>
      </c>
      <c r="F743" t="s">
        <v>28</v>
      </c>
      <c r="G743" t="s">
        <v>29</v>
      </c>
      <c r="H743">
        <v>34</v>
      </c>
      <c r="I743">
        <v>15000</v>
      </c>
      <c r="J743">
        <v>5</v>
      </c>
      <c r="K743">
        <v>484500</v>
      </c>
      <c r="L743">
        <v>266475</v>
      </c>
      <c r="M743">
        <v>218025</v>
      </c>
      <c r="N743" t="s">
        <v>22</v>
      </c>
      <c r="O743" t="s">
        <v>35</v>
      </c>
      <c r="P743" t="s">
        <v>24</v>
      </c>
      <c r="Q743" t="str">
        <f>TEXT(clean_data[[#This Row],[Date]],"mmm")</f>
        <v>Aug</v>
      </c>
      <c r="R743">
        <f>YEAR(clean_data[[#This Row],[Date]])</f>
        <v>2023</v>
      </c>
      <c r="S743" s="2">
        <f>clean_data[[#This Row],[Profit]]/clean_data[[#This Row],[Revenue]]</f>
        <v>0.45</v>
      </c>
      <c r="T743" t="str" cm="1">
        <f t="array" ref="T743">_xlfn.IFS(clean_data[[#This Row],[Revenue]]&lt;300000,"Small",
     clean_data[[#This Row],[Revenue]]&lt;700000,"Medium",
     TRUE,"Large")</f>
        <v>Medium</v>
      </c>
      <c r="U743" t="str" cm="1">
        <f t="array" ref="U743">_xlfn.IFS(clean_data[[#This Row],[profit margin%]]&lt;0.5,"Low Profit",
     clean_data[[#This Row],[profit margin%]]&lt;0.6,"Medium Profit",
     TRUE,"High Profit")</f>
        <v>Low Profit</v>
      </c>
      <c r="V743" t="str">
        <f>TEXT(clean_data[[#This Row],[Date]],"mmm-yyyy")</f>
        <v>Aug-2023</v>
      </c>
      <c r="W743" s="8">
        <f>EOMONTH(clean_data[[#This Row],[Date]],-1)+1</f>
        <v>45139</v>
      </c>
    </row>
    <row r="744" spans="1:23" x14ac:dyDescent="0.3">
      <c r="A744" t="s">
        <v>816</v>
      </c>
      <c r="B744" s="1">
        <v>44795</v>
      </c>
      <c r="C744" t="s">
        <v>46</v>
      </c>
      <c r="D744" t="s">
        <v>47</v>
      </c>
      <c r="E744" t="s">
        <v>73</v>
      </c>
      <c r="F744" t="s">
        <v>20</v>
      </c>
      <c r="G744" t="s">
        <v>74</v>
      </c>
      <c r="H744">
        <v>46</v>
      </c>
      <c r="I744">
        <v>4200</v>
      </c>
      <c r="J744">
        <v>20</v>
      </c>
      <c r="K744">
        <v>154560</v>
      </c>
      <c r="L744">
        <v>61824</v>
      </c>
      <c r="M744">
        <v>92736</v>
      </c>
      <c r="N744" t="s">
        <v>30</v>
      </c>
      <c r="O744" t="s">
        <v>67</v>
      </c>
      <c r="P744" t="s">
        <v>24</v>
      </c>
      <c r="Q744" t="str">
        <f>TEXT(clean_data[[#This Row],[Date]],"mmm")</f>
        <v>Aug</v>
      </c>
      <c r="R744">
        <f>YEAR(clean_data[[#This Row],[Date]])</f>
        <v>2022</v>
      </c>
      <c r="S744" s="2">
        <f>clean_data[[#This Row],[Profit]]/clean_data[[#This Row],[Revenue]]</f>
        <v>0.6</v>
      </c>
      <c r="T744" t="str" cm="1">
        <f t="array" ref="T744">_xlfn.IFS(clean_data[[#This Row],[Revenue]]&lt;300000,"Small",
     clean_data[[#This Row],[Revenue]]&lt;700000,"Medium",
     TRUE,"Large")</f>
        <v>Small</v>
      </c>
      <c r="U744" t="str" cm="1">
        <f t="array" ref="U744">_xlfn.IFS(clean_data[[#This Row],[profit margin%]]&lt;0.5,"Low Profit",
     clean_data[[#This Row],[profit margin%]]&lt;0.6,"Medium Profit",
     TRUE,"High Profit")</f>
        <v>High Profit</v>
      </c>
      <c r="V744" t="str">
        <f>TEXT(clean_data[[#This Row],[Date]],"mmm-yyyy")</f>
        <v>Aug-2022</v>
      </c>
      <c r="W744" s="8">
        <f>EOMONTH(clean_data[[#This Row],[Date]],-1)+1</f>
        <v>44774</v>
      </c>
    </row>
    <row r="745" spans="1:23" x14ac:dyDescent="0.3">
      <c r="A745" t="s">
        <v>817</v>
      </c>
      <c r="B745" s="1">
        <v>45182</v>
      </c>
      <c r="C745" t="s">
        <v>26</v>
      </c>
      <c r="D745" t="s">
        <v>69</v>
      </c>
      <c r="E745" t="s">
        <v>56</v>
      </c>
      <c r="F745" t="s">
        <v>33</v>
      </c>
      <c r="G745" t="s">
        <v>48</v>
      </c>
      <c r="H745">
        <v>12</v>
      </c>
      <c r="I745">
        <v>1500</v>
      </c>
      <c r="J745">
        <v>15</v>
      </c>
      <c r="K745">
        <v>15300</v>
      </c>
      <c r="L745">
        <v>7650</v>
      </c>
      <c r="M745">
        <v>7650</v>
      </c>
      <c r="N745" t="s">
        <v>22</v>
      </c>
      <c r="O745" t="s">
        <v>50</v>
      </c>
      <c r="P745" t="s">
        <v>24</v>
      </c>
      <c r="Q745" t="str">
        <f>TEXT(clean_data[[#This Row],[Date]],"mmm")</f>
        <v>Sep</v>
      </c>
      <c r="R745">
        <f>YEAR(clean_data[[#This Row],[Date]])</f>
        <v>2023</v>
      </c>
      <c r="S745" s="2">
        <f>clean_data[[#This Row],[Profit]]/clean_data[[#This Row],[Revenue]]</f>
        <v>0.5</v>
      </c>
      <c r="T745" t="str" cm="1">
        <f t="array" ref="T745">_xlfn.IFS(clean_data[[#This Row],[Revenue]]&lt;300000,"Small",
     clean_data[[#This Row],[Revenue]]&lt;700000,"Medium",
     TRUE,"Large")</f>
        <v>Small</v>
      </c>
      <c r="U745" t="str" cm="1">
        <f t="array" ref="U745">_xlfn.IFS(clean_data[[#This Row],[profit margin%]]&lt;0.5,"Low Profit",
     clean_data[[#This Row],[profit margin%]]&lt;0.6,"Medium Profit",
     TRUE,"High Profit")</f>
        <v>Medium Profit</v>
      </c>
      <c r="V745" t="str">
        <f>TEXT(clean_data[[#This Row],[Date]],"mmm-yyyy")</f>
        <v>Sep-2023</v>
      </c>
      <c r="W745" s="8">
        <f>EOMONTH(clean_data[[#This Row],[Date]],-1)+1</f>
        <v>45170</v>
      </c>
    </row>
    <row r="746" spans="1:23" x14ac:dyDescent="0.3">
      <c r="A746" t="s">
        <v>818</v>
      </c>
      <c r="B746" s="1">
        <v>45300</v>
      </c>
      <c r="C746" t="s">
        <v>26</v>
      </c>
      <c r="D746" t="s">
        <v>27</v>
      </c>
      <c r="E746" t="s">
        <v>52</v>
      </c>
      <c r="F746" t="s">
        <v>20</v>
      </c>
      <c r="G746" t="s">
        <v>61</v>
      </c>
      <c r="H746">
        <v>10</v>
      </c>
      <c r="I746">
        <v>800</v>
      </c>
      <c r="J746">
        <v>5</v>
      </c>
      <c r="K746">
        <v>7600</v>
      </c>
      <c r="L746">
        <v>3040</v>
      </c>
      <c r="M746">
        <v>4560</v>
      </c>
      <c r="N746" t="s">
        <v>30</v>
      </c>
      <c r="O746" t="s">
        <v>44</v>
      </c>
      <c r="P746" t="s">
        <v>24</v>
      </c>
      <c r="Q746" t="str">
        <f>TEXT(clean_data[[#This Row],[Date]],"mmm")</f>
        <v>Jan</v>
      </c>
      <c r="R746">
        <f>YEAR(clean_data[[#This Row],[Date]])</f>
        <v>2024</v>
      </c>
      <c r="S746" s="2">
        <f>clean_data[[#This Row],[Profit]]/clean_data[[#This Row],[Revenue]]</f>
        <v>0.6</v>
      </c>
      <c r="T746" t="str" cm="1">
        <f t="array" ref="T746">_xlfn.IFS(clean_data[[#This Row],[Revenue]]&lt;300000,"Small",
     clean_data[[#This Row],[Revenue]]&lt;700000,"Medium",
     TRUE,"Large")</f>
        <v>Small</v>
      </c>
      <c r="U746" t="str" cm="1">
        <f t="array" ref="U746">_xlfn.IFS(clean_data[[#This Row],[profit margin%]]&lt;0.5,"Low Profit",
     clean_data[[#This Row],[profit margin%]]&lt;0.6,"Medium Profit",
     TRUE,"High Profit")</f>
        <v>High Profit</v>
      </c>
      <c r="V746" t="str">
        <f>TEXT(clean_data[[#This Row],[Date]],"mmm-yyyy")</f>
        <v>Jan-2024</v>
      </c>
      <c r="W746" s="8">
        <f>EOMONTH(clean_data[[#This Row],[Date]],-1)+1</f>
        <v>45292</v>
      </c>
    </row>
    <row r="747" spans="1:23" x14ac:dyDescent="0.3">
      <c r="A747" t="s">
        <v>819</v>
      </c>
      <c r="B747" s="1">
        <v>45152</v>
      </c>
      <c r="C747" t="s">
        <v>46</v>
      </c>
      <c r="D747" t="s">
        <v>47</v>
      </c>
      <c r="E747" t="s">
        <v>38</v>
      </c>
      <c r="F747" t="s">
        <v>33</v>
      </c>
      <c r="G747" t="s">
        <v>76</v>
      </c>
      <c r="H747">
        <v>2</v>
      </c>
      <c r="I747">
        <v>8500</v>
      </c>
      <c r="J747">
        <v>0</v>
      </c>
      <c r="K747">
        <v>17000</v>
      </c>
      <c r="L747">
        <v>8500</v>
      </c>
      <c r="M747">
        <v>8500</v>
      </c>
      <c r="N747" t="s">
        <v>49</v>
      </c>
      <c r="O747" t="s">
        <v>35</v>
      </c>
      <c r="P747" t="s">
        <v>24</v>
      </c>
      <c r="Q747" t="str">
        <f>TEXT(clean_data[[#This Row],[Date]],"mmm")</f>
        <v>Aug</v>
      </c>
      <c r="R747">
        <f>YEAR(clean_data[[#This Row],[Date]])</f>
        <v>2023</v>
      </c>
      <c r="S747" s="2">
        <f>clean_data[[#This Row],[Profit]]/clean_data[[#This Row],[Revenue]]</f>
        <v>0.5</v>
      </c>
      <c r="T747" t="str" cm="1">
        <f t="array" ref="T747">_xlfn.IFS(clean_data[[#This Row],[Revenue]]&lt;300000,"Small",
     clean_data[[#This Row],[Revenue]]&lt;700000,"Medium",
     TRUE,"Large")</f>
        <v>Small</v>
      </c>
      <c r="U747" t="str" cm="1">
        <f t="array" ref="U747">_xlfn.IFS(clean_data[[#This Row],[profit margin%]]&lt;0.5,"Low Profit",
     clean_data[[#This Row],[profit margin%]]&lt;0.6,"Medium Profit",
     TRUE,"High Profit")</f>
        <v>Medium Profit</v>
      </c>
      <c r="V747" t="str">
        <f>TEXT(clean_data[[#This Row],[Date]],"mmm-yyyy")</f>
        <v>Aug-2023</v>
      </c>
      <c r="W747" s="8">
        <f>EOMONTH(clean_data[[#This Row],[Date]],-1)+1</f>
        <v>45139</v>
      </c>
    </row>
    <row r="748" spans="1:23" x14ac:dyDescent="0.3">
      <c r="A748" t="s">
        <v>820</v>
      </c>
      <c r="B748" s="1">
        <v>45174</v>
      </c>
      <c r="C748" t="s">
        <v>58</v>
      </c>
      <c r="D748" t="s">
        <v>59</v>
      </c>
      <c r="E748" t="s">
        <v>73</v>
      </c>
      <c r="F748" t="s">
        <v>65</v>
      </c>
      <c r="G748" t="s">
        <v>117</v>
      </c>
      <c r="H748">
        <v>4</v>
      </c>
      <c r="I748">
        <v>1200</v>
      </c>
      <c r="J748">
        <v>5</v>
      </c>
      <c r="K748">
        <v>4560</v>
      </c>
      <c r="L748">
        <v>2052</v>
      </c>
      <c r="M748">
        <v>2508</v>
      </c>
      <c r="N748" t="s">
        <v>22</v>
      </c>
      <c r="O748" t="s">
        <v>67</v>
      </c>
      <c r="P748" t="s">
        <v>24</v>
      </c>
      <c r="Q748" t="str">
        <f>TEXT(clean_data[[#This Row],[Date]],"mmm")</f>
        <v>Sep</v>
      </c>
      <c r="R748">
        <f>YEAR(clean_data[[#This Row],[Date]])</f>
        <v>2023</v>
      </c>
      <c r="S748" s="2">
        <f>clean_data[[#This Row],[Profit]]/clean_data[[#This Row],[Revenue]]</f>
        <v>0.55000000000000004</v>
      </c>
      <c r="T748" t="str" cm="1">
        <f t="array" ref="T748">_xlfn.IFS(clean_data[[#This Row],[Revenue]]&lt;300000,"Small",
     clean_data[[#This Row],[Revenue]]&lt;700000,"Medium",
     TRUE,"Large")</f>
        <v>Small</v>
      </c>
      <c r="U748" t="str" cm="1">
        <f t="array" ref="U748">_xlfn.IFS(clean_data[[#This Row],[profit margin%]]&lt;0.5,"Low Profit",
     clean_data[[#This Row],[profit margin%]]&lt;0.6,"Medium Profit",
     TRUE,"High Profit")</f>
        <v>Medium Profit</v>
      </c>
      <c r="V748" t="str">
        <f>TEXT(clean_data[[#This Row],[Date]],"mmm-yyyy")</f>
        <v>Sep-2023</v>
      </c>
      <c r="W748" s="8">
        <f>EOMONTH(clean_data[[#This Row],[Date]],-1)+1</f>
        <v>45170</v>
      </c>
    </row>
    <row r="749" spans="1:23" x14ac:dyDescent="0.3">
      <c r="A749" t="s">
        <v>821</v>
      </c>
      <c r="B749" s="1">
        <v>45032</v>
      </c>
      <c r="C749" t="s">
        <v>58</v>
      </c>
      <c r="D749" t="s">
        <v>84</v>
      </c>
      <c r="E749" t="s">
        <v>73</v>
      </c>
      <c r="F749" t="s">
        <v>28</v>
      </c>
      <c r="G749" t="s">
        <v>71</v>
      </c>
      <c r="H749">
        <v>30</v>
      </c>
      <c r="I749">
        <v>35000</v>
      </c>
      <c r="J749">
        <v>20</v>
      </c>
      <c r="K749">
        <v>840000</v>
      </c>
      <c r="L749">
        <v>462000</v>
      </c>
      <c r="M749">
        <v>378000</v>
      </c>
      <c r="N749" t="s">
        <v>30</v>
      </c>
      <c r="O749" t="s">
        <v>23</v>
      </c>
      <c r="P749" t="s">
        <v>24</v>
      </c>
      <c r="Q749" t="str">
        <f>TEXT(clean_data[[#This Row],[Date]],"mmm")</f>
        <v>Apr</v>
      </c>
      <c r="R749">
        <f>YEAR(clean_data[[#This Row],[Date]])</f>
        <v>2023</v>
      </c>
      <c r="S749" s="2">
        <f>clean_data[[#This Row],[Profit]]/clean_data[[#This Row],[Revenue]]</f>
        <v>0.45</v>
      </c>
      <c r="T749" t="str" cm="1">
        <f t="array" ref="T749">_xlfn.IFS(clean_data[[#This Row],[Revenue]]&lt;300000,"Small",
     clean_data[[#This Row],[Revenue]]&lt;700000,"Medium",
     TRUE,"Large")</f>
        <v>Large</v>
      </c>
      <c r="U749" t="str" cm="1">
        <f t="array" ref="U749">_xlfn.IFS(clean_data[[#This Row],[profit margin%]]&lt;0.5,"Low Profit",
     clean_data[[#This Row],[profit margin%]]&lt;0.6,"Medium Profit",
     TRUE,"High Profit")</f>
        <v>Low Profit</v>
      </c>
      <c r="V749" t="str">
        <f>TEXT(clean_data[[#This Row],[Date]],"mmm-yyyy")</f>
        <v>Apr-2023</v>
      </c>
      <c r="W749" s="8">
        <f>EOMONTH(clean_data[[#This Row],[Date]],-1)+1</f>
        <v>45017</v>
      </c>
    </row>
    <row r="750" spans="1:23" x14ac:dyDescent="0.3">
      <c r="A750" t="s">
        <v>822</v>
      </c>
      <c r="B750" s="1">
        <v>44606</v>
      </c>
      <c r="C750" t="s">
        <v>46</v>
      </c>
      <c r="D750" t="s">
        <v>47</v>
      </c>
      <c r="E750" t="s">
        <v>73</v>
      </c>
      <c r="F750" t="s">
        <v>28</v>
      </c>
      <c r="G750" t="s">
        <v>87</v>
      </c>
      <c r="H750">
        <v>49</v>
      </c>
      <c r="I750">
        <v>45000</v>
      </c>
      <c r="J750">
        <v>20</v>
      </c>
      <c r="K750">
        <v>1764000</v>
      </c>
      <c r="L750">
        <v>970200</v>
      </c>
      <c r="M750">
        <v>793800</v>
      </c>
      <c r="N750" t="s">
        <v>49</v>
      </c>
      <c r="O750" t="s">
        <v>67</v>
      </c>
      <c r="P750" t="s">
        <v>24</v>
      </c>
      <c r="Q750" t="str">
        <f>TEXT(clean_data[[#This Row],[Date]],"mmm")</f>
        <v>Feb</v>
      </c>
      <c r="R750">
        <f>YEAR(clean_data[[#This Row],[Date]])</f>
        <v>2022</v>
      </c>
      <c r="S750" s="2">
        <f>clean_data[[#This Row],[Profit]]/clean_data[[#This Row],[Revenue]]</f>
        <v>0.45</v>
      </c>
      <c r="T750" t="str" cm="1">
        <f t="array" ref="T750">_xlfn.IFS(clean_data[[#This Row],[Revenue]]&lt;300000,"Small",
     clean_data[[#This Row],[Revenue]]&lt;700000,"Medium",
     TRUE,"Large")</f>
        <v>Large</v>
      </c>
      <c r="U750" t="str" cm="1">
        <f t="array" ref="U750">_xlfn.IFS(clean_data[[#This Row],[profit margin%]]&lt;0.5,"Low Profit",
     clean_data[[#This Row],[profit margin%]]&lt;0.6,"Medium Profit",
     TRUE,"High Profit")</f>
        <v>Low Profit</v>
      </c>
      <c r="V750" t="str">
        <f>TEXT(clean_data[[#This Row],[Date]],"mmm-yyyy")</f>
        <v>Feb-2022</v>
      </c>
      <c r="W750" s="8">
        <f>EOMONTH(clean_data[[#This Row],[Date]],-1)+1</f>
        <v>44593</v>
      </c>
    </row>
    <row r="751" spans="1:23" x14ac:dyDescent="0.3">
      <c r="A751" t="s">
        <v>823</v>
      </c>
      <c r="B751" s="1">
        <v>45366</v>
      </c>
      <c r="C751" t="s">
        <v>26</v>
      </c>
      <c r="D751" t="s">
        <v>27</v>
      </c>
      <c r="E751" t="s">
        <v>78</v>
      </c>
      <c r="F751" t="s">
        <v>33</v>
      </c>
      <c r="G751" t="s">
        <v>43</v>
      </c>
      <c r="H751">
        <v>11</v>
      </c>
      <c r="I751">
        <v>4000</v>
      </c>
      <c r="J751">
        <v>5</v>
      </c>
      <c r="K751">
        <v>41800</v>
      </c>
      <c r="L751">
        <v>20900</v>
      </c>
      <c r="M751">
        <v>20900</v>
      </c>
      <c r="N751" t="s">
        <v>49</v>
      </c>
      <c r="O751" t="s">
        <v>67</v>
      </c>
      <c r="P751" t="s">
        <v>40</v>
      </c>
      <c r="Q751" t="str">
        <f>TEXT(clean_data[[#This Row],[Date]],"mmm")</f>
        <v>Mar</v>
      </c>
      <c r="R751">
        <f>YEAR(clean_data[[#This Row],[Date]])</f>
        <v>2024</v>
      </c>
      <c r="S751" s="2">
        <f>clean_data[[#This Row],[Profit]]/clean_data[[#This Row],[Revenue]]</f>
        <v>0.5</v>
      </c>
      <c r="T751" t="str" cm="1">
        <f t="array" ref="T751">_xlfn.IFS(clean_data[[#This Row],[Revenue]]&lt;300000,"Small",
     clean_data[[#This Row],[Revenue]]&lt;700000,"Medium",
     TRUE,"Large")</f>
        <v>Small</v>
      </c>
      <c r="U751" t="str" cm="1">
        <f t="array" ref="U751">_xlfn.IFS(clean_data[[#This Row],[profit margin%]]&lt;0.5,"Low Profit",
     clean_data[[#This Row],[profit margin%]]&lt;0.6,"Medium Profit",
     TRUE,"High Profit")</f>
        <v>Medium Profit</v>
      </c>
      <c r="V751" t="str">
        <f>TEXT(clean_data[[#This Row],[Date]],"mmm-yyyy")</f>
        <v>Mar-2024</v>
      </c>
      <c r="W751" s="8">
        <f>EOMONTH(clean_data[[#This Row],[Date]],-1)+1</f>
        <v>45352</v>
      </c>
    </row>
    <row r="752" spans="1:23" x14ac:dyDescent="0.3">
      <c r="A752" t="s">
        <v>824</v>
      </c>
      <c r="B752" s="1">
        <v>45414</v>
      </c>
      <c r="C752" t="s">
        <v>26</v>
      </c>
      <c r="D752" t="s">
        <v>69</v>
      </c>
      <c r="E752" t="s">
        <v>38</v>
      </c>
      <c r="F752" t="s">
        <v>33</v>
      </c>
      <c r="G752" t="s">
        <v>76</v>
      </c>
      <c r="H752">
        <v>1</v>
      </c>
      <c r="I752">
        <v>8500</v>
      </c>
      <c r="J752">
        <v>0</v>
      </c>
      <c r="K752">
        <v>8500</v>
      </c>
      <c r="L752">
        <v>4250</v>
      </c>
      <c r="M752">
        <v>4250</v>
      </c>
      <c r="N752" t="s">
        <v>49</v>
      </c>
      <c r="O752" t="s">
        <v>67</v>
      </c>
      <c r="P752" t="s">
        <v>24</v>
      </c>
      <c r="Q752" t="str">
        <f>TEXT(clean_data[[#This Row],[Date]],"mmm")</f>
        <v>May</v>
      </c>
      <c r="R752">
        <f>YEAR(clean_data[[#This Row],[Date]])</f>
        <v>2024</v>
      </c>
      <c r="S752" s="2">
        <f>clean_data[[#This Row],[Profit]]/clean_data[[#This Row],[Revenue]]</f>
        <v>0.5</v>
      </c>
      <c r="T752" t="str" cm="1">
        <f t="array" ref="T752">_xlfn.IFS(clean_data[[#This Row],[Revenue]]&lt;300000,"Small",
     clean_data[[#This Row],[Revenue]]&lt;700000,"Medium",
     TRUE,"Large")</f>
        <v>Small</v>
      </c>
      <c r="U752" t="str" cm="1">
        <f t="array" ref="U752">_xlfn.IFS(clean_data[[#This Row],[profit margin%]]&lt;0.5,"Low Profit",
     clean_data[[#This Row],[profit margin%]]&lt;0.6,"Medium Profit",
     TRUE,"High Profit")</f>
        <v>Medium Profit</v>
      </c>
      <c r="V752" t="str">
        <f>TEXT(clean_data[[#This Row],[Date]],"mmm-yyyy")</f>
        <v>May-2024</v>
      </c>
      <c r="W752" s="8">
        <f>EOMONTH(clean_data[[#This Row],[Date]],-1)+1</f>
        <v>45413</v>
      </c>
    </row>
    <row r="753" spans="1:23" x14ac:dyDescent="0.3">
      <c r="A753" t="s">
        <v>825</v>
      </c>
      <c r="B753" s="1">
        <v>45073</v>
      </c>
      <c r="C753" t="s">
        <v>58</v>
      </c>
      <c r="D753" t="s">
        <v>59</v>
      </c>
      <c r="E753" t="s">
        <v>19</v>
      </c>
      <c r="F753" t="s">
        <v>33</v>
      </c>
      <c r="G753" t="s">
        <v>39</v>
      </c>
      <c r="H753">
        <v>11</v>
      </c>
      <c r="I753">
        <v>5000</v>
      </c>
      <c r="J753">
        <v>20</v>
      </c>
      <c r="K753">
        <v>44000</v>
      </c>
      <c r="L753">
        <v>22000</v>
      </c>
      <c r="M753">
        <v>22000</v>
      </c>
      <c r="N753" t="s">
        <v>30</v>
      </c>
      <c r="O753" t="s">
        <v>50</v>
      </c>
      <c r="P753" t="s">
        <v>40</v>
      </c>
      <c r="Q753" t="str">
        <f>TEXT(clean_data[[#This Row],[Date]],"mmm")</f>
        <v>May</v>
      </c>
      <c r="R753">
        <f>YEAR(clean_data[[#This Row],[Date]])</f>
        <v>2023</v>
      </c>
      <c r="S753" s="2">
        <f>clean_data[[#This Row],[Profit]]/clean_data[[#This Row],[Revenue]]</f>
        <v>0.5</v>
      </c>
      <c r="T753" t="str" cm="1">
        <f t="array" ref="T753">_xlfn.IFS(clean_data[[#This Row],[Revenue]]&lt;300000,"Small",
     clean_data[[#This Row],[Revenue]]&lt;700000,"Medium",
     TRUE,"Large")</f>
        <v>Small</v>
      </c>
      <c r="U753" t="str" cm="1">
        <f t="array" ref="U753">_xlfn.IFS(clean_data[[#This Row],[profit margin%]]&lt;0.5,"Low Profit",
     clean_data[[#This Row],[profit margin%]]&lt;0.6,"Medium Profit",
     TRUE,"High Profit")</f>
        <v>Medium Profit</v>
      </c>
      <c r="V753" t="str">
        <f>TEXT(clean_data[[#This Row],[Date]],"mmm-yyyy")</f>
        <v>May-2023</v>
      </c>
      <c r="W753" s="8">
        <f>EOMONTH(clean_data[[#This Row],[Date]],-1)+1</f>
        <v>45047</v>
      </c>
    </row>
    <row r="754" spans="1:23" x14ac:dyDescent="0.3">
      <c r="A754" t="s">
        <v>826</v>
      </c>
      <c r="B754" s="1">
        <v>44725</v>
      </c>
      <c r="C754" t="s">
        <v>26</v>
      </c>
      <c r="D754" t="s">
        <v>27</v>
      </c>
      <c r="E754" t="s">
        <v>111</v>
      </c>
      <c r="F754" t="s">
        <v>33</v>
      </c>
      <c r="G754" t="s">
        <v>48</v>
      </c>
      <c r="H754">
        <v>14</v>
      </c>
      <c r="I754">
        <v>1500</v>
      </c>
      <c r="J754">
        <v>20</v>
      </c>
      <c r="K754">
        <v>16800</v>
      </c>
      <c r="L754">
        <v>8400</v>
      </c>
      <c r="M754">
        <v>8400</v>
      </c>
      <c r="N754" t="s">
        <v>49</v>
      </c>
      <c r="O754" t="s">
        <v>50</v>
      </c>
      <c r="P754" t="s">
        <v>40</v>
      </c>
      <c r="Q754" t="str">
        <f>TEXT(clean_data[[#This Row],[Date]],"mmm")</f>
        <v>Jun</v>
      </c>
      <c r="R754">
        <f>YEAR(clean_data[[#This Row],[Date]])</f>
        <v>2022</v>
      </c>
      <c r="S754" s="2">
        <f>clean_data[[#This Row],[Profit]]/clean_data[[#This Row],[Revenue]]</f>
        <v>0.5</v>
      </c>
      <c r="T754" t="str" cm="1">
        <f t="array" ref="T754">_xlfn.IFS(clean_data[[#This Row],[Revenue]]&lt;300000,"Small",
     clean_data[[#This Row],[Revenue]]&lt;700000,"Medium",
     TRUE,"Large")</f>
        <v>Small</v>
      </c>
      <c r="U754" t="str" cm="1">
        <f t="array" ref="U754">_xlfn.IFS(clean_data[[#This Row],[profit margin%]]&lt;0.5,"Low Profit",
     clean_data[[#This Row],[profit margin%]]&lt;0.6,"Medium Profit",
     TRUE,"High Profit")</f>
        <v>Medium Profit</v>
      </c>
      <c r="V754" t="str">
        <f>TEXT(clean_data[[#This Row],[Date]],"mmm-yyyy")</f>
        <v>Jun-2022</v>
      </c>
      <c r="W754" s="8">
        <f>EOMONTH(clean_data[[#This Row],[Date]],-1)+1</f>
        <v>44713</v>
      </c>
    </row>
    <row r="755" spans="1:23" x14ac:dyDescent="0.3">
      <c r="A755" t="s">
        <v>827</v>
      </c>
      <c r="B755" s="1">
        <v>45071</v>
      </c>
      <c r="C755" t="s">
        <v>58</v>
      </c>
      <c r="D755" t="s">
        <v>59</v>
      </c>
      <c r="E755" t="s">
        <v>19</v>
      </c>
      <c r="F755" t="s">
        <v>33</v>
      </c>
      <c r="G755" t="s">
        <v>34</v>
      </c>
      <c r="H755">
        <v>14</v>
      </c>
      <c r="I755">
        <v>25000</v>
      </c>
      <c r="J755">
        <v>15</v>
      </c>
      <c r="K755">
        <v>297500</v>
      </c>
      <c r="L755">
        <v>148750</v>
      </c>
      <c r="M755">
        <v>148750</v>
      </c>
      <c r="N755" t="s">
        <v>49</v>
      </c>
      <c r="O755" t="s">
        <v>35</v>
      </c>
      <c r="P755" t="s">
        <v>40</v>
      </c>
      <c r="Q755" t="str">
        <f>TEXT(clean_data[[#This Row],[Date]],"mmm")</f>
        <v>May</v>
      </c>
      <c r="R755">
        <f>YEAR(clean_data[[#This Row],[Date]])</f>
        <v>2023</v>
      </c>
      <c r="S755" s="2">
        <f>clean_data[[#This Row],[Profit]]/clean_data[[#This Row],[Revenue]]</f>
        <v>0.5</v>
      </c>
      <c r="T755" t="str" cm="1">
        <f t="array" ref="T755">_xlfn.IFS(clean_data[[#This Row],[Revenue]]&lt;300000,"Small",
     clean_data[[#This Row],[Revenue]]&lt;700000,"Medium",
     TRUE,"Large")</f>
        <v>Small</v>
      </c>
      <c r="U755" t="str" cm="1">
        <f t="array" ref="U755">_xlfn.IFS(clean_data[[#This Row],[profit margin%]]&lt;0.5,"Low Profit",
     clean_data[[#This Row],[profit margin%]]&lt;0.6,"Medium Profit",
     TRUE,"High Profit")</f>
        <v>Medium Profit</v>
      </c>
      <c r="V755" t="str">
        <f>TEXT(clean_data[[#This Row],[Date]],"mmm-yyyy")</f>
        <v>May-2023</v>
      </c>
      <c r="W755" s="8">
        <f>EOMONTH(clean_data[[#This Row],[Date]],-1)+1</f>
        <v>45047</v>
      </c>
    </row>
    <row r="756" spans="1:23" x14ac:dyDescent="0.3">
      <c r="A756" t="s">
        <v>828</v>
      </c>
      <c r="B756" s="1">
        <v>44825</v>
      </c>
      <c r="C756" t="s">
        <v>26</v>
      </c>
      <c r="D756" t="s">
        <v>69</v>
      </c>
      <c r="E756" t="s">
        <v>56</v>
      </c>
      <c r="F756" t="s">
        <v>28</v>
      </c>
      <c r="G756" t="s">
        <v>87</v>
      </c>
      <c r="H756">
        <v>27</v>
      </c>
      <c r="I756">
        <v>45000</v>
      </c>
      <c r="J756">
        <v>20</v>
      </c>
      <c r="K756">
        <v>972000</v>
      </c>
      <c r="L756">
        <v>534600</v>
      </c>
      <c r="M756">
        <v>437400</v>
      </c>
      <c r="N756" t="s">
        <v>49</v>
      </c>
      <c r="O756" t="s">
        <v>67</v>
      </c>
      <c r="P756" t="s">
        <v>24</v>
      </c>
      <c r="Q756" t="str">
        <f>TEXT(clean_data[[#This Row],[Date]],"mmm")</f>
        <v>Sep</v>
      </c>
      <c r="R756">
        <f>YEAR(clean_data[[#This Row],[Date]])</f>
        <v>2022</v>
      </c>
      <c r="S756" s="2">
        <f>clean_data[[#This Row],[Profit]]/clean_data[[#This Row],[Revenue]]</f>
        <v>0.45</v>
      </c>
      <c r="T756" t="str" cm="1">
        <f t="array" ref="T756">_xlfn.IFS(clean_data[[#This Row],[Revenue]]&lt;300000,"Small",
     clean_data[[#This Row],[Revenue]]&lt;700000,"Medium",
     TRUE,"Large")</f>
        <v>Large</v>
      </c>
      <c r="U756" t="str" cm="1">
        <f t="array" ref="U756">_xlfn.IFS(clean_data[[#This Row],[profit margin%]]&lt;0.5,"Low Profit",
     clean_data[[#This Row],[profit margin%]]&lt;0.6,"Medium Profit",
     TRUE,"High Profit")</f>
        <v>Low Profit</v>
      </c>
      <c r="V756" t="str">
        <f>TEXT(clean_data[[#This Row],[Date]],"mmm-yyyy")</f>
        <v>Sep-2022</v>
      </c>
      <c r="W756" s="8">
        <f>EOMONTH(clean_data[[#This Row],[Date]],-1)+1</f>
        <v>44805</v>
      </c>
    </row>
    <row r="757" spans="1:23" x14ac:dyDescent="0.3">
      <c r="A757" t="s">
        <v>829</v>
      </c>
      <c r="B757" s="1">
        <v>44738</v>
      </c>
      <c r="C757" t="s">
        <v>26</v>
      </c>
      <c r="D757" t="s">
        <v>27</v>
      </c>
      <c r="E757" t="s">
        <v>60</v>
      </c>
      <c r="F757" t="s">
        <v>28</v>
      </c>
      <c r="G757" t="s">
        <v>71</v>
      </c>
      <c r="H757">
        <v>25</v>
      </c>
      <c r="I757">
        <v>35000</v>
      </c>
      <c r="J757">
        <v>20</v>
      </c>
      <c r="K757">
        <v>700000</v>
      </c>
      <c r="L757">
        <v>385000</v>
      </c>
      <c r="M757">
        <v>315000</v>
      </c>
      <c r="N757" t="s">
        <v>49</v>
      </c>
      <c r="O757" t="s">
        <v>44</v>
      </c>
      <c r="P757" t="s">
        <v>24</v>
      </c>
      <c r="Q757" t="str">
        <f>TEXT(clean_data[[#This Row],[Date]],"mmm")</f>
        <v>Jun</v>
      </c>
      <c r="R757">
        <f>YEAR(clean_data[[#This Row],[Date]])</f>
        <v>2022</v>
      </c>
      <c r="S757" s="2">
        <f>clean_data[[#This Row],[Profit]]/clean_data[[#This Row],[Revenue]]</f>
        <v>0.45</v>
      </c>
      <c r="T757" t="str" cm="1">
        <f t="array" ref="T757">_xlfn.IFS(clean_data[[#This Row],[Revenue]]&lt;300000,"Small",
     clean_data[[#This Row],[Revenue]]&lt;700000,"Medium",
     TRUE,"Large")</f>
        <v>Large</v>
      </c>
      <c r="U757" t="str" cm="1">
        <f t="array" ref="U757">_xlfn.IFS(clean_data[[#This Row],[profit margin%]]&lt;0.5,"Low Profit",
     clean_data[[#This Row],[profit margin%]]&lt;0.6,"Medium Profit",
     TRUE,"High Profit")</f>
        <v>Low Profit</v>
      </c>
      <c r="V757" t="str">
        <f>TEXT(clean_data[[#This Row],[Date]],"mmm-yyyy")</f>
        <v>Jun-2022</v>
      </c>
      <c r="W757" s="8">
        <f>EOMONTH(clean_data[[#This Row],[Date]],-1)+1</f>
        <v>44713</v>
      </c>
    </row>
    <row r="758" spans="1:23" x14ac:dyDescent="0.3">
      <c r="A758" t="s">
        <v>830</v>
      </c>
      <c r="B758" s="1">
        <v>44565</v>
      </c>
      <c r="C758" t="s">
        <v>58</v>
      </c>
      <c r="D758" t="s">
        <v>59</v>
      </c>
      <c r="E758" t="s">
        <v>19</v>
      </c>
      <c r="F758" t="s">
        <v>65</v>
      </c>
      <c r="G758" t="s">
        <v>117</v>
      </c>
      <c r="H758">
        <v>15</v>
      </c>
      <c r="I758">
        <v>1200</v>
      </c>
      <c r="J758">
        <v>0</v>
      </c>
      <c r="K758">
        <v>18000</v>
      </c>
      <c r="L758">
        <v>8100</v>
      </c>
      <c r="M758">
        <v>9900</v>
      </c>
      <c r="N758" t="s">
        <v>22</v>
      </c>
      <c r="O758" t="s">
        <v>50</v>
      </c>
      <c r="P758" t="s">
        <v>24</v>
      </c>
      <c r="Q758" t="str">
        <f>TEXT(clean_data[[#This Row],[Date]],"mmm")</f>
        <v>Jan</v>
      </c>
      <c r="R758">
        <f>YEAR(clean_data[[#This Row],[Date]])</f>
        <v>2022</v>
      </c>
      <c r="S758" s="2">
        <f>clean_data[[#This Row],[Profit]]/clean_data[[#This Row],[Revenue]]</f>
        <v>0.55000000000000004</v>
      </c>
      <c r="T758" t="str" cm="1">
        <f t="array" ref="T758">_xlfn.IFS(clean_data[[#This Row],[Revenue]]&lt;300000,"Small",
     clean_data[[#This Row],[Revenue]]&lt;700000,"Medium",
     TRUE,"Large")</f>
        <v>Small</v>
      </c>
      <c r="U758" t="str" cm="1">
        <f t="array" ref="U758">_xlfn.IFS(clean_data[[#This Row],[profit margin%]]&lt;0.5,"Low Profit",
     clean_data[[#This Row],[profit margin%]]&lt;0.6,"Medium Profit",
     TRUE,"High Profit")</f>
        <v>Medium Profit</v>
      </c>
      <c r="V758" t="str">
        <f>TEXT(clean_data[[#This Row],[Date]],"mmm-yyyy")</f>
        <v>Jan-2022</v>
      </c>
      <c r="W758" s="8">
        <f>EOMONTH(clean_data[[#This Row],[Date]],-1)+1</f>
        <v>44562</v>
      </c>
    </row>
    <row r="759" spans="1:23" x14ac:dyDescent="0.3">
      <c r="A759" t="s">
        <v>831</v>
      </c>
      <c r="B759" s="1">
        <v>44929</v>
      </c>
      <c r="C759" t="s">
        <v>17</v>
      </c>
      <c r="D759" t="s">
        <v>42</v>
      </c>
      <c r="E759" t="s">
        <v>19</v>
      </c>
      <c r="F759" t="s">
        <v>20</v>
      </c>
      <c r="G759" t="s">
        <v>115</v>
      </c>
      <c r="H759">
        <v>24</v>
      </c>
      <c r="I759">
        <v>2500</v>
      </c>
      <c r="J759">
        <v>0</v>
      </c>
      <c r="K759">
        <v>60000</v>
      </c>
      <c r="L759">
        <v>24000</v>
      </c>
      <c r="M759">
        <v>36000</v>
      </c>
      <c r="N759" t="s">
        <v>49</v>
      </c>
      <c r="O759" t="s">
        <v>67</v>
      </c>
      <c r="P759" t="s">
        <v>24</v>
      </c>
      <c r="Q759" t="str">
        <f>TEXT(clean_data[[#This Row],[Date]],"mmm")</f>
        <v>Jan</v>
      </c>
      <c r="R759">
        <f>YEAR(clean_data[[#This Row],[Date]])</f>
        <v>2023</v>
      </c>
      <c r="S759" s="2">
        <f>clean_data[[#This Row],[Profit]]/clean_data[[#This Row],[Revenue]]</f>
        <v>0.6</v>
      </c>
      <c r="T759" t="str" cm="1">
        <f t="array" ref="T759">_xlfn.IFS(clean_data[[#This Row],[Revenue]]&lt;300000,"Small",
     clean_data[[#This Row],[Revenue]]&lt;700000,"Medium",
     TRUE,"Large")</f>
        <v>Small</v>
      </c>
      <c r="U759" t="str" cm="1">
        <f t="array" ref="U759">_xlfn.IFS(clean_data[[#This Row],[profit margin%]]&lt;0.5,"Low Profit",
     clean_data[[#This Row],[profit margin%]]&lt;0.6,"Medium Profit",
     TRUE,"High Profit")</f>
        <v>High Profit</v>
      </c>
      <c r="V759" t="str">
        <f>TEXT(clean_data[[#This Row],[Date]],"mmm-yyyy")</f>
        <v>Jan-2023</v>
      </c>
      <c r="W759" s="8">
        <f>EOMONTH(clean_data[[#This Row],[Date]],-1)+1</f>
        <v>44927</v>
      </c>
    </row>
    <row r="760" spans="1:23" x14ac:dyDescent="0.3">
      <c r="A760" t="s">
        <v>832</v>
      </c>
      <c r="B760" s="1">
        <v>44958</v>
      </c>
      <c r="C760" t="s">
        <v>46</v>
      </c>
      <c r="D760" t="s">
        <v>55</v>
      </c>
      <c r="E760" t="s">
        <v>52</v>
      </c>
      <c r="F760" t="s">
        <v>33</v>
      </c>
      <c r="G760" t="s">
        <v>43</v>
      </c>
      <c r="H760">
        <v>33</v>
      </c>
      <c r="I760">
        <v>4000</v>
      </c>
      <c r="J760">
        <v>15</v>
      </c>
      <c r="K760">
        <v>112200</v>
      </c>
      <c r="L760">
        <v>56100</v>
      </c>
      <c r="M760">
        <v>56100</v>
      </c>
      <c r="N760" t="s">
        <v>22</v>
      </c>
      <c r="O760" t="s">
        <v>44</v>
      </c>
      <c r="P760" t="s">
        <v>24</v>
      </c>
      <c r="Q760" t="str">
        <f>TEXT(clean_data[[#This Row],[Date]],"mmm")</f>
        <v>Feb</v>
      </c>
      <c r="R760">
        <f>YEAR(clean_data[[#This Row],[Date]])</f>
        <v>2023</v>
      </c>
      <c r="S760" s="2">
        <f>clean_data[[#This Row],[Profit]]/clean_data[[#This Row],[Revenue]]</f>
        <v>0.5</v>
      </c>
      <c r="T760" t="str" cm="1">
        <f t="array" ref="T760">_xlfn.IFS(clean_data[[#This Row],[Revenue]]&lt;300000,"Small",
     clean_data[[#This Row],[Revenue]]&lt;700000,"Medium",
     TRUE,"Large")</f>
        <v>Small</v>
      </c>
      <c r="U760" t="str" cm="1">
        <f t="array" ref="U760">_xlfn.IFS(clean_data[[#This Row],[profit margin%]]&lt;0.5,"Low Profit",
     clean_data[[#This Row],[profit margin%]]&lt;0.6,"Medium Profit",
     TRUE,"High Profit")</f>
        <v>Medium Profit</v>
      </c>
      <c r="V760" t="str">
        <f>TEXT(clean_data[[#This Row],[Date]],"mmm-yyyy")</f>
        <v>Feb-2023</v>
      </c>
      <c r="W760" s="8">
        <f>EOMONTH(clean_data[[#This Row],[Date]],-1)+1</f>
        <v>44958</v>
      </c>
    </row>
    <row r="761" spans="1:23" x14ac:dyDescent="0.3">
      <c r="A761" t="s">
        <v>833</v>
      </c>
      <c r="B761" s="1">
        <v>44898</v>
      </c>
      <c r="C761" t="s">
        <v>46</v>
      </c>
      <c r="D761" t="s">
        <v>47</v>
      </c>
      <c r="E761" t="s">
        <v>78</v>
      </c>
      <c r="F761" t="s">
        <v>33</v>
      </c>
      <c r="G761" t="s">
        <v>43</v>
      </c>
      <c r="H761">
        <v>15</v>
      </c>
      <c r="I761">
        <v>4000</v>
      </c>
      <c r="J761">
        <v>20</v>
      </c>
      <c r="K761">
        <v>48000</v>
      </c>
      <c r="L761">
        <v>24000</v>
      </c>
      <c r="M761">
        <v>24000</v>
      </c>
      <c r="N761" t="s">
        <v>30</v>
      </c>
      <c r="O761" t="s">
        <v>35</v>
      </c>
      <c r="P761" t="s">
        <v>24</v>
      </c>
      <c r="Q761" t="str">
        <f>TEXT(clean_data[[#This Row],[Date]],"mmm")</f>
        <v>Dec</v>
      </c>
      <c r="R761">
        <f>YEAR(clean_data[[#This Row],[Date]])</f>
        <v>2022</v>
      </c>
      <c r="S761" s="2">
        <f>clean_data[[#This Row],[Profit]]/clean_data[[#This Row],[Revenue]]</f>
        <v>0.5</v>
      </c>
      <c r="T761" t="str" cm="1">
        <f t="array" ref="T761">_xlfn.IFS(clean_data[[#This Row],[Revenue]]&lt;300000,"Small",
     clean_data[[#This Row],[Revenue]]&lt;700000,"Medium",
     TRUE,"Large")</f>
        <v>Small</v>
      </c>
      <c r="U761" t="str" cm="1">
        <f t="array" ref="U761">_xlfn.IFS(clean_data[[#This Row],[profit margin%]]&lt;0.5,"Low Profit",
     clean_data[[#This Row],[profit margin%]]&lt;0.6,"Medium Profit",
     TRUE,"High Profit")</f>
        <v>Medium Profit</v>
      </c>
      <c r="V761" t="str">
        <f>TEXT(clean_data[[#This Row],[Date]],"mmm-yyyy")</f>
        <v>Dec-2022</v>
      </c>
      <c r="W761" s="8">
        <f>EOMONTH(clean_data[[#This Row],[Date]],-1)+1</f>
        <v>44896</v>
      </c>
    </row>
    <row r="762" spans="1:23" x14ac:dyDescent="0.3">
      <c r="A762" t="s">
        <v>834</v>
      </c>
      <c r="B762" s="1">
        <v>45616</v>
      </c>
      <c r="C762" t="s">
        <v>17</v>
      </c>
      <c r="D762" t="s">
        <v>42</v>
      </c>
      <c r="E762" t="s">
        <v>111</v>
      </c>
      <c r="F762" t="s">
        <v>65</v>
      </c>
      <c r="G762" t="s">
        <v>117</v>
      </c>
      <c r="H762">
        <v>28</v>
      </c>
      <c r="I762">
        <v>1200</v>
      </c>
      <c r="J762">
        <v>0</v>
      </c>
      <c r="K762">
        <v>33600</v>
      </c>
      <c r="L762">
        <v>15120</v>
      </c>
      <c r="M762">
        <v>18480</v>
      </c>
      <c r="N762" t="s">
        <v>49</v>
      </c>
      <c r="O762" t="s">
        <v>23</v>
      </c>
      <c r="P762" t="s">
        <v>24</v>
      </c>
      <c r="Q762" t="str">
        <f>TEXT(clean_data[[#This Row],[Date]],"mmm")</f>
        <v>Nov</v>
      </c>
      <c r="R762">
        <f>YEAR(clean_data[[#This Row],[Date]])</f>
        <v>2024</v>
      </c>
      <c r="S762" s="2">
        <f>clean_data[[#This Row],[Profit]]/clean_data[[#This Row],[Revenue]]</f>
        <v>0.55000000000000004</v>
      </c>
      <c r="T762" t="str" cm="1">
        <f t="array" ref="T762">_xlfn.IFS(clean_data[[#This Row],[Revenue]]&lt;300000,"Small",
     clean_data[[#This Row],[Revenue]]&lt;700000,"Medium",
     TRUE,"Large")</f>
        <v>Small</v>
      </c>
      <c r="U762" t="str" cm="1">
        <f t="array" ref="U762">_xlfn.IFS(clean_data[[#This Row],[profit margin%]]&lt;0.5,"Low Profit",
     clean_data[[#This Row],[profit margin%]]&lt;0.6,"Medium Profit",
     TRUE,"High Profit")</f>
        <v>Medium Profit</v>
      </c>
      <c r="V762" t="str">
        <f>TEXT(clean_data[[#This Row],[Date]],"mmm-yyyy")</f>
        <v>Nov-2024</v>
      </c>
      <c r="W762" s="8">
        <f>EOMONTH(clean_data[[#This Row],[Date]],-1)+1</f>
        <v>45597</v>
      </c>
    </row>
    <row r="763" spans="1:23" x14ac:dyDescent="0.3">
      <c r="A763" t="s">
        <v>835</v>
      </c>
      <c r="B763" s="1">
        <v>45081</v>
      </c>
      <c r="C763" t="s">
        <v>58</v>
      </c>
      <c r="D763" t="s">
        <v>59</v>
      </c>
      <c r="E763" t="s">
        <v>70</v>
      </c>
      <c r="F763" t="s">
        <v>28</v>
      </c>
      <c r="G763" t="s">
        <v>87</v>
      </c>
      <c r="H763">
        <v>4</v>
      </c>
      <c r="I763">
        <v>45000</v>
      </c>
      <c r="J763">
        <v>10</v>
      </c>
      <c r="K763">
        <v>162000</v>
      </c>
      <c r="L763">
        <v>89100</v>
      </c>
      <c r="M763">
        <v>72900</v>
      </c>
      <c r="N763" t="s">
        <v>22</v>
      </c>
      <c r="O763" t="s">
        <v>23</v>
      </c>
      <c r="P763" t="s">
        <v>24</v>
      </c>
      <c r="Q763" t="str">
        <f>TEXT(clean_data[[#This Row],[Date]],"mmm")</f>
        <v>Jun</v>
      </c>
      <c r="R763">
        <f>YEAR(clean_data[[#This Row],[Date]])</f>
        <v>2023</v>
      </c>
      <c r="S763" s="2">
        <f>clean_data[[#This Row],[Profit]]/clean_data[[#This Row],[Revenue]]</f>
        <v>0.45</v>
      </c>
      <c r="T763" t="str" cm="1">
        <f t="array" ref="T763">_xlfn.IFS(clean_data[[#This Row],[Revenue]]&lt;300000,"Small",
     clean_data[[#This Row],[Revenue]]&lt;700000,"Medium",
     TRUE,"Large")</f>
        <v>Small</v>
      </c>
      <c r="U763" t="str" cm="1">
        <f t="array" ref="U763">_xlfn.IFS(clean_data[[#This Row],[profit margin%]]&lt;0.5,"Low Profit",
     clean_data[[#This Row],[profit margin%]]&lt;0.6,"Medium Profit",
     TRUE,"High Profit")</f>
        <v>Low Profit</v>
      </c>
      <c r="V763" t="str">
        <f>TEXT(clean_data[[#This Row],[Date]],"mmm-yyyy")</f>
        <v>Jun-2023</v>
      </c>
      <c r="W763" s="8">
        <f>EOMONTH(clean_data[[#This Row],[Date]],-1)+1</f>
        <v>45078</v>
      </c>
    </row>
    <row r="764" spans="1:23" x14ac:dyDescent="0.3">
      <c r="A764" t="s">
        <v>836</v>
      </c>
      <c r="B764" s="1">
        <v>45170</v>
      </c>
      <c r="C764" t="s">
        <v>58</v>
      </c>
      <c r="D764" t="s">
        <v>84</v>
      </c>
      <c r="E764" t="s">
        <v>70</v>
      </c>
      <c r="F764" t="s">
        <v>28</v>
      </c>
      <c r="G764" t="s">
        <v>29</v>
      </c>
      <c r="H764">
        <v>2</v>
      </c>
      <c r="I764">
        <v>15000</v>
      </c>
      <c r="J764">
        <v>5</v>
      </c>
      <c r="K764">
        <v>28500</v>
      </c>
      <c r="L764">
        <v>15675</v>
      </c>
      <c r="M764">
        <v>12825</v>
      </c>
      <c r="N764" t="s">
        <v>30</v>
      </c>
      <c r="O764" t="s">
        <v>44</v>
      </c>
      <c r="P764" t="s">
        <v>24</v>
      </c>
      <c r="Q764" t="str">
        <f>TEXT(clean_data[[#This Row],[Date]],"mmm")</f>
        <v>Sep</v>
      </c>
      <c r="R764">
        <f>YEAR(clean_data[[#This Row],[Date]])</f>
        <v>2023</v>
      </c>
      <c r="S764" s="2">
        <f>clean_data[[#This Row],[Profit]]/clean_data[[#This Row],[Revenue]]</f>
        <v>0.45</v>
      </c>
      <c r="T764" t="str" cm="1">
        <f t="array" ref="T764">_xlfn.IFS(clean_data[[#This Row],[Revenue]]&lt;300000,"Small",
     clean_data[[#This Row],[Revenue]]&lt;700000,"Medium",
     TRUE,"Large")</f>
        <v>Small</v>
      </c>
      <c r="U764" t="str" cm="1">
        <f t="array" ref="U764">_xlfn.IFS(clean_data[[#This Row],[profit margin%]]&lt;0.5,"Low Profit",
     clean_data[[#This Row],[profit margin%]]&lt;0.6,"Medium Profit",
     TRUE,"High Profit")</f>
        <v>Low Profit</v>
      </c>
      <c r="V764" t="str">
        <f>TEXT(clean_data[[#This Row],[Date]],"mmm-yyyy")</f>
        <v>Sep-2023</v>
      </c>
      <c r="W764" s="8">
        <f>EOMONTH(clean_data[[#This Row],[Date]],-1)+1</f>
        <v>45170</v>
      </c>
    </row>
    <row r="765" spans="1:23" x14ac:dyDescent="0.3">
      <c r="A765" t="s">
        <v>837</v>
      </c>
      <c r="B765" s="1">
        <v>44932</v>
      </c>
      <c r="C765" t="s">
        <v>17</v>
      </c>
      <c r="D765" t="s">
        <v>37</v>
      </c>
      <c r="E765" t="s">
        <v>52</v>
      </c>
      <c r="F765" t="s">
        <v>28</v>
      </c>
      <c r="G765" t="s">
        <v>95</v>
      </c>
      <c r="H765">
        <v>31</v>
      </c>
      <c r="I765">
        <v>75000</v>
      </c>
      <c r="J765">
        <v>15</v>
      </c>
      <c r="K765">
        <v>1976250</v>
      </c>
      <c r="L765">
        <v>1086937.5</v>
      </c>
      <c r="M765">
        <v>889312.5</v>
      </c>
      <c r="N765" t="s">
        <v>22</v>
      </c>
      <c r="O765" t="s">
        <v>50</v>
      </c>
      <c r="P765" t="s">
        <v>24</v>
      </c>
      <c r="Q765" t="str">
        <f>TEXT(clean_data[[#This Row],[Date]],"mmm")</f>
        <v>Jan</v>
      </c>
      <c r="R765">
        <f>YEAR(clean_data[[#This Row],[Date]])</f>
        <v>2023</v>
      </c>
      <c r="S765" s="2">
        <f>clean_data[[#This Row],[Profit]]/clean_data[[#This Row],[Revenue]]</f>
        <v>0.45</v>
      </c>
      <c r="T765" t="str" cm="1">
        <f t="array" ref="T765">_xlfn.IFS(clean_data[[#This Row],[Revenue]]&lt;300000,"Small",
     clean_data[[#This Row],[Revenue]]&lt;700000,"Medium",
     TRUE,"Large")</f>
        <v>Large</v>
      </c>
      <c r="U765" t="str" cm="1">
        <f t="array" ref="U765">_xlfn.IFS(clean_data[[#This Row],[profit margin%]]&lt;0.5,"Low Profit",
     clean_data[[#This Row],[profit margin%]]&lt;0.6,"Medium Profit",
     TRUE,"High Profit")</f>
        <v>Low Profit</v>
      </c>
      <c r="V765" t="str">
        <f>TEXT(clean_data[[#This Row],[Date]],"mmm-yyyy")</f>
        <v>Jan-2023</v>
      </c>
      <c r="W765" s="8">
        <f>EOMONTH(clean_data[[#This Row],[Date]],-1)+1</f>
        <v>44927</v>
      </c>
    </row>
    <row r="766" spans="1:23" x14ac:dyDescent="0.3">
      <c r="A766" t="s">
        <v>838</v>
      </c>
      <c r="B766" s="1">
        <v>45054</v>
      </c>
      <c r="C766" t="s">
        <v>26</v>
      </c>
      <c r="D766" t="s">
        <v>69</v>
      </c>
      <c r="E766" t="s">
        <v>19</v>
      </c>
      <c r="F766" t="s">
        <v>33</v>
      </c>
      <c r="G766" t="s">
        <v>39</v>
      </c>
      <c r="H766">
        <v>22</v>
      </c>
      <c r="I766">
        <v>5000</v>
      </c>
      <c r="J766">
        <v>20</v>
      </c>
      <c r="K766">
        <v>88000</v>
      </c>
      <c r="L766">
        <v>44000</v>
      </c>
      <c r="M766">
        <v>44000</v>
      </c>
      <c r="N766" t="s">
        <v>30</v>
      </c>
      <c r="O766" t="s">
        <v>67</v>
      </c>
      <c r="P766" t="s">
        <v>24</v>
      </c>
      <c r="Q766" t="str">
        <f>TEXT(clean_data[[#This Row],[Date]],"mmm")</f>
        <v>May</v>
      </c>
      <c r="R766">
        <f>YEAR(clean_data[[#This Row],[Date]])</f>
        <v>2023</v>
      </c>
      <c r="S766" s="2">
        <f>clean_data[[#This Row],[Profit]]/clean_data[[#This Row],[Revenue]]</f>
        <v>0.5</v>
      </c>
      <c r="T766" t="str" cm="1">
        <f t="array" ref="T766">_xlfn.IFS(clean_data[[#This Row],[Revenue]]&lt;300000,"Small",
     clean_data[[#This Row],[Revenue]]&lt;700000,"Medium",
     TRUE,"Large")</f>
        <v>Small</v>
      </c>
      <c r="U766" t="str" cm="1">
        <f t="array" ref="U766">_xlfn.IFS(clean_data[[#This Row],[profit margin%]]&lt;0.5,"Low Profit",
     clean_data[[#This Row],[profit margin%]]&lt;0.6,"Medium Profit",
     TRUE,"High Profit")</f>
        <v>Medium Profit</v>
      </c>
      <c r="V766" t="str">
        <f>TEXT(clean_data[[#This Row],[Date]],"mmm-yyyy")</f>
        <v>May-2023</v>
      </c>
      <c r="W766" s="8">
        <f>EOMONTH(clean_data[[#This Row],[Date]],-1)+1</f>
        <v>45047</v>
      </c>
    </row>
    <row r="767" spans="1:23" x14ac:dyDescent="0.3">
      <c r="A767" t="s">
        <v>839</v>
      </c>
      <c r="B767" s="1">
        <v>45437</v>
      </c>
      <c r="C767" t="s">
        <v>26</v>
      </c>
      <c r="D767" t="s">
        <v>69</v>
      </c>
      <c r="E767" t="s">
        <v>38</v>
      </c>
      <c r="F767" t="s">
        <v>28</v>
      </c>
      <c r="G767" t="s">
        <v>95</v>
      </c>
      <c r="H767">
        <v>4</v>
      </c>
      <c r="I767">
        <v>75000</v>
      </c>
      <c r="J767">
        <v>0</v>
      </c>
      <c r="K767">
        <v>300000</v>
      </c>
      <c r="L767">
        <v>165000</v>
      </c>
      <c r="M767">
        <v>135000</v>
      </c>
      <c r="N767" t="s">
        <v>49</v>
      </c>
      <c r="O767" t="s">
        <v>35</v>
      </c>
      <c r="P767" t="s">
        <v>24</v>
      </c>
      <c r="Q767" t="str">
        <f>TEXT(clean_data[[#This Row],[Date]],"mmm")</f>
        <v>May</v>
      </c>
      <c r="R767">
        <f>YEAR(clean_data[[#This Row],[Date]])</f>
        <v>2024</v>
      </c>
      <c r="S767" s="2">
        <f>clean_data[[#This Row],[Profit]]/clean_data[[#This Row],[Revenue]]</f>
        <v>0.45</v>
      </c>
      <c r="T767" t="str" cm="1">
        <f t="array" ref="T767">_xlfn.IFS(clean_data[[#This Row],[Revenue]]&lt;300000,"Small",
     clean_data[[#This Row],[Revenue]]&lt;700000,"Medium",
     TRUE,"Large")</f>
        <v>Medium</v>
      </c>
      <c r="U767" t="str" cm="1">
        <f t="array" ref="U767">_xlfn.IFS(clean_data[[#This Row],[profit margin%]]&lt;0.5,"Low Profit",
     clean_data[[#This Row],[profit margin%]]&lt;0.6,"Medium Profit",
     TRUE,"High Profit")</f>
        <v>Low Profit</v>
      </c>
      <c r="V767" t="str">
        <f>TEXT(clean_data[[#This Row],[Date]],"mmm-yyyy")</f>
        <v>May-2024</v>
      </c>
      <c r="W767" s="8">
        <f>EOMONTH(clean_data[[#This Row],[Date]],-1)+1</f>
        <v>45413</v>
      </c>
    </row>
    <row r="768" spans="1:23" x14ac:dyDescent="0.3">
      <c r="A768" t="s">
        <v>840</v>
      </c>
      <c r="B768" s="1">
        <v>44806</v>
      </c>
      <c r="C768" t="s">
        <v>58</v>
      </c>
      <c r="D768" t="s">
        <v>84</v>
      </c>
      <c r="E768" t="s">
        <v>73</v>
      </c>
      <c r="F768" t="s">
        <v>65</v>
      </c>
      <c r="G768" t="s">
        <v>117</v>
      </c>
      <c r="H768">
        <v>7</v>
      </c>
      <c r="I768">
        <v>1200</v>
      </c>
      <c r="J768">
        <v>0</v>
      </c>
      <c r="K768">
        <v>8400</v>
      </c>
      <c r="L768">
        <v>3780</v>
      </c>
      <c r="M768">
        <v>4620</v>
      </c>
      <c r="N768" t="s">
        <v>30</v>
      </c>
      <c r="O768" t="s">
        <v>50</v>
      </c>
      <c r="P768" t="s">
        <v>40</v>
      </c>
      <c r="Q768" t="str">
        <f>TEXT(clean_data[[#This Row],[Date]],"mmm")</f>
        <v>Sep</v>
      </c>
      <c r="R768">
        <f>YEAR(clean_data[[#This Row],[Date]])</f>
        <v>2022</v>
      </c>
      <c r="S768" s="2">
        <f>clean_data[[#This Row],[Profit]]/clean_data[[#This Row],[Revenue]]</f>
        <v>0.55000000000000004</v>
      </c>
      <c r="T768" t="str" cm="1">
        <f t="array" ref="T768">_xlfn.IFS(clean_data[[#This Row],[Revenue]]&lt;300000,"Small",
     clean_data[[#This Row],[Revenue]]&lt;700000,"Medium",
     TRUE,"Large")</f>
        <v>Small</v>
      </c>
      <c r="U768" t="str" cm="1">
        <f t="array" ref="U768">_xlfn.IFS(clean_data[[#This Row],[profit margin%]]&lt;0.5,"Low Profit",
     clean_data[[#This Row],[profit margin%]]&lt;0.6,"Medium Profit",
     TRUE,"High Profit")</f>
        <v>Medium Profit</v>
      </c>
      <c r="V768" t="str">
        <f>TEXT(clean_data[[#This Row],[Date]],"mmm-yyyy")</f>
        <v>Sep-2022</v>
      </c>
      <c r="W768" s="8">
        <f>EOMONTH(clean_data[[#This Row],[Date]],-1)+1</f>
        <v>44805</v>
      </c>
    </row>
    <row r="769" spans="1:23" x14ac:dyDescent="0.3">
      <c r="A769" t="s">
        <v>841</v>
      </c>
      <c r="B769" s="1">
        <v>45304</v>
      </c>
      <c r="C769" t="s">
        <v>26</v>
      </c>
      <c r="D769" t="s">
        <v>69</v>
      </c>
      <c r="E769" t="s">
        <v>19</v>
      </c>
      <c r="F769" t="s">
        <v>28</v>
      </c>
      <c r="G769" t="s">
        <v>85</v>
      </c>
      <c r="H769">
        <v>25</v>
      </c>
      <c r="I769">
        <v>8000</v>
      </c>
      <c r="J769">
        <v>15</v>
      </c>
      <c r="K769">
        <v>170000</v>
      </c>
      <c r="L769">
        <v>93500</v>
      </c>
      <c r="M769">
        <v>76500</v>
      </c>
      <c r="N769" t="s">
        <v>22</v>
      </c>
      <c r="O769" t="s">
        <v>67</v>
      </c>
      <c r="P769" t="s">
        <v>24</v>
      </c>
      <c r="Q769" t="str">
        <f>TEXT(clean_data[[#This Row],[Date]],"mmm")</f>
        <v>Jan</v>
      </c>
      <c r="R769">
        <f>YEAR(clean_data[[#This Row],[Date]])</f>
        <v>2024</v>
      </c>
      <c r="S769" s="2">
        <f>clean_data[[#This Row],[Profit]]/clean_data[[#This Row],[Revenue]]</f>
        <v>0.45</v>
      </c>
      <c r="T769" t="str" cm="1">
        <f t="array" ref="T769">_xlfn.IFS(clean_data[[#This Row],[Revenue]]&lt;300000,"Small",
     clean_data[[#This Row],[Revenue]]&lt;700000,"Medium",
     TRUE,"Large")</f>
        <v>Small</v>
      </c>
      <c r="U769" t="str" cm="1">
        <f t="array" ref="U769">_xlfn.IFS(clean_data[[#This Row],[profit margin%]]&lt;0.5,"Low Profit",
     clean_data[[#This Row],[profit margin%]]&lt;0.6,"Medium Profit",
     TRUE,"High Profit")</f>
        <v>Low Profit</v>
      </c>
      <c r="V769" t="str">
        <f>TEXT(clean_data[[#This Row],[Date]],"mmm-yyyy")</f>
        <v>Jan-2024</v>
      </c>
      <c r="W769" s="8">
        <f>EOMONTH(clean_data[[#This Row],[Date]],-1)+1</f>
        <v>45292</v>
      </c>
    </row>
    <row r="770" spans="1:23" x14ac:dyDescent="0.3">
      <c r="A770" t="s">
        <v>842</v>
      </c>
      <c r="B770" s="1">
        <v>44753</v>
      </c>
      <c r="C770" t="s">
        <v>26</v>
      </c>
      <c r="D770" t="s">
        <v>69</v>
      </c>
      <c r="E770" t="s">
        <v>111</v>
      </c>
      <c r="F770" t="s">
        <v>33</v>
      </c>
      <c r="G770" t="s">
        <v>43</v>
      </c>
      <c r="H770">
        <v>13</v>
      </c>
      <c r="I770">
        <v>4000</v>
      </c>
      <c r="J770">
        <v>0</v>
      </c>
      <c r="K770">
        <v>52000</v>
      </c>
      <c r="L770">
        <v>26000</v>
      </c>
      <c r="M770">
        <v>26000</v>
      </c>
      <c r="N770" t="s">
        <v>30</v>
      </c>
      <c r="O770" t="s">
        <v>67</v>
      </c>
      <c r="P770" t="s">
        <v>24</v>
      </c>
      <c r="Q770" t="str">
        <f>TEXT(clean_data[[#This Row],[Date]],"mmm")</f>
        <v>Jul</v>
      </c>
      <c r="R770">
        <f>YEAR(clean_data[[#This Row],[Date]])</f>
        <v>2022</v>
      </c>
      <c r="S770" s="2">
        <f>clean_data[[#This Row],[Profit]]/clean_data[[#This Row],[Revenue]]</f>
        <v>0.5</v>
      </c>
      <c r="T770" t="str" cm="1">
        <f t="array" ref="T770">_xlfn.IFS(clean_data[[#This Row],[Revenue]]&lt;300000,"Small",
     clean_data[[#This Row],[Revenue]]&lt;700000,"Medium",
     TRUE,"Large")</f>
        <v>Small</v>
      </c>
      <c r="U770" t="str" cm="1">
        <f t="array" ref="U770">_xlfn.IFS(clean_data[[#This Row],[profit margin%]]&lt;0.5,"Low Profit",
     clean_data[[#This Row],[profit margin%]]&lt;0.6,"Medium Profit",
     TRUE,"High Profit")</f>
        <v>Medium Profit</v>
      </c>
      <c r="V770" t="str">
        <f>TEXT(clean_data[[#This Row],[Date]],"mmm-yyyy")</f>
        <v>Jul-2022</v>
      </c>
      <c r="W770" s="8">
        <f>EOMONTH(clean_data[[#This Row],[Date]],-1)+1</f>
        <v>44743</v>
      </c>
    </row>
    <row r="771" spans="1:23" x14ac:dyDescent="0.3">
      <c r="A771" t="s">
        <v>843</v>
      </c>
      <c r="B771" s="1">
        <v>44700</v>
      </c>
      <c r="C771" t="s">
        <v>46</v>
      </c>
      <c r="D771" t="s">
        <v>47</v>
      </c>
      <c r="E771" t="s">
        <v>111</v>
      </c>
      <c r="F771" t="s">
        <v>33</v>
      </c>
      <c r="G771" t="s">
        <v>34</v>
      </c>
      <c r="H771">
        <v>27</v>
      </c>
      <c r="I771">
        <v>25000</v>
      </c>
      <c r="J771">
        <v>15</v>
      </c>
      <c r="K771">
        <v>573750</v>
      </c>
      <c r="L771">
        <v>286875</v>
      </c>
      <c r="M771">
        <v>286875</v>
      </c>
      <c r="N771" t="s">
        <v>49</v>
      </c>
      <c r="O771" t="s">
        <v>44</v>
      </c>
      <c r="P771" t="s">
        <v>40</v>
      </c>
      <c r="Q771" t="str">
        <f>TEXT(clean_data[[#This Row],[Date]],"mmm")</f>
        <v>May</v>
      </c>
      <c r="R771">
        <f>YEAR(clean_data[[#This Row],[Date]])</f>
        <v>2022</v>
      </c>
      <c r="S771" s="2">
        <f>clean_data[[#This Row],[Profit]]/clean_data[[#This Row],[Revenue]]</f>
        <v>0.5</v>
      </c>
      <c r="T771" t="str" cm="1">
        <f t="array" ref="T771">_xlfn.IFS(clean_data[[#This Row],[Revenue]]&lt;300000,"Small",
     clean_data[[#This Row],[Revenue]]&lt;700000,"Medium",
     TRUE,"Large")</f>
        <v>Medium</v>
      </c>
      <c r="U771" t="str" cm="1">
        <f t="array" ref="U771">_xlfn.IFS(clean_data[[#This Row],[profit margin%]]&lt;0.5,"Low Profit",
     clean_data[[#This Row],[profit margin%]]&lt;0.6,"Medium Profit",
     TRUE,"High Profit")</f>
        <v>Medium Profit</v>
      </c>
      <c r="V771" t="str">
        <f>TEXT(clean_data[[#This Row],[Date]],"mmm-yyyy")</f>
        <v>May-2022</v>
      </c>
      <c r="W771" s="8">
        <f>EOMONTH(clean_data[[#This Row],[Date]],-1)+1</f>
        <v>44682</v>
      </c>
    </row>
    <row r="772" spans="1:23" x14ac:dyDescent="0.3">
      <c r="A772" t="s">
        <v>844</v>
      </c>
      <c r="B772" s="1">
        <v>45021</v>
      </c>
      <c r="C772" t="s">
        <v>26</v>
      </c>
      <c r="D772" t="s">
        <v>27</v>
      </c>
      <c r="E772" t="s">
        <v>78</v>
      </c>
      <c r="F772" t="s">
        <v>33</v>
      </c>
      <c r="G772" t="s">
        <v>43</v>
      </c>
      <c r="H772">
        <v>28</v>
      </c>
      <c r="I772">
        <v>4000</v>
      </c>
      <c r="J772">
        <v>20</v>
      </c>
      <c r="K772">
        <v>89600</v>
      </c>
      <c r="L772">
        <v>44800</v>
      </c>
      <c r="M772">
        <v>44800</v>
      </c>
      <c r="N772" t="s">
        <v>49</v>
      </c>
      <c r="O772" t="s">
        <v>67</v>
      </c>
      <c r="P772" t="s">
        <v>24</v>
      </c>
      <c r="Q772" t="str">
        <f>TEXT(clean_data[[#This Row],[Date]],"mmm")</f>
        <v>Apr</v>
      </c>
      <c r="R772">
        <f>YEAR(clean_data[[#This Row],[Date]])</f>
        <v>2023</v>
      </c>
      <c r="S772" s="2">
        <f>clean_data[[#This Row],[Profit]]/clean_data[[#This Row],[Revenue]]</f>
        <v>0.5</v>
      </c>
      <c r="T772" t="str" cm="1">
        <f t="array" ref="T772">_xlfn.IFS(clean_data[[#This Row],[Revenue]]&lt;300000,"Small",
     clean_data[[#This Row],[Revenue]]&lt;700000,"Medium",
     TRUE,"Large")</f>
        <v>Small</v>
      </c>
      <c r="U772" t="str" cm="1">
        <f t="array" ref="U772">_xlfn.IFS(clean_data[[#This Row],[profit margin%]]&lt;0.5,"Low Profit",
     clean_data[[#This Row],[profit margin%]]&lt;0.6,"Medium Profit",
     TRUE,"High Profit")</f>
        <v>Medium Profit</v>
      </c>
      <c r="V772" t="str">
        <f>TEXT(clean_data[[#This Row],[Date]],"mmm-yyyy")</f>
        <v>Apr-2023</v>
      </c>
      <c r="W772" s="8">
        <f>EOMONTH(clean_data[[#This Row],[Date]],-1)+1</f>
        <v>45017</v>
      </c>
    </row>
    <row r="773" spans="1:23" x14ac:dyDescent="0.3">
      <c r="A773" t="s">
        <v>845</v>
      </c>
      <c r="B773" s="1">
        <v>45621</v>
      </c>
      <c r="C773" t="s">
        <v>46</v>
      </c>
      <c r="D773" t="s">
        <v>47</v>
      </c>
      <c r="E773" t="s">
        <v>60</v>
      </c>
      <c r="F773" t="s">
        <v>33</v>
      </c>
      <c r="G773" t="s">
        <v>43</v>
      </c>
      <c r="H773">
        <v>22</v>
      </c>
      <c r="I773">
        <v>4000</v>
      </c>
      <c r="J773">
        <v>10</v>
      </c>
      <c r="K773">
        <v>79200</v>
      </c>
      <c r="L773">
        <v>39600</v>
      </c>
      <c r="M773">
        <v>39600</v>
      </c>
      <c r="N773" t="s">
        <v>30</v>
      </c>
      <c r="O773" t="s">
        <v>67</v>
      </c>
      <c r="P773" t="s">
        <v>24</v>
      </c>
      <c r="Q773" t="str">
        <f>TEXT(clean_data[[#This Row],[Date]],"mmm")</f>
        <v>Nov</v>
      </c>
      <c r="R773">
        <f>YEAR(clean_data[[#This Row],[Date]])</f>
        <v>2024</v>
      </c>
      <c r="S773" s="2">
        <f>clean_data[[#This Row],[Profit]]/clean_data[[#This Row],[Revenue]]</f>
        <v>0.5</v>
      </c>
      <c r="T773" t="str" cm="1">
        <f t="array" ref="T773">_xlfn.IFS(clean_data[[#This Row],[Revenue]]&lt;300000,"Small",
     clean_data[[#This Row],[Revenue]]&lt;700000,"Medium",
     TRUE,"Large")</f>
        <v>Small</v>
      </c>
      <c r="U773" t="str" cm="1">
        <f t="array" ref="U773">_xlfn.IFS(clean_data[[#This Row],[profit margin%]]&lt;0.5,"Low Profit",
     clean_data[[#This Row],[profit margin%]]&lt;0.6,"Medium Profit",
     TRUE,"High Profit")</f>
        <v>Medium Profit</v>
      </c>
      <c r="V773" t="str">
        <f>TEXT(clean_data[[#This Row],[Date]],"mmm-yyyy")</f>
        <v>Nov-2024</v>
      </c>
      <c r="W773" s="8">
        <f>EOMONTH(clean_data[[#This Row],[Date]],-1)+1</f>
        <v>45597</v>
      </c>
    </row>
    <row r="774" spans="1:23" x14ac:dyDescent="0.3">
      <c r="A774" t="s">
        <v>846</v>
      </c>
      <c r="B774" s="1">
        <v>44836</v>
      </c>
      <c r="C774" t="s">
        <v>46</v>
      </c>
      <c r="D774" t="s">
        <v>47</v>
      </c>
      <c r="E774" t="s">
        <v>32</v>
      </c>
      <c r="F774" t="s">
        <v>33</v>
      </c>
      <c r="G774" t="s">
        <v>76</v>
      </c>
      <c r="H774">
        <v>13</v>
      </c>
      <c r="I774">
        <v>8500</v>
      </c>
      <c r="J774">
        <v>5</v>
      </c>
      <c r="K774">
        <v>104975</v>
      </c>
      <c r="L774">
        <v>52487.5</v>
      </c>
      <c r="M774">
        <v>52487.5</v>
      </c>
      <c r="N774" t="s">
        <v>49</v>
      </c>
      <c r="O774" t="s">
        <v>44</v>
      </c>
      <c r="P774" t="s">
        <v>24</v>
      </c>
      <c r="Q774" t="str">
        <f>TEXT(clean_data[[#This Row],[Date]],"mmm")</f>
        <v>Oct</v>
      </c>
      <c r="R774">
        <f>YEAR(clean_data[[#This Row],[Date]])</f>
        <v>2022</v>
      </c>
      <c r="S774" s="2">
        <f>clean_data[[#This Row],[Profit]]/clean_data[[#This Row],[Revenue]]</f>
        <v>0.5</v>
      </c>
      <c r="T774" t="str" cm="1">
        <f t="array" ref="T774">_xlfn.IFS(clean_data[[#This Row],[Revenue]]&lt;300000,"Small",
     clean_data[[#This Row],[Revenue]]&lt;700000,"Medium",
     TRUE,"Large")</f>
        <v>Small</v>
      </c>
      <c r="U774" t="str" cm="1">
        <f t="array" ref="U774">_xlfn.IFS(clean_data[[#This Row],[profit margin%]]&lt;0.5,"Low Profit",
     clean_data[[#This Row],[profit margin%]]&lt;0.6,"Medium Profit",
     TRUE,"High Profit")</f>
        <v>Medium Profit</v>
      </c>
      <c r="V774" t="str">
        <f>TEXT(clean_data[[#This Row],[Date]],"mmm-yyyy")</f>
        <v>Oct-2022</v>
      </c>
      <c r="W774" s="8">
        <f>EOMONTH(clean_data[[#This Row],[Date]],-1)+1</f>
        <v>44835</v>
      </c>
    </row>
    <row r="775" spans="1:23" x14ac:dyDescent="0.3">
      <c r="A775" t="s">
        <v>847</v>
      </c>
      <c r="B775" s="1">
        <v>45496</v>
      </c>
      <c r="C775" t="s">
        <v>58</v>
      </c>
      <c r="D775" t="s">
        <v>64</v>
      </c>
      <c r="E775" t="s">
        <v>70</v>
      </c>
      <c r="F775" t="s">
        <v>33</v>
      </c>
      <c r="G775" t="s">
        <v>43</v>
      </c>
      <c r="H775">
        <v>20</v>
      </c>
      <c r="I775">
        <v>4000</v>
      </c>
      <c r="J775">
        <v>15</v>
      </c>
      <c r="K775">
        <v>68000</v>
      </c>
      <c r="L775">
        <v>34000</v>
      </c>
      <c r="M775">
        <v>34000</v>
      </c>
      <c r="N775" t="s">
        <v>30</v>
      </c>
      <c r="O775" t="s">
        <v>35</v>
      </c>
      <c r="P775" t="s">
        <v>24</v>
      </c>
      <c r="Q775" t="str">
        <f>TEXT(clean_data[[#This Row],[Date]],"mmm")</f>
        <v>Jul</v>
      </c>
      <c r="R775">
        <f>YEAR(clean_data[[#This Row],[Date]])</f>
        <v>2024</v>
      </c>
      <c r="S775" s="2">
        <f>clean_data[[#This Row],[Profit]]/clean_data[[#This Row],[Revenue]]</f>
        <v>0.5</v>
      </c>
      <c r="T775" t="str" cm="1">
        <f t="array" ref="T775">_xlfn.IFS(clean_data[[#This Row],[Revenue]]&lt;300000,"Small",
     clean_data[[#This Row],[Revenue]]&lt;700000,"Medium",
     TRUE,"Large")</f>
        <v>Small</v>
      </c>
      <c r="U775" t="str" cm="1">
        <f t="array" ref="U775">_xlfn.IFS(clean_data[[#This Row],[profit margin%]]&lt;0.5,"Low Profit",
     clean_data[[#This Row],[profit margin%]]&lt;0.6,"Medium Profit",
     TRUE,"High Profit")</f>
        <v>Medium Profit</v>
      </c>
      <c r="V775" t="str">
        <f>TEXT(clean_data[[#This Row],[Date]],"mmm-yyyy")</f>
        <v>Jul-2024</v>
      </c>
      <c r="W775" s="8">
        <f>EOMONTH(clean_data[[#This Row],[Date]],-1)+1</f>
        <v>45474</v>
      </c>
    </row>
    <row r="776" spans="1:23" x14ac:dyDescent="0.3">
      <c r="A776" t="s">
        <v>848</v>
      </c>
      <c r="B776" s="1">
        <v>45469</v>
      </c>
      <c r="C776" t="s">
        <v>26</v>
      </c>
      <c r="D776" t="s">
        <v>69</v>
      </c>
      <c r="E776" t="s">
        <v>19</v>
      </c>
      <c r="F776" t="s">
        <v>28</v>
      </c>
      <c r="G776" t="s">
        <v>87</v>
      </c>
      <c r="H776">
        <v>45</v>
      </c>
      <c r="I776">
        <v>45000</v>
      </c>
      <c r="J776">
        <v>5</v>
      </c>
      <c r="K776">
        <v>1923750</v>
      </c>
      <c r="L776">
        <v>1058062.5</v>
      </c>
      <c r="M776">
        <v>865687.5</v>
      </c>
      <c r="N776" t="s">
        <v>22</v>
      </c>
      <c r="O776" t="s">
        <v>44</v>
      </c>
      <c r="P776" t="s">
        <v>24</v>
      </c>
      <c r="Q776" t="str">
        <f>TEXT(clean_data[[#This Row],[Date]],"mmm")</f>
        <v>Jun</v>
      </c>
      <c r="R776">
        <f>YEAR(clean_data[[#This Row],[Date]])</f>
        <v>2024</v>
      </c>
      <c r="S776" s="2">
        <f>clean_data[[#This Row],[Profit]]/clean_data[[#This Row],[Revenue]]</f>
        <v>0.45</v>
      </c>
      <c r="T776" t="str" cm="1">
        <f t="array" ref="T776">_xlfn.IFS(clean_data[[#This Row],[Revenue]]&lt;300000,"Small",
     clean_data[[#This Row],[Revenue]]&lt;700000,"Medium",
     TRUE,"Large")</f>
        <v>Large</v>
      </c>
      <c r="U776" t="str" cm="1">
        <f t="array" ref="U776">_xlfn.IFS(clean_data[[#This Row],[profit margin%]]&lt;0.5,"Low Profit",
     clean_data[[#This Row],[profit margin%]]&lt;0.6,"Medium Profit",
     TRUE,"High Profit")</f>
        <v>Low Profit</v>
      </c>
      <c r="V776" t="str">
        <f>TEXT(clean_data[[#This Row],[Date]],"mmm-yyyy")</f>
        <v>Jun-2024</v>
      </c>
      <c r="W776" s="8">
        <f>EOMONTH(clean_data[[#This Row],[Date]],-1)+1</f>
        <v>45444</v>
      </c>
    </row>
    <row r="777" spans="1:23" x14ac:dyDescent="0.3">
      <c r="A777" t="s">
        <v>849</v>
      </c>
      <c r="B777" s="1">
        <v>45032</v>
      </c>
      <c r="C777" t="s">
        <v>17</v>
      </c>
      <c r="D777" t="s">
        <v>42</v>
      </c>
      <c r="E777" t="s">
        <v>32</v>
      </c>
      <c r="F777" t="s">
        <v>20</v>
      </c>
      <c r="G777" t="s">
        <v>115</v>
      </c>
      <c r="H777">
        <v>12</v>
      </c>
      <c r="I777">
        <v>2500</v>
      </c>
      <c r="J777">
        <v>0</v>
      </c>
      <c r="K777">
        <v>30000</v>
      </c>
      <c r="L777">
        <v>12000</v>
      </c>
      <c r="M777">
        <v>18000</v>
      </c>
      <c r="N777" t="s">
        <v>30</v>
      </c>
      <c r="O777" t="s">
        <v>35</v>
      </c>
      <c r="P777" t="s">
        <v>24</v>
      </c>
      <c r="Q777" t="str">
        <f>TEXT(clean_data[[#This Row],[Date]],"mmm")</f>
        <v>Apr</v>
      </c>
      <c r="R777">
        <f>YEAR(clean_data[[#This Row],[Date]])</f>
        <v>2023</v>
      </c>
      <c r="S777" s="2">
        <f>clean_data[[#This Row],[Profit]]/clean_data[[#This Row],[Revenue]]</f>
        <v>0.6</v>
      </c>
      <c r="T777" t="str" cm="1">
        <f t="array" ref="T777">_xlfn.IFS(clean_data[[#This Row],[Revenue]]&lt;300000,"Small",
     clean_data[[#This Row],[Revenue]]&lt;700000,"Medium",
     TRUE,"Large")</f>
        <v>Small</v>
      </c>
      <c r="U777" t="str" cm="1">
        <f t="array" ref="U777">_xlfn.IFS(clean_data[[#This Row],[profit margin%]]&lt;0.5,"Low Profit",
     clean_data[[#This Row],[profit margin%]]&lt;0.6,"Medium Profit",
     TRUE,"High Profit")</f>
        <v>High Profit</v>
      </c>
      <c r="V777" t="str">
        <f>TEXT(clean_data[[#This Row],[Date]],"mmm-yyyy")</f>
        <v>Apr-2023</v>
      </c>
      <c r="W777" s="8">
        <f>EOMONTH(clean_data[[#This Row],[Date]],-1)+1</f>
        <v>45017</v>
      </c>
    </row>
    <row r="778" spans="1:23" x14ac:dyDescent="0.3">
      <c r="A778" t="s">
        <v>850</v>
      </c>
      <c r="B778" s="1">
        <v>45231</v>
      </c>
      <c r="C778" t="s">
        <v>26</v>
      </c>
      <c r="D778" t="s">
        <v>27</v>
      </c>
      <c r="E778" t="s">
        <v>73</v>
      </c>
      <c r="F778" t="s">
        <v>65</v>
      </c>
      <c r="G778" t="s">
        <v>104</v>
      </c>
      <c r="H778">
        <v>41</v>
      </c>
      <c r="I778">
        <v>3000</v>
      </c>
      <c r="J778">
        <v>20</v>
      </c>
      <c r="K778">
        <v>98400</v>
      </c>
      <c r="L778">
        <v>44280</v>
      </c>
      <c r="M778">
        <v>54120</v>
      </c>
      <c r="N778" t="s">
        <v>30</v>
      </c>
      <c r="O778" t="s">
        <v>35</v>
      </c>
      <c r="P778" t="s">
        <v>24</v>
      </c>
      <c r="Q778" t="str">
        <f>TEXT(clean_data[[#This Row],[Date]],"mmm")</f>
        <v>Nov</v>
      </c>
      <c r="R778">
        <f>YEAR(clean_data[[#This Row],[Date]])</f>
        <v>2023</v>
      </c>
      <c r="S778" s="2">
        <f>clean_data[[#This Row],[Profit]]/clean_data[[#This Row],[Revenue]]</f>
        <v>0.55000000000000004</v>
      </c>
      <c r="T778" t="str" cm="1">
        <f t="array" ref="T778">_xlfn.IFS(clean_data[[#This Row],[Revenue]]&lt;300000,"Small",
     clean_data[[#This Row],[Revenue]]&lt;700000,"Medium",
     TRUE,"Large")</f>
        <v>Small</v>
      </c>
      <c r="U778" t="str" cm="1">
        <f t="array" ref="U778">_xlfn.IFS(clean_data[[#This Row],[profit margin%]]&lt;0.5,"Low Profit",
     clean_data[[#This Row],[profit margin%]]&lt;0.6,"Medium Profit",
     TRUE,"High Profit")</f>
        <v>Medium Profit</v>
      </c>
      <c r="V778" t="str">
        <f>TEXT(clean_data[[#This Row],[Date]],"mmm-yyyy")</f>
        <v>Nov-2023</v>
      </c>
      <c r="W778" s="8">
        <f>EOMONTH(clean_data[[#This Row],[Date]],-1)+1</f>
        <v>45231</v>
      </c>
    </row>
    <row r="779" spans="1:23" x14ac:dyDescent="0.3">
      <c r="A779" t="s">
        <v>851</v>
      </c>
      <c r="B779" s="1">
        <v>44933</v>
      </c>
      <c r="C779" t="s">
        <v>17</v>
      </c>
      <c r="D779" t="s">
        <v>18</v>
      </c>
      <c r="E779" t="s">
        <v>19</v>
      </c>
      <c r="F779" t="s">
        <v>33</v>
      </c>
      <c r="G779" t="s">
        <v>76</v>
      </c>
      <c r="H779">
        <v>22</v>
      </c>
      <c r="I779">
        <v>8500</v>
      </c>
      <c r="J779">
        <v>20</v>
      </c>
      <c r="K779">
        <v>149600</v>
      </c>
      <c r="L779">
        <v>74800</v>
      </c>
      <c r="M779">
        <v>74800</v>
      </c>
      <c r="N779" t="s">
        <v>30</v>
      </c>
      <c r="O779" t="s">
        <v>44</v>
      </c>
      <c r="P779" t="s">
        <v>24</v>
      </c>
      <c r="Q779" t="str">
        <f>TEXT(clean_data[[#This Row],[Date]],"mmm")</f>
        <v>Jan</v>
      </c>
      <c r="R779">
        <f>YEAR(clean_data[[#This Row],[Date]])</f>
        <v>2023</v>
      </c>
      <c r="S779" s="2">
        <f>clean_data[[#This Row],[Profit]]/clean_data[[#This Row],[Revenue]]</f>
        <v>0.5</v>
      </c>
      <c r="T779" t="str" cm="1">
        <f t="array" ref="T779">_xlfn.IFS(clean_data[[#This Row],[Revenue]]&lt;300000,"Small",
     clean_data[[#This Row],[Revenue]]&lt;700000,"Medium",
     TRUE,"Large")</f>
        <v>Small</v>
      </c>
      <c r="U779" t="str" cm="1">
        <f t="array" ref="U779">_xlfn.IFS(clean_data[[#This Row],[profit margin%]]&lt;0.5,"Low Profit",
     clean_data[[#This Row],[profit margin%]]&lt;0.6,"Medium Profit",
     TRUE,"High Profit")</f>
        <v>Medium Profit</v>
      </c>
      <c r="V779" t="str">
        <f>TEXT(clean_data[[#This Row],[Date]],"mmm-yyyy")</f>
        <v>Jan-2023</v>
      </c>
      <c r="W779" s="8">
        <f>EOMONTH(clean_data[[#This Row],[Date]],-1)+1</f>
        <v>44927</v>
      </c>
    </row>
    <row r="780" spans="1:23" x14ac:dyDescent="0.3">
      <c r="A780" t="s">
        <v>852</v>
      </c>
      <c r="B780" s="1">
        <v>44598</v>
      </c>
      <c r="C780" t="s">
        <v>17</v>
      </c>
      <c r="D780" t="s">
        <v>18</v>
      </c>
      <c r="E780" t="s">
        <v>56</v>
      </c>
      <c r="F780" t="s">
        <v>20</v>
      </c>
      <c r="G780" t="s">
        <v>115</v>
      </c>
      <c r="H780">
        <v>42</v>
      </c>
      <c r="I780">
        <v>2500</v>
      </c>
      <c r="J780">
        <v>0</v>
      </c>
      <c r="K780">
        <v>105000</v>
      </c>
      <c r="L780">
        <v>42000</v>
      </c>
      <c r="M780">
        <v>63000</v>
      </c>
      <c r="N780" t="s">
        <v>30</v>
      </c>
      <c r="O780" t="s">
        <v>50</v>
      </c>
      <c r="P780" t="s">
        <v>24</v>
      </c>
      <c r="Q780" t="str">
        <f>TEXT(clean_data[[#This Row],[Date]],"mmm")</f>
        <v>Feb</v>
      </c>
      <c r="R780">
        <f>YEAR(clean_data[[#This Row],[Date]])</f>
        <v>2022</v>
      </c>
      <c r="S780" s="2">
        <f>clean_data[[#This Row],[Profit]]/clean_data[[#This Row],[Revenue]]</f>
        <v>0.6</v>
      </c>
      <c r="T780" t="str" cm="1">
        <f t="array" ref="T780">_xlfn.IFS(clean_data[[#This Row],[Revenue]]&lt;300000,"Small",
     clean_data[[#This Row],[Revenue]]&lt;700000,"Medium",
     TRUE,"Large")</f>
        <v>Small</v>
      </c>
      <c r="U780" t="str" cm="1">
        <f t="array" ref="U780">_xlfn.IFS(clean_data[[#This Row],[profit margin%]]&lt;0.5,"Low Profit",
     clean_data[[#This Row],[profit margin%]]&lt;0.6,"Medium Profit",
     TRUE,"High Profit")</f>
        <v>High Profit</v>
      </c>
      <c r="V780" t="str">
        <f>TEXT(clean_data[[#This Row],[Date]],"mmm-yyyy")</f>
        <v>Feb-2022</v>
      </c>
      <c r="W780" s="8">
        <f>EOMONTH(clean_data[[#This Row],[Date]],-1)+1</f>
        <v>44593</v>
      </c>
    </row>
    <row r="781" spans="1:23" x14ac:dyDescent="0.3">
      <c r="A781" t="s">
        <v>853</v>
      </c>
      <c r="B781" s="1">
        <v>45451</v>
      </c>
      <c r="C781" t="s">
        <v>17</v>
      </c>
      <c r="D781" t="s">
        <v>37</v>
      </c>
      <c r="E781" t="s">
        <v>78</v>
      </c>
      <c r="F781" t="s">
        <v>65</v>
      </c>
      <c r="G781" t="s">
        <v>117</v>
      </c>
      <c r="H781">
        <v>8</v>
      </c>
      <c r="I781">
        <v>1200</v>
      </c>
      <c r="J781">
        <v>5</v>
      </c>
      <c r="K781">
        <v>9120</v>
      </c>
      <c r="L781">
        <v>4104</v>
      </c>
      <c r="M781">
        <v>5016</v>
      </c>
      <c r="N781" t="s">
        <v>30</v>
      </c>
      <c r="O781" t="s">
        <v>44</v>
      </c>
      <c r="P781" t="s">
        <v>24</v>
      </c>
      <c r="Q781" t="str">
        <f>TEXT(clean_data[[#This Row],[Date]],"mmm")</f>
        <v>Jun</v>
      </c>
      <c r="R781">
        <f>YEAR(clean_data[[#This Row],[Date]])</f>
        <v>2024</v>
      </c>
      <c r="S781" s="2">
        <f>clean_data[[#This Row],[Profit]]/clean_data[[#This Row],[Revenue]]</f>
        <v>0.55000000000000004</v>
      </c>
      <c r="T781" t="str" cm="1">
        <f t="array" ref="T781">_xlfn.IFS(clean_data[[#This Row],[Revenue]]&lt;300000,"Small",
     clean_data[[#This Row],[Revenue]]&lt;700000,"Medium",
     TRUE,"Large")</f>
        <v>Small</v>
      </c>
      <c r="U781" t="str" cm="1">
        <f t="array" ref="U781">_xlfn.IFS(clean_data[[#This Row],[profit margin%]]&lt;0.5,"Low Profit",
     clean_data[[#This Row],[profit margin%]]&lt;0.6,"Medium Profit",
     TRUE,"High Profit")</f>
        <v>Medium Profit</v>
      </c>
      <c r="V781" t="str">
        <f>TEXT(clean_data[[#This Row],[Date]],"mmm-yyyy")</f>
        <v>Jun-2024</v>
      </c>
      <c r="W781" s="8">
        <f>EOMONTH(clean_data[[#This Row],[Date]],-1)+1</f>
        <v>45444</v>
      </c>
    </row>
    <row r="782" spans="1:23" x14ac:dyDescent="0.3">
      <c r="A782" t="s">
        <v>854</v>
      </c>
      <c r="B782" s="1">
        <v>45609</v>
      </c>
      <c r="C782" t="s">
        <v>17</v>
      </c>
      <c r="D782" t="s">
        <v>37</v>
      </c>
      <c r="E782" t="s">
        <v>38</v>
      </c>
      <c r="F782" t="s">
        <v>65</v>
      </c>
      <c r="G782" t="s">
        <v>104</v>
      </c>
      <c r="H782">
        <v>3</v>
      </c>
      <c r="I782">
        <v>3000</v>
      </c>
      <c r="J782">
        <v>20</v>
      </c>
      <c r="K782">
        <v>7200</v>
      </c>
      <c r="L782">
        <v>3240</v>
      </c>
      <c r="M782">
        <v>3960</v>
      </c>
      <c r="N782" t="s">
        <v>30</v>
      </c>
      <c r="O782" t="s">
        <v>67</v>
      </c>
      <c r="P782" t="s">
        <v>40</v>
      </c>
      <c r="Q782" t="str">
        <f>TEXT(clean_data[[#This Row],[Date]],"mmm")</f>
        <v>Nov</v>
      </c>
      <c r="R782">
        <f>YEAR(clean_data[[#This Row],[Date]])</f>
        <v>2024</v>
      </c>
      <c r="S782" s="2">
        <f>clean_data[[#This Row],[Profit]]/clean_data[[#This Row],[Revenue]]</f>
        <v>0.55000000000000004</v>
      </c>
      <c r="T782" t="str" cm="1">
        <f t="array" ref="T782">_xlfn.IFS(clean_data[[#This Row],[Revenue]]&lt;300000,"Small",
     clean_data[[#This Row],[Revenue]]&lt;700000,"Medium",
     TRUE,"Large")</f>
        <v>Small</v>
      </c>
      <c r="U782" t="str" cm="1">
        <f t="array" ref="U782">_xlfn.IFS(clean_data[[#This Row],[profit margin%]]&lt;0.5,"Low Profit",
     clean_data[[#This Row],[profit margin%]]&lt;0.6,"Medium Profit",
     TRUE,"High Profit")</f>
        <v>Medium Profit</v>
      </c>
      <c r="V782" t="str">
        <f>TEXT(clean_data[[#This Row],[Date]],"mmm-yyyy")</f>
        <v>Nov-2024</v>
      </c>
      <c r="W782" s="8">
        <f>EOMONTH(clean_data[[#This Row],[Date]],-1)+1</f>
        <v>45597</v>
      </c>
    </row>
    <row r="783" spans="1:23" x14ac:dyDescent="0.3">
      <c r="A783" t="s">
        <v>855</v>
      </c>
      <c r="B783" s="1">
        <v>45133</v>
      </c>
      <c r="C783" t="s">
        <v>46</v>
      </c>
      <c r="D783" t="s">
        <v>55</v>
      </c>
      <c r="E783" t="s">
        <v>19</v>
      </c>
      <c r="F783" t="s">
        <v>28</v>
      </c>
      <c r="G783" t="s">
        <v>71</v>
      </c>
      <c r="H783">
        <v>9</v>
      </c>
      <c r="I783">
        <v>35000</v>
      </c>
      <c r="J783">
        <v>20</v>
      </c>
      <c r="K783">
        <v>252000</v>
      </c>
      <c r="L783">
        <v>138600</v>
      </c>
      <c r="M783">
        <v>113400</v>
      </c>
      <c r="N783" t="s">
        <v>49</v>
      </c>
      <c r="O783" t="s">
        <v>44</v>
      </c>
      <c r="P783" t="s">
        <v>40</v>
      </c>
      <c r="Q783" t="str">
        <f>TEXT(clean_data[[#This Row],[Date]],"mmm")</f>
        <v>Jul</v>
      </c>
      <c r="R783">
        <f>YEAR(clean_data[[#This Row],[Date]])</f>
        <v>2023</v>
      </c>
      <c r="S783" s="2">
        <f>clean_data[[#This Row],[Profit]]/clean_data[[#This Row],[Revenue]]</f>
        <v>0.45</v>
      </c>
      <c r="T783" t="str" cm="1">
        <f t="array" ref="T783">_xlfn.IFS(clean_data[[#This Row],[Revenue]]&lt;300000,"Small",
     clean_data[[#This Row],[Revenue]]&lt;700000,"Medium",
     TRUE,"Large")</f>
        <v>Small</v>
      </c>
      <c r="U783" t="str" cm="1">
        <f t="array" ref="U783">_xlfn.IFS(clean_data[[#This Row],[profit margin%]]&lt;0.5,"Low Profit",
     clean_data[[#This Row],[profit margin%]]&lt;0.6,"Medium Profit",
     TRUE,"High Profit")</f>
        <v>Low Profit</v>
      </c>
      <c r="V783" t="str">
        <f>TEXT(clean_data[[#This Row],[Date]],"mmm-yyyy")</f>
        <v>Jul-2023</v>
      </c>
      <c r="W783" s="8">
        <f>EOMONTH(clean_data[[#This Row],[Date]],-1)+1</f>
        <v>45108</v>
      </c>
    </row>
    <row r="784" spans="1:23" x14ac:dyDescent="0.3">
      <c r="A784" t="s">
        <v>856</v>
      </c>
      <c r="B784" s="1">
        <v>44738</v>
      </c>
      <c r="C784" t="s">
        <v>58</v>
      </c>
      <c r="D784" t="s">
        <v>64</v>
      </c>
      <c r="E784" t="s">
        <v>38</v>
      </c>
      <c r="F784" t="s">
        <v>28</v>
      </c>
      <c r="G784" t="s">
        <v>87</v>
      </c>
      <c r="H784">
        <v>33</v>
      </c>
      <c r="I784">
        <v>45000</v>
      </c>
      <c r="J784">
        <v>15</v>
      </c>
      <c r="K784">
        <v>1262250</v>
      </c>
      <c r="L784">
        <v>694237.5</v>
      </c>
      <c r="M784">
        <v>568012.5</v>
      </c>
      <c r="N784" t="s">
        <v>49</v>
      </c>
      <c r="O784" t="s">
        <v>23</v>
      </c>
      <c r="P784" t="s">
        <v>40</v>
      </c>
      <c r="Q784" t="str">
        <f>TEXT(clean_data[[#This Row],[Date]],"mmm")</f>
        <v>Jun</v>
      </c>
      <c r="R784">
        <f>YEAR(clean_data[[#This Row],[Date]])</f>
        <v>2022</v>
      </c>
      <c r="S784" s="2">
        <f>clean_data[[#This Row],[Profit]]/clean_data[[#This Row],[Revenue]]</f>
        <v>0.45</v>
      </c>
      <c r="T784" t="str" cm="1">
        <f t="array" ref="T784">_xlfn.IFS(clean_data[[#This Row],[Revenue]]&lt;300000,"Small",
     clean_data[[#This Row],[Revenue]]&lt;700000,"Medium",
     TRUE,"Large")</f>
        <v>Large</v>
      </c>
      <c r="U784" t="str" cm="1">
        <f t="array" ref="U784">_xlfn.IFS(clean_data[[#This Row],[profit margin%]]&lt;0.5,"Low Profit",
     clean_data[[#This Row],[profit margin%]]&lt;0.6,"Medium Profit",
     TRUE,"High Profit")</f>
        <v>Low Profit</v>
      </c>
      <c r="V784" t="str">
        <f>TEXT(clean_data[[#This Row],[Date]],"mmm-yyyy")</f>
        <v>Jun-2022</v>
      </c>
      <c r="W784" s="8">
        <f>EOMONTH(clean_data[[#This Row],[Date]],-1)+1</f>
        <v>44713</v>
      </c>
    </row>
    <row r="785" spans="1:23" x14ac:dyDescent="0.3">
      <c r="A785" t="s">
        <v>857</v>
      </c>
      <c r="B785" s="1">
        <v>45580</v>
      </c>
      <c r="C785" t="s">
        <v>46</v>
      </c>
      <c r="D785" t="s">
        <v>55</v>
      </c>
      <c r="E785" t="s">
        <v>70</v>
      </c>
      <c r="F785" t="s">
        <v>65</v>
      </c>
      <c r="G785" t="s">
        <v>66</v>
      </c>
      <c r="H785">
        <v>31</v>
      </c>
      <c r="I785">
        <v>5500</v>
      </c>
      <c r="J785">
        <v>10</v>
      </c>
      <c r="K785">
        <v>153450</v>
      </c>
      <c r="L785">
        <v>69052.5</v>
      </c>
      <c r="M785">
        <v>84397.5</v>
      </c>
      <c r="N785" t="s">
        <v>49</v>
      </c>
      <c r="O785" t="s">
        <v>67</v>
      </c>
      <c r="P785" t="s">
        <v>40</v>
      </c>
      <c r="Q785" t="str">
        <f>TEXT(clean_data[[#This Row],[Date]],"mmm")</f>
        <v>Oct</v>
      </c>
      <c r="R785">
        <f>YEAR(clean_data[[#This Row],[Date]])</f>
        <v>2024</v>
      </c>
      <c r="S785" s="2">
        <f>clean_data[[#This Row],[Profit]]/clean_data[[#This Row],[Revenue]]</f>
        <v>0.55000000000000004</v>
      </c>
      <c r="T785" t="str" cm="1">
        <f t="array" ref="T785">_xlfn.IFS(clean_data[[#This Row],[Revenue]]&lt;300000,"Small",
     clean_data[[#This Row],[Revenue]]&lt;700000,"Medium",
     TRUE,"Large")</f>
        <v>Small</v>
      </c>
      <c r="U785" t="str" cm="1">
        <f t="array" ref="U785">_xlfn.IFS(clean_data[[#This Row],[profit margin%]]&lt;0.5,"Low Profit",
     clean_data[[#This Row],[profit margin%]]&lt;0.6,"Medium Profit",
     TRUE,"High Profit")</f>
        <v>Medium Profit</v>
      </c>
      <c r="V785" t="str">
        <f>TEXT(clean_data[[#This Row],[Date]],"mmm-yyyy")</f>
        <v>Oct-2024</v>
      </c>
      <c r="W785" s="8">
        <f>EOMONTH(clean_data[[#This Row],[Date]],-1)+1</f>
        <v>45566</v>
      </c>
    </row>
    <row r="786" spans="1:23" x14ac:dyDescent="0.3">
      <c r="A786" t="s">
        <v>858</v>
      </c>
      <c r="B786" s="1">
        <v>44627</v>
      </c>
      <c r="C786" t="s">
        <v>46</v>
      </c>
      <c r="D786" t="s">
        <v>47</v>
      </c>
      <c r="E786" t="s">
        <v>60</v>
      </c>
      <c r="F786" t="s">
        <v>20</v>
      </c>
      <c r="G786" t="s">
        <v>115</v>
      </c>
      <c r="H786">
        <v>14</v>
      </c>
      <c r="I786">
        <v>2500</v>
      </c>
      <c r="J786">
        <v>10</v>
      </c>
      <c r="K786">
        <v>31500</v>
      </c>
      <c r="L786">
        <v>12600</v>
      </c>
      <c r="M786">
        <v>18900</v>
      </c>
      <c r="N786" t="s">
        <v>49</v>
      </c>
      <c r="O786" t="s">
        <v>67</v>
      </c>
      <c r="P786" t="s">
        <v>24</v>
      </c>
      <c r="Q786" t="str">
        <f>TEXT(clean_data[[#This Row],[Date]],"mmm")</f>
        <v>Mar</v>
      </c>
      <c r="R786">
        <f>YEAR(clean_data[[#This Row],[Date]])</f>
        <v>2022</v>
      </c>
      <c r="S786" s="2">
        <f>clean_data[[#This Row],[Profit]]/clean_data[[#This Row],[Revenue]]</f>
        <v>0.6</v>
      </c>
      <c r="T786" t="str" cm="1">
        <f t="array" ref="T786">_xlfn.IFS(clean_data[[#This Row],[Revenue]]&lt;300000,"Small",
     clean_data[[#This Row],[Revenue]]&lt;700000,"Medium",
     TRUE,"Large")</f>
        <v>Small</v>
      </c>
      <c r="U786" t="str" cm="1">
        <f t="array" ref="U786">_xlfn.IFS(clean_data[[#This Row],[profit margin%]]&lt;0.5,"Low Profit",
     clean_data[[#This Row],[profit margin%]]&lt;0.6,"Medium Profit",
     TRUE,"High Profit")</f>
        <v>High Profit</v>
      </c>
      <c r="V786" t="str">
        <f>TEXT(clean_data[[#This Row],[Date]],"mmm-yyyy")</f>
        <v>Mar-2022</v>
      </c>
      <c r="W786" s="8">
        <f>EOMONTH(clean_data[[#This Row],[Date]],-1)+1</f>
        <v>44621</v>
      </c>
    </row>
    <row r="787" spans="1:23" x14ac:dyDescent="0.3">
      <c r="A787" t="s">
        <v>859</v>
      </c>
      <c r="B787" s="1">
        <v>44892</v>
      </c>
      <c r="C787" t="s">
        <v>17</v>
      </c>
      <c r="D787" t="s">
        <v>37</v>
      </c>
      <c r="E787" t="s">
        <v>111</v>
      </c>
      <c r="F787" t="s">
        <v>28</v>
      </c>
      <c r="G787" t="s">
        <v>87</v>
      </c>
      <c r="H787">
        <v>49</v>
      </c>
      <c r="I787">
        <v>45000</v>
      </c>
      <c r="J787">
        <v>0</v>
      </c>
      <c r="K787">
        <v>2205000</v>
      </c>
      <c r="L787">
        <v>1212750</v>
      </c>
      <c r="M787">
        <v>992250</v>
      </c>
      <c r="N787" t="s">
        <v>49</v>
      </c>
      <c r="O787" t="s">
        <v>67</v>
      </c>
      <c r="P787" t="s">
        <v>24</v>
      </c>
      <c r="Q787" t="str">
        <f>TEXT(clean_data[[#This Row],[Date]],"mmm")</f>
        <v>Nov</v>
      </c>
      <c r="R787">
        <f>YEAR(clean_data[[#This Row],[Date]])</f>
        <v>2022</v>
      </c>
      <c r="S787" s="2">
        <f>clean_data[[#This Row],[Profit]]/clean_data[[#This Row],[Revenue]]</f>
        <v>0.45</v>
      </c>
      <c r="T787" t="str" cm="1">
        <f t="array" ref="T787">_xlfn.IFS(clean_data[[#This Row],[Revenue]]&lt;300000,"Small",
     clean_data[[#This Row],[Revenue]]&lt;700000,"Medium",
     TRUE,"Large")</f>
        <v>Large</v>
      </c>
      <c r="U787" t="str" cm="1">
        <f t="array" ref="U787">_xlfn.IFS(clean_data[[#This Row],[profit margin%]]&lt;0.5,"Low Profit",
     clean_data[[#This Row],[profit margin%]]&lt;0.6,"Medium Profit",
     TRUE,"High Profit")</f>
        <v>Low Profit</v>
      </c>
      <c r="V787" t="str">
        <f>TEXT(clean_data[[#This Row],[Date]],"mmm-yyyy")</f>
        <v>Nov-2022</v>
      </c>
      <c r="W787" s="8">
        <f>EOMONTH(clean_data[[#This Row],[Date]],-1)+1</f>
        <v>44866</v>
      </c>
    </row>
    <row r="788" spans="1:23" x14ac:dyDescent="0.3">
      <c r="A788" t="s">
        <v>860</v>
      </c>
      <c r="B788" s="1">
        <v>45238</v>
      </c>
      <c r="C788" t="s">
        <v>26</v>
      </c>
      <c r="D788" t="s">
        <v>69</v>
      </c>
      <c r="E788" t="s">
        <v>111</v>
      </c>
      <c r="F788" t="s">
        <v>33</v>
      </c>
      <c r="G788" t="s">
        <v>48</v>
      </c>
      <c r="H788">
        <v>29</v>
      </c>
      <c r="I788">
        <v>1500</v>
      </c>
      <c r="J788">
        <v>15</v>
      </c>
      <c r="K788">
        <v>36975</v>
      </c>
      <c r="L788">
        <v>18487.5</v>
      </c>
      <c r="M788">
        <v>18487.5</v>
      </c>
      <c r="N788" t="s">
        <v>49</v>
      </c>
      <c r="O788" t="s">
        <v>50</v>
      </c>
      <c r="P788" t="s">
        <v>24</v>
      </c>
      <c r="Q788" t="str">
        <f>TEXT(clean_data[[#This Row],[Date]],"mmm")</f>
        <v>Nov</v>
      </c>
      <c r="R788">
        <f>YEAR(clean_data[[#This Row],[Date]])</f>
        <v>2023</v>
      </c>
      <c r="S788" s="2">
        <f>clean_data[[#This Row],[Profit]]/clean_data[[#This Row],[Revenue]]</f>
        <v>0.5</v>
      </c>
      <c r="T788" t="str" cm="1">
        <f t="array" ref="T788">_xlfn.IFS(clean_data[[#This Row],[Revenue]]&lt;300000,"Small",
     clean_data[[#This Row],[Revenue]]&lt;700000,"Medium",
     TRUE,"Large")</f>
        <v>Small</v>
      </c>
      <c r="U788" t="str" cm="1">
        <f t="array" ref="U788">_xlfn.IFS(clean_data[[#This Row],[profit margin%]]&lt;0.5,"Low Profit",
     clean_data[[#This Row],[profit margin%]]&lt;0.6,"Medium Profit",
     TRUE,"High Profit")</f>
        <v>Medium Profit</v>
      </c>
      <c r="V788" t="str">
        <f>TEXT(clean_data[[#This Row],[Date]],"mmm-yyyy")</f>
        <v>Nov-2023</v>
      </c>
      <c r="W788" s="8">
        <f>EOMONTH(clean_data[[#This Row],[Date]],-1)+1</f>
        <v>45231</v>
      </c>
    </row>
    <row r="789" spans="1:23" x14ac:dyDescent="0.3">
      <c r="A789" t="s">
        <v>861</v>
      </c>
      <c r="B789" s="1">
        <v>45515</v>
      </c>
      <c r="C789" t="s">
        <v>17</v>
      </c>
      <c r="D789" t="s">
        <v>37</v>
      </c>
      <c r="E789" t="s">
        <v>56</v>
      </c>
      <c r="F789" t="s">
        <v>20</v>
      </c>
      <c r="G789" t="s">
        <v>115</v>
      </c>
      <c r="H789">
        <v>15</v>
      </c>
      <c r="I789">
        <v>2500</v>
      </c>
      <c r="J789">
        <v>10</v>
      </c>
      <c r="K789">
        <v>33750</v>
      </c>
      <c r="L789">
        <v>13500</v>
      </c>
      <c r="M789">
        <v>20250</v>
      </c>
      <c r="N789" t="s">
        <v>49</v>
      </c>
      <c r="O789" t="s">
        <v>35</v>
      </c>
      <c r="P789" t="s">
        <v>24</v>
      </c>
      <c r="Q789" t="str">
        <f>TEXT(clean_data[[#This Row],[Date]],"mmm")</f>
        <v>Aug</v>
      </c>
      <c r="R789">
        <f>YEAR(clean_data[[#This Row],[Date]])</f>
        <v>2024</v>
      </c>
      <c r="S789" s="2">
        <f>clean_data[[#This Row],[Profit]]/clean_data[[#This Row],[Revenue]]</f>
        <v>0.6</v>
      </c>
      <c r="T789" t="str" cm="1">
        <f t="array" ref="T789">_xlfn.IFS(clean_data[[#This Row],[Revenue]]&lt;300000,"Small",
     clean_data[[#This Row],[Revenue]]&lt;700000,"Medium",
     TRUE,"Large")</f>
        <v>Small</v>
      </c>
      <c r="U789" t="str" cm="1">
        <f t="array" ref="U789">_xlfn.IFS(clean_data[[#This Row],[profit margin%]]&lt;0.5,"Low Profit",
     clean_data[[#This Row],[profit margin%]]&lt;0.6,"Medium Profit",
     TRUE,"High Profit")</f>
        <v>High Profit</v>
      </c>
      <c r="V789" t="str">
        <f>TEXT(clean_data[[#This Row],[Date]],"mmm-yyyy")</f>
        <v>Aug-2024</v>
      </c>
      <c r="W789" s="8">
        <f>EOMONTH(clean_data[[#This Row],[Date]],-1)+1</f>
        <v>45505</v>
      </c>
    </row>
    <row r="790" spans="1:23" x14ac:dyDescent="0.3">
      <c r="A790" t="s">
        <v>862</v>
      </c>
      <c r="B790" s="1">
        <v>45134</v>
      </c>
      <c r="C790" t="s">
        <v>26</v>
      </c>
      <c r="D790" t="s">
        <v>69</v>
      </c>
      <c r="E790" t="s">
        <v>19</v>
      </c>
      <c r="F790" t="s">
        <v>28</v>
      </c>
      <c r="G790" t="s">
        <v>95</v>
      </c>
      <c r="H790">
        <v>5</v>
      </c>
      <c r="I790">
        <v>75000</v>
      </c>
      <c r="J790">
        <v>10</v>
      </c>
      <c r="K790">
        <v>337500</v>
      </c>
      <c r="L790">
        <v>185625</v>
      </c>
      <c r="M790">
        <v>151875</v>
      </c>
      <c r="N790" t="s">
        <v>22</v>
      </c>
      <c r="O790" t="s">
        <v>44</v>
      </c>
      <c r="P790" t="s">
        <v>24</v>
      </c>
      <c r="Q790" t="str">
        <f>TEXT(clean_data[[#This Row],[Date]],"mmm")</f>
        <v>Jul</v>
      </c>
      <c r="R790">
        <f>YEAR(clean_data[[#This Row],[Date]])</f>
        <v>2023</v>
      </c>
      <c r="S790" s="2">
        <f>clean_data[[#This Row],[Profit]]/clean_data[[#This Row],[Revenue]]</f>
        <v>0.45</v>
      </c>
      <c r="T790" t="str" cm="1">
        <f t="array" ref="T790">_xlfn.IFS(clean_data[[#This Row],[Revenue]]&lt;300000,"Small",
     clean_data[[#This Row],[Revenue]]&lt;700000,"Medium",
     TRUE,"Large")</f>
        <v>Medium</v>
      </c>
      <c r="U790" t="str" cm="1">
        <f t="array" ref="U790">_xlfn.IFS(clean_data[[#This Row],[profit margin%]]&lt;0.5,"Low Profit",
     clean_data[[#This Row],[profit margin%]]&lt;0.6,"Medium Profit",
     TRUE,"High Profit")</f>
        <v>Low Profit</v>
      </c>
      <c r="V790" t="str">
        <f>TEXT(clean_data[[#This Row],[Date]],"mmm-yyyy")</f>
        <v>Jul-2023</v>
      </c>
      <c r="W790" s="8">
        <f>EOMONTH(clean_data[[#This Row],[Date]],-1)+1</f>
        <v>45108</v>
      </c>
    </row>
    <row r="791" spans="1:23" x14ac:dyDescent="0.3">
      <c r="A791" t="s">
        <v>863</v>
      </c>
      <c r="B791" s="1">
        <v>45206</v>
      </c>
      <c r="C791" t="s">
        <v>17</v>
      </c>
      <c r="D791" t="s">
        <v>37</v>
      </c>
      <c r="E791" t="s">
        <v>73</v>
      </c>
      <c r="F791" t="s">
        <v>33</v>
      </c>
      <c r="G791" t="s">
        <v>76</v>
      </c>
      <c r="H791">
        <v>46</v>
      </c>
      <c r="I791">
        <v>8500</v>
      </c>
      <c r="J791">
        <v>20</v>
      </c>
      <c r="K791">
        <v>312800</v>
      </c>
      <c r="L791">
        <v>156400</v>
      </c>
      <c r="M791">
        <v>156400</v>
      </c>
      <c r="N791" t="s">
        <v>22</v>
      </c>
      <c r="O791" t="s">
        <v>67</v>
      </c>
      <c r="P791" t="s">
        <v>24</v>
      </c>
      <c r="Q791" t="str">
        <f>TEXT(clean_data[[#This Row],[Date]],"mmm")</f>
        <v>Oct</v>
      </c>
      <c r="R791">
        <f>YEAR(clean_data[[#This Row],[Date]])</f>
        <v>2023</v>
      </c>
      <c r="S791" s="2">
        <f>clean_data[[#This Row],[Profit]]/clean_data[[#This Row],[Revenue]]</f>
        <v>0.5</v>
      </c>
      <c r="T791" t="str" cm="1">
        <f t="array" ref="T791">_xlfn.IFS(clean_data[[#This Row],[Revenue]]&lt;300000,"Small",
     clean_data[[#This Row],[Revenue]]&lt;700000,"Medium",
     TRUE,"Large")</f>
        <v>Medium</v>
      </c>
      <c r="U791" t="str" cm="1">
        <f t="array" ref="U791">_xlfn.IFS(clean_data[[#This Row],[profit margin%]]&lt;0.5,"Low Profit",
     clean_data[[#This Row],[profit margin%]]&lt;0.6,"Medium Profit",
     TRUE,"High Profit")</f>
        <v>Medium Profit</v>
      </c>
      <c r="V791" t="str">
        <f>TEXT(clean_data[[#This Row],[Date]],"mmm-yyyy")</f>
        <v>Oct-2023</v>
      </c>
      <c r="W791" s="8">
        <f>EOMONTH(clean_data[[#This Row],[Date]],-1)+1</f>
        <v>45200</v>
      </c>
    </row>
    <row r="792" spans="1:23" x14ac:dyDescent="0.3">
      <c r="A792" t="s">
        <v>864</v>
      </c>
      <c r="B792" s="1">
        <v>45047</v>
      </c>
      <c r="C792" t="s">
        <v>17</v>
      </c>
      <c r="D792" t="s">
        <v>37</v>
      </c>
      <c r="E792" t="s">
        <v>70</v>
      </c>
      <c r="F792" t="s">
        <v>65</v>
      </c>
      <c r="G792" t="s">
        <v>66</v>
      </c>
      <c r="H792">
        <v>38</v>
      </c>
      <c r="I792">
        <v>5500</v>
      </c>
      <c r="J792">
        <v>0</v>
      </c>
      <c r="K792">
        <v>209000</v>
      </c>
      <c r="L792">
        <v>94050</v>
      </c>
      <c r="M792">
        <v>114950</v>
      </c>
      <c r="N792" t="s">
        <v>22</v>
      </c>
      <c r="O792" t="s">
        <v>67</v>
      </c>
      <c r="P792" t="s">
        <v>24</v>
      </c>
      <c r="Q792" t="str">
        <f>TEXT(clean_data[[#This Row],[Date]],"mmm")</f>
        <v>May</v>
      </c>
      <c r="R792">
        <f>YEAR(clean_data[[#This Row],[Date]])</f>
        <v>2023</v>
      </c>
      <c r="S792" s="2">
        <f>clean_data[[#This Row],[Profit]]/clean_data[[#This Row],[Revenue]]</f>
        <v>0.55000000000000004</v>
      </c>
      <c r="T792" t="str" cm="1">
        <f t="array" ref="T792">_xlfn.IFS(clean_data[[#This Row],[Revenue]]&lt;300000,"Small",
     clean_data[[#This Row],[Revenue]]&lt;700000,"Medium",
     TRUE,"Large")</f>
        <v>Small</v>
      </c>
      <c r="U792" t="str" cm="1">
        <f t="array" ref="U792">_xlfn.IFS(clean_data[[#This Row],[profit margin%]]&lt;0.5,"Low Profit",
     clean_data[[#This Row],[profit margin%]]&lt;0.6,"Medium Profit",
     TRUE,"High Profit")</f>
        <v>Medium Profit</v>
      </c>
      <c r="V792" t="str">
        <f>TEXT(clean_data[[#This Row],[Date]],"mmm-yyyy")</f>
        <v>May-2023</v>
      </c>
      <c r="W792" s="8">
        <f>EOMONTH(clean_data[[#This Row],[Date]],-1)+1</f>
        <v>45047</v>
      </c>
    </row>
    <row r="793" spans="1:23" x14ac:dyDescent="0.3">
      <c r="A793" t="s">
        <v>865</v>
      </c>
      <c r="B793" s="1">
        <v>44862</v>
      </c>
      <c r="C793" t="s">
        <v>58</v>
      </c>
      <c r="D793" t="s">
        <v>84</v>
      </c>
      <c r="E793" t="s">
        <v>19</v>
      </c>
      <c r="F793" t="s">
        <v>20</v>
      </c>
      <c r="G793" t="s">
        <v>115</v>
      </c>
      <c r="H793">
        <v>15</v>
      </c>
      <c r="I793">
        <v>2500</v>
      </c>
      <c r="J793">
        <v>20</v>
      </c>
      <c r="K793">
        <v>30000</v>
      </c>
      <c r="L793">
        <v>12000</v>
      </c>
      <c r="M793">
        <v>18000</v>
      </c>
      <c r="N793" t="s">
        <v>22</v>
      </c>
      <c r="O793" t="s">
        <v>23</v>
      </c>
      <c r="P793" t="s">
        <v>40</v>
      </c>
      <c r="Q793" t="str">
        <f>TEXT(clean_data[[#This Row],[Date]],"mmm")</f>
        <v>Oct</v>
      </c>
      <c r="R793">
        <f>YEAR(clean_data[[#This Row],[Date]])</f>
        <v>2022</v>
      </c>
      <c r="S793" s="2">
        <f>clean_data[[#This Row],[Profit]]/clean_data[[#This Row],[Revenue]]</f>
        <v>0.6</v>
      </c>
      <c r="T793" t="str" cm="1">
        <f t="array" ref="T793">_xlfn.IFS(clean_data[[#This Row],[Revenue]]&lt;300000,"Small",
     clean_data[[#This Row],[Revenue]]&lt;700000,"Medium",
     TRUE,"Large")</f>
        <v>Small</v>
      </c>
      <c r="U793" t="str" cm="1">
        <f t="array" ref="U793">_xlfn.IFS(clean_data[[#This Row],[profit margin%]]&lt;0.5,"Low Profit",
     clean_data[[#This Row],[profit margin%]]&lt;0.6,"Medium Profit",
     TRUE,"High Profit")</f>
        <v>High Profit</v>
      </c>
      <c r="V793" t="str">
        <f>TEXT(clean_data[[#This Row],[Date]],"mmm-yyyy")</f>
        <v>Oct-2022</v>
      </c>
      <c r="W793" s="8">
        <f>EOMONTH(clean_data[[#This Row],[Date]],-1)+1</f>
        <v>44835</v>
      </c>
    </row>
    <row r="794" spans="1:23" x14ac:dyDescent="0.3">
      <c r="A794" t="s">
        <v>866</v>
      </c>
      <c r="B794" s="1">
        <v>45454</v>
      </c>
      <c r="C794" t="s">
        <v>26</v>
      </c>
      <c r="D794" t="s">
        <v>69</v>
      </c>
      <c r="E794" t="s">
        <v>19</v>
      </c>
      <c r="F794" t="s">
        <v>65</v>
      </c>
      <c r="G794" t="s">
        <v>66</v>
      </c>
      <c r="H794">
        <v>14</v>
      </c>
      <c r="I794">
        <v>5500</v>
      </c>
      <c r="J794">
        <v>15</v>
      </c>
      <c r="K794">
        <v>65450</v>
      </c>
      <c r="L794">
        <v>29452.5</v>
      </c>
      <c r="M794">
        <v>35997.5</v>
      </c>
      <c r="N794" t="s">
        <v>22</v>
      </c>
      <c r="O794" t="s">
        <v>35</v>
      </c>
      <c r="P794" t="s">
        <v>24</v>
      </c>
      <c r="Q794" t="str">
        <f>TEXT(clean_data[[#This Row],[Date]],"mmm")</f>
        <v>Jun</v>
      </c>
      <c r="R794">
        <f>YEAR(clean_data[[#This Row],[Date]])</f>
        <v>2024</v>
      </c>
      <c r="S794" s="2">
        <f>clean_data[[#This Row],[Profit]]/clean_data[[#This Row],[Revenue]]</f>
        <v>0.55000000000000004</v>
      </c>
      <c r="T794" t="str" cm="1">
        <f t="array" ref="T794">_xlfn.IFS(clean_data[[#This Row],[Revenue]]&lt;300000,"Small",
     clean_data[[#This Row],[Revenue]]&lt;700000,"Medium",
     TRUE,"Large")</f>
        <v>Small</v>
      </c>
      <c r="U794" t="str" cm="1">
        <f t="array" ref="U794">_xlfn.IFS(clean_data[[#This Row],[profit margin%]]&lt;0.5,"Low Profit",
     clean_data[[#This Row],[profit margin%]]&lt;0.6,"Medium Profit",
     TRUE,"High Profit")</f>
        <v>Medium Profit</v>
      </c>
      <c r="V794" t="str">
        <f>TEXT(clean_data[[#This Row],[Date]],"mmm-yyyy")</f>
        <v>Jun-2024</v>
      </c>
      <c r="W794" s="8">
        <f>EOMONTH(clean_data[[#This Row],[Date]],-1)+1</f>
        <v>45444</v>
      </c>
    </row>
    <row r="795" spans="1:23" x14ac:dyDescent="0.3">
      <c r="A795" t="s">
        <v>867</v>
      </c>
      <c r="B795" s="1">
        <v>45265</v>
      </c>
      <c r="C795" t="s">
        <v>46</v>
      </c>
      <c r="D795" t="s">
        <v>55</v>
      </c>
      <c r="E795" t="s">
        <v>56</v>
      </c>
      <c r="F795" t="s">
        <v>65</v>
      </c>
      <c r="G795" t="s">
        <v>124</v>
      </c>
      <c r="H795">
        <v>22</v>
      </c>
      <c r="I795">
        <v>18000</v>
      </c>
      <c r="J795">
        <v>5</v>
      </c>
      <c r="K795">
        <v>376200</v>
      </c>
      <c r="L795">
        <v>169290</v>
      </c>
      <c r="M795">
        <v>206910</v>
      </c>
      <c r="N795" t="s">
        <v>49</v>
      </c>
      <c r="O795" t="s">
        <v>23</v>
      </c>
      <c r="P795" t="s">
        <v>24</v>
      </c>
      <c r="Q795" t="str">
        <f>TEXT(clean_data[[#This Row],[Date]],"mmm")</f>
        <v>Dec</v>
      </c>
      <c r="R795">
        <f>YEAR(clean_data[[#This Row],[Date]])</f>
        <v>2023</v>
      </c>
      <c r="S795" s="2">
        <f>clean_data[[#This Row],[Profit]]/clean_data[[#This Row],[Revenue]]</f>
        <v>0.55000000000000004</v>
      </c>
      <c r="T795" t="str" cm="1">
        <f t="array" ref="T795">_xlfn.IFS(clean_data[[#This Row],[Revenue]]&lt;300000,"Small",
     clean_data[[#This Row],[Revenue]]&lt;700000,"Medium",
     TRUE,"Large")</f>
        <v>Medium</v>
      </c>
      <c r="U795" t="str" cm="1">
        <f t="array" ref="U795">_xlfn.IFS(clean_data[[#This Row],[profit margin%]]&lt;0.5,"Low Profit",
     clean_data[[#This Row],[profit margin%]]&lt;0.6,"Medium Profit",
     TRUE,"High Profit")</f>
        <v>Medium Profit</v>
      </c>
      <c r="V795" t="str">
        <f>TEXT(clean_data[[#This Row],[Date]],"mmm-yyyy")</f>
        <v>Dec-2023</v>
      </c>
      <c r="W795" s="8">
        <f>EOMONTH(clean_data[[#This Row],[Date]],-1)+1</f>
        <v>45261</v>
      </c>
    </row>
    <row r="796" spans="1:23" x14ac:dyDescent="0.3">
      <c r="A796" t="s">
        <v>868</v>
      </c>
      <c r="B796" s="1">
        <v>45606</v>
      </c>
      <c r="C796" t="s">
        <v>17</v>
      </c>
      <c r="D796" t="s">
        <v>42</v>
      </c>
      <c r="E796" t="s">
        <v>56</v>
      </c>
      <c r="F796" t="s">
        <v>28</v>
      </c>
      <c r="G796" t="s">
        <v>87</v>
      </c>
      <c r="H796">
        <v>10</v>
      </c>
      <c r="I796">
        <v>45000</v>
      </c>
      <c r="J796">
        <v>10</v>
      </c>
      <c r="K796">
        <v>405000</v>
      </c>
      <c r="L796">
        <v>222750</v>
      </c>
      <c r="M796">
        <v>182250</v>
      </c>
      <c r="N796" t="s">
        <v>22</v>
      </c>
      <c r="O796" t="s">
        <v>67</v>
      </c>
      <c r="P796" t="s">
        <v>40</v>
      </c>
      <c r="Q796" t="str">
        <f>TEXT(clean_data[[#This Row],[Date]],"mmm")</f>
        <v>Nov</v>
      </c>
      <c r="R796">
        <f>YEAR(clean_data[[#This Row],[Date]])</f>
        <v>2024</v>
      </c>
      <c r="S796" s="2">
        <f>clean_data[[#This Row],[Profit]]/clean_data[[#This Row],[Revenue]]</f>
        <v>0.45</v>
      </c>
      <c r="T796" t="str" cm="1">
        <f t="array" ref="T796">_xlfn.IFS(clean_data[[#This Row],[Revenue]]&lt;300000,"Small",
     clean_data[[#This Row],[Revenue]]&lt;700000,"Medium",
     TRUE,"Large")</f>
        <v>Medium</v>
      </c>
      <c r="U796" t="str" cm="1">
        <f t="array" ref="U796">_xlfn.IFS(clean_data[[#This Row],[profit margin%]]&lt;0.5,"Low Profit",
     clean_data[[#This Row],[profit margin%]]&lt;0.6,"Medium Profit",
     TRUE,"High Profit")</f>
        <v>Low Profit</v>
      </c>
      <c r="V796" t="str">
        <f>TEXT(clean_data[[#This Row],[Date]],"mmm-yyyy")</f>
        <v>Nov-2024</v>
      </c>
      <c r="W796" s="8">
        <f>EOMONTH(clean_data[[#This Row],[Date]],-1)+1</f>
        <v>45597</v>
      </c>
    </row>
    <row r="797" spans="1:23" x14ac:dyDescent="0.3">
      <c r="A797" t="s">
        <v>869</v>
      </c>
      <c r="B797" s="1">
        <v>45335</v>
      </c>
      <c r="C797" t="s">
        <v>46</v>
      </c>
      <c r="D797" t="s">
        <v>55</v>
      </c>
      <c r="E797" t="s">
        <v>52</v>
      </c>
      <c r="F797" t="s">
        <v>65</v>
      </c>
      <c r="G797" t="s">
        <v>104</v>
      </c>
      <c r="H797">
        <v>31</v>
      </c>
      <c r="I797">
        <v>3000</v>
      </c>
      <c r="J797">
        <v>0</v>
      </c>
      <c r="K797">
        <v>93000</v>
      </c>
      <c r="L797">
        <v>41850</v>
      </c>
      <c r="M797">
        <v>51150</v>
      </c>
      <c r="N797" t="s">
        <v>22</v>
      </c>
      <c r="O797" t="s">
        <v>23</v>
      </c>
      <c r="P797" t="s">
        <v>24</v>
      </c>
      <c r="Q797" t="str">
        <f>TEXT(clean_data[[#This Row],[Date]],"mmm")</f>
        <v>Feb</v>
      </c>
      <c r="R797">
        <f>YEAR(clean_data[[#This Row],[Date]])</f>
        <v>2024</v>
      </c>
      <c r="S797" s="2">
        <f>clean_data[[#This Row],[Profit]]/clean_data[[#This Row],[Revenue]]</f>
        <v>0.55000000000000004</v>
      </c>
      <c r="T797" t="str" cm="1">
        <f t="array" ref="T797">_xlfn.IFS(clean_data[[#This Row],[Revenue]]&lt;300000,"Small",
     clean_data[[#This Row],[Revenue]]&lt;700000,"Medium",
     TRUE,"Large")</f>
        <v>Small</v>
      </c>
      <c r="U797" t="str" cm="1">
        <f t="array" ref="U797">_xlfn.IFS(clean_data[[#This Row],[profit margin%]]&lt;0.5,"Low Profit",
     clean_data[[#This Row],[profit margin%]]&lt;0.6,"Medium Profit",
     TRUE,"High Profit")</f>
        <v>Medium Profit</v>
      </c>
      <c r="V797" t="str">
        <f>TEXT(clean_data[[#This Row],[Date]],"mmm-yyyy")</f>
        <v>Feb-2024</v>
      </c>
      <c r="W797" s="8">
        <f>EOMONTH(clean_data[[#This Row],[Date]],-1)+1</f>
        <v>45323</v>
      </c>
    </row>
    <row r="798" spans="1:23" x14ac:dyDescent="0.3">
      <c r="A798" t="s">
        <v>870</v>
      </c>
      <c r="B798" s="1">
        <v>45141</v>
      </c>
      <c r="C798" t="s">
        <v>46</v>
      </c>
      <c r="D798" t="s">
        <v>47</v>
      </c>
      <c r="E798" t="s">
        <v>111</v>
      </c>
      <c r="F798" t="s">
        <v>20</v>
      </c>
      <c r="G798" t="s">
        <v>21</v>
      </c>
      <c r="H798">
        <v>45</v>
      </c>
      <c r="I798">
        <v>3500</v>
      </c>
      <c r="J798">
        <v>20</v>
      </c>
      <c r="K798">
        <v>126000</v>
      </c>
      <c r="L798">
        <v>50400</v>
      </c>
      <c r="M798">
        <v>75600</v>
      </c>
      <c r="N798" t="s">
        <v>30</v>
      </c>
      <c r="O798" t="s">
        <v>44</v>
      </c>
      <c r="P798" t="s">
        <v>24</v>
      </c>
      <c r="Q798" t="str">
        <f>TEXT(clean_data[[#This Row],[Date]],"mmm")</f>
        <v>Aug</v>
      </c>
      <c r="R798">
        <f>YEAR(clean_data[[#This Row],[Date]])</f>
        <v>2023</v>
      </c>
      <c r="S798" s="2">
        <f>clean_data[[#This Row],[Profit]]/clean_data[[#This Row],[Revenue]]</f>
        <v>0.6</v>
      </c>
      <c r="T798" t="str" cm="1">
        <f t="array" ref="T798">_xlfn.IFS(clean_data[[#This Row],[Revenue]]&lt;300000,"Small",
     clean_data[[#This Row],[Revenue]]&lt;700000,"Medium",
     TRUE,"Large")</f>
        <v>Small</v>
      </c>
      <c r="U798" t="str" cm="1">
        <f t="array" ref="U798">_xlfn.IFS(clean_data[[#This Row],[profit margin%]]&lt;0.5,"Low Profit",
     clean_data[[#This Row],[profit margin%]]&lt;0.6,"Medium Profit",
     TRUE,"High Profit")</f>
        <v>High Profit</v>
      </c>
      <c r="V798" t="str">
        <f>TEXT(clean_data[[#This Row],[Date]],"mmm-yyyy")</f>
        <v>Aug-2023</v>
      </c>
      <c r="W798" s="8">
        <f>EOMONTH(clean_data[[#This Row],[Date]],-1)+1</f>
        <v>45139</v>
      </c>
    </row>
    <row r="799" spans="1:23" x14ac:dyDescent="0.3">
      <c r="A799" t="s">
        <v>871</v>
      </c>
      <c r="B799" s="1">
        <v>44929</v>
      </c>
      <c r="C799" t="s">
        <v>58</v>
      </c>
      <c r="D799" t="s">
        <v>59</v>
      </c>
      <c r="E799" t="s">
        <v>19</v>
      </c>
      <c r="F799" t="s">
        <v>20</v>
      </c>
      <c r="G799" t="s">
        <v>61</v>
      </c>
      <c r="H799">
        <v>43</v>
      </c>
      <c r="I799">
        <v>800</v>
      </c>
      <c r="J799">
        <v>20</v>
      </c>
      <c r="K799">
        <v>27520</v>
      </c>
      <c r="L799">
        <v>11008</v>
      </c>
      <c r="M799">
        <v>16512</v>
      </c>
      <c r="N799" t="s">
        <v>49</v>
      </c>
      <c r="O799" t="s">
        <v>35</v>
      </c>
      <c r="P799" t="s">
        <v>24</v>
      </c>
      <c r="Q799" t="str">
        <f>TEXT(clean_data[[#This Row],[Date]],"mmm")</f>
        <v>Jan</v>
      </c>
      <c r="R799">
        <f>YEAR(clean_data[[#This Row],[Date]])</f>
        <v>2023</v>
      </c>
      <c r="S799" s="2">
        <f>clean_data[[#This Row],[Profit]]/clean_data[[#This Row],[Revenue]]</f>
        <v>0.6</v>
      </c>
      <c r="T799" t="str" cm="1">
        <f t="array" ref="T799">_xlfn.IFS(clean_data[[#This Row],[Revenue]]&lt;300000,"Small",
     clean_data[[#This Row],[Revenue]]&lt;700000,"Medium",
     TRUE,"Large")</f>
        <v>Small</v>
      </c>
      <c r="U799" t="str" cm="1">
        <f t="array" ref="U799">_xlfn.IFS(clean_data[[#This Row],[profit margin%]]&lt;0.5,"Low Profit",
     clean_data[[#This Row],[profit margin%]]&lt;0.6,"Medium Profit",
     TRUE,"High Profit")</f>
        <v>High Profit</v>
      </c>
      <c r="V799" t="str">
        <f>TEXT(clean_data[[#This Row],[Date]],"mmm-yyyy")</f>
        <v>Jan-2023</v>
      </c>
      <c r="W799" s="8">
        <f>EOMONTH(clean_data[[#This Row],[Date]],-1)+1</f>
        <v>44927</v>
      </c>
    </row>
    <row r="800" spans="1:23" x14ac:dyDescent="0.3">
      <c r="A800" t="s">
        <v>872</v>
      </c>
      <c r="B800" s="1">
        <v>45277</v>
      </c>
      <c r="C800" t="s">
        <v>26</v>
      </c>
      <c r="D800" t="s">
        <v>27</v>
      </c>
      <c r="E800" t="s">
        <v>70</v>
      </c>
      <c r="F800" t="s">
        <v>65</v>
      </c>
      <c r="G800" t="s">
        <v>66</v>
      </c>
      <c r="H800">
        <v>11</v>
      </c>
      <c r="I800">
        <v>5500</v>
      </c>
      <c r="J800">
        <v>0</v>
      </c>
      <c r="K800">
        <v>60500</v>
      </c>
      <c r="L800">
        <v>27225</v>
      </c>
      <c r="M800">
        <v>33275</v>
      </c>
      <c r="N800" t="s">
        <v>22</v>
      </c>
      <c r="O800" t="s">
        <v>23</v>
      </c>
      <c r="P800" t="s">
        <v>24</v>
      </c>
      <c r="Q800" t="str">
        <f>TEXT(clean_data[[#This Row],[Date]],"mmm")</f>
        <v>Dec</v>
      </c>
      <c r="R800">
        <f>YEAR(clean_data[[#This Row],[Date]])</f>
        <v>2023</v>
      </c>
      <c r="S800" s="2">
        <f>clean_data[[#This Row],[Profit]]/clean_data[[#This Row],[Revenue]]</f>
        <v>0.55000000000000004</v>
      </c>
      <c r="T800" t="str" cm="1">
        <f t="array" ref="T800">_xlfn.IFS(clean_data[[#This Row],[Revenue]]&lt;300000,"Small",
     clean_data[[#This Row],[Revenue]]&lt;700000,"Medium",
     TRUE,"Large")</f>
        <v>Small</v>
      </c>
      <c r="U800" t="str" cm="1">
        <f t="array" ref="U800">_xlfn.IFS(clean_data[[#This Row],[profit margin%]]&lt;0.5,"Low Profit",
     clean_data[[#This Row],[profit margin%]]&lt;0.6,"Medium Profit",
     TRUE,"High Profit")</f>
        <v>Medium Profit</v>
      </c>
      <c r="V800" t="str">
        <f>TEXT(clean_data[[#This Row],[Date]],"mmm-yyyy")</f>
        <v>Dec-2023</v>
      </c>
      <c r="W800" s="8">
        <f>EOMONTH(clean_data[[#This Row],[Date]],-1)+1</f>
        <v>45261</v>
      </c>
    </row>
    <row r="801" spans="1:23" x14ac:dyDescent="0.3">
      <c r="A801" t="s">
        <v>873</v>
      </c>
      <c r="B801" s="1">
        <v>45497</v>
      </c>
      <c r="C801" t="s">
        <v>26</v>
      </c>
      <c r="D801" t="s">
        <v>69</v>
      </c>
      <c r="E801" t="s">
        <v>19</v>
      </c>
      <c r="F801" t="s">
        <v>20</v>
      </c>
      <c r="G801" t="s">
        <v>74</v>
      </c>
      <c r="H801">
        <v>20</v>
      </c>
      <c r="I801">
        <v>4200</v>
      </c>
      <c r="J801">
        <v>15</v>
      </c>
      <c r="K801">
        <v>71400</v>
      </c>
      <c r="L801">
        <v>28560</v>
      </c>
      <c r="M801">
        <v>42840</v>
      </c>
      <c r="N801" t="s">
        <v>30</v>
      </c>
      <c r="O801" t="s">
        <v>67</v>
      </c>
      <c r="P801" t="s">
        <v>24</v>
      </c>
      <c r="Q801" t="str">
        <f>TEXT(clean_data[[#This Row],[Date]],"mmm")</f>
        <v>Jul</v>
      </c>
      <c r="R801">
        <f>YEAR(clean_data[[#This Row],[Date]])</f>
        <v>2024</v>
      </c>
      <c r="S801" s="2">
        <f>clean_data[[#This Row],[Profit]]/clean_data[[#This Row],[Revenue]]</f>
        <v>0.6</v>
      </c>
      <c r="T801" t="str" cm="1">
        <f t="array" ref="T801">_xlfn.IFS(clean_data[[#This Row],[Revenue]]&lt;300000,"Small",
     clean_data[[#This Row],[Revenue]]&lt;700000,"Medium",
     TRUE,"Large")</f>
        <v>Small</v>
      </c>
      <c r="U801" t="str" cm="1">
        <f t="array" ref="U801">_xlfn.IFS(clean_data[[#This Row],[profit margin%]]&lt;0.5,"Low Profit",
     clean_data[[#This Row],[profit margin%]]&lt;0.6,"Medium Profit",
     TRUE,"High Profit")</f>
        <v>High Profit</v>
      </c>
      <c r="V801" t="str">
        <f>TEXT(clean_data[[#This Row],[Date]],"mmm-yyyy")</f>
        <v>Jul-2024</v>
      </c>
      <c r="W801" s="8">
        <f>EOMONTH(clean_data[[#This Row],[Date]],-1)+1</f>
        <v>45474</v>
      </c>
    </row>
    <row r="802" spans="1:23" x14ac:dyDescent="0.3">
      <c r="A802" t="s">
        <v>874</v>
      </c>
      <c r="B802" s="1">
        <v>45157</v>
      </c>
      <c r="C802" t="s">
        <v>46</v>
      </c>
      <c r="D802" t="s">
        <v>55</v>
      </c>
      <c r="E802" t="s">
        <v>73</v>
      </c>
      <c r="F802" t="s">
        <v>20</v>
      </c>
      <c r="G802" t="s">
        <v>21</v>
      </c>
      <c r="H802">
        <v>10</v>
      </c>
      <c r="I802">
        <v>3500</v>
      </c>
      <c r="J802">
        <v>15</v>
      </c>
      <c r="K802">
        <v>29750</v>
      </c>
      <c r="L802">
        <v>11900</v>
      </c>
      <c r="M802">
        <v>17850</v>
      </c>
      <c r="N802" t="s">
        <v>49</v>
      </c>
      <c r="O802" t="s">
        <v>67</v>
      </c>
      <c r="P802" t="s">
        <v>24</v>
      </c>
      <c r="Q802" t="str">
        <f>TEXT(clean_data[[#This Row],[Date]],"mmm")</f>
        <v>Aug</v>
      </c>
      <c r="R802">
        <f>YEAR(clean_data[[#This Row],[Date]])</f>
        <v>2023</v>
      </c>
      <c r="S802" s="2">
        <f>clean_data[[#This Row],[Profit]]/clean_data[[#This Row],[Revenue]]</f>
        <v>0.6</v>
      </c>
      <c r="T802" t="str" cm="1">
        <f t="array" ref="T802">_xlfn.IFS(clean_data[[#This Row],[Revenue]]&lt;300000,"Small",
     clean_data[[#This Row],[Revenue]]&lt;700000,"Medium",
     TRUE,"Large")</f>
        <v>Small</v>
      </c>
      <c r="U802" t="str" cm="1">
        <f t="array" ref="U802">_xlfn.IFS(clean_data[[#This Row],[profit margin%]]&lt;0.5,"Low Profit",
     clean_data[[#This Row],[profit margin%]]&lt;0.6,"Medium Profit",
     TRUE,"High Profit")</f>
        <v>High Profit</v>
      </c>
      <c r="V802" t="str">
        <f>TEXT(clean_data[[#This Row],[Date]],"mmm-yyyy")</f>
        <v>Aug-2023</v>
      </c>
      <c r="W802" s="8">
        <f>EOMONTH(clean_data[[#This Row],[Date]],-1)+1</f>
        <v>45139</v>
      </c>
    </row>
    <row r="803" spans="1:23" x14ac:dyDescent="0.3">
      <c r="A803" t="s">
        <v>875</v>
      </c>
      <c r="B803" s="1">
        <v>45033</v>
      </c>
      <c r="C803" t="s">
        <v>17</v>
      </c>
      <c r="D803" t="s">
        <v>42</v>
      </c>
      <c r="E803" t="s">
        <v>60</v>
      </c>
      <c r="F803" t="s">
        <v>65</v>
      </c>
      <c r="G803" t="s">
        <v>66</v>
      </c>
      <c r="H803">
        <v>37</v>
      </c>
      <c r="I803">
        <v>5500</v>
      </c>
      <c r="J803">
        <v>0</v>
      </c>
      <c r="K803">
        <v>203500</v>
      </c>
      <c r="L803">
        <v>91575</v>
      </c>
      <c r="M803">
        <v>111925</v>
      </c>
      <c r="N803" t="s">
        <v>49</v>
      </c>
      <c r="O803" t="s">
        <v>23</v>
      </c>
      <c r="P803" t="s">
        <v>24</v>
      </c>
      <c r="Q803" t="str">
        <f>TEXT(clean_data[[#This Row],[Date]],"mmm")</f>
        <v>Apr</v>
      </c>
      <c r="R803">
        <f>YEAR(clean_data[[#This Row],[Date]])</f>
        <v>2023</v>
      </c>
      <c r="S803" s="2">
        <f>clean_data[[#This Row],[Profit]]/clean_data[[#This Row],[Revenue]]</f>
        <v>0.55000000000000004</v>
      </c>
      <c r="T803" t="str" cm="1">
        <f t="array" ref="T803">_xlfn.IFS(clean_data[[#This Row],[Revenue]]&lt;300000,"Small",
     clean_data[[#This Row],[Revenue]]&lt;700000,"Medium",
     TRUE,"Large")</f>
        <v>Small</v>
      </c>
      <c r="U803" t="str" cm="1">
        <f t="array" ref="U803">_xlfn.IFS(clean_data[[#This Row],[profit margin%]]&lt;0.5,"Low Profit",
     clean_data[[#This Row],[profit margin%]]&lt;0.6,"Medium Profit",
     TRUE,"High Profit")</f>
        <v>Medium Profit</v>
      </c>
      <c r="V803" t="str">
        <f>TEXT(clean_data[[#This Row],[Date]],"mmm-yyyy")</f>
        <v>Apr-2023</v>
      </c>
      <c r="W803" s="8">
        <f>EOMONTH(clean_data[[#This Row],[Date]],-1)+1</f>
        <v>45017</v>
      </c>
    </row>
    <row r="804" spans="1:23" x14ac:dyDescent="0.3">
      <c r="A804" t="s">
        <v>876</v>
      </c>
      <c r="B804" s="1">
        <v>45253</v>
      </c>
      <c r="C804" t="s">
        <v>17</v>
      </c>
      <c r="D804" t="s">
        <v>37</v>
      </c>
      <c r="E804" t="s">
        <v>38</v>
      </c>
      <c r="F804" t="s">
        <v>20</v>
      </c>
      <c r="G804" t="s">
        <v>115</v>
      </c>
      <c r="H804">
        <v>16</v>
      </c>
      <c r="I804">
        <v>2500</v>
      </c>
      <c r="J804">
        <v>5</v>
      </c>
      <c r="K804">
        <v>38000</v>
      </c>
      <c r="L804">
        <v>15200</v>
      </c>
      <c r="M804">
        <v>22800</v>
      </c>
      <c r="N804" t="s">
        <v>22</v>
      </c>
      <c r="O804" t="s">
        <v>23</v>
      </c>
      <c r="P804" t="s">
        <v>40</v>
      </c>
      <c r="Q804" t="str">
        <f>TEXT(clean_data[[#This Row],[Date]],"mmm")</f>
        <v>Nov</v>
      </c>
      <c r="R804">
        <f>YEAR(clean_data[[#This Row],[Date]])</f>
        <v>2023</v>
      </c>
      <c r="S804" s="2">
        <f>clean_data[[#This Row],[Profit]]/clean_data[[#This Row],[Revenue]]</f>
        <v>0.6</v>
      </c>
      <c r="T804" t="str" cm="1">
        <f t="array" ref="T804">_xlfn.IFS(clean_data[[#This Row],[Revenue]]&lt;300000,"Small",
     clean_data[[#This Row],[Revenue]]&lt;700000,"Medium",
     TRUE,"Large")</f>
        <v>Small</v>
      </c>
      <c r="U804" t="str" cm="1">
        <f t="array" ref="U804">_xlfn.IFS(clean_data[[#This Row],[profit margin%]]&lt;0.5,"Low Profit",
     clean_data[[#This Row],[profit margin%]]&lt;0.6,"Medium Profit",
     TRUE,"High Profit")</f>
        <v>High Profit</v>
      </c>
      <c r="V804" t="str">
        <f>TEXT(clean_data[[#This Row],[Date]],"mmm-yyyy")</f>
        <v>Nov-2023</v>
      </c>
      <c r="W804" s="8">
        <f>EOMONTH(clean_data[[#This Row],[Date]],-1)+1</f>
        <v>45231</v>
      </c>
    </row>
    <row r="805" spans="1:23" x14ac:dyDescent="0.3">
      <c r="A805" t="s">
        <v>877</v>
      </c>
      <c r="B805" s="1">
        <v>45456</v>
      </c>
      <c r="C805" t="s">
        <v>46</v>
      </c>
      <c r="D805" t="s">
        <v>47</v>
      </c>
      <c r="E805" t="s">
        <v>32</v>
      </c>
      <c r="F805" t="s">
        <v>28</v>
      </c>
      <c r="G805" t="s">
        <v>87</v>
      </c>
      <c r="H805">
        <v>11</v>
      </c>
      <c r="I805">
        <v>45000</v>
      </c>
      <c r="J805">
        <v>10</v>
      </c>
      <c r="K805">
        <v>445500</v>
      </c>
      <c r="L805">
        <v>245025</v>
      </c>
      <c r="M805">
        <v>200475</v>
      </c>
      <c r="N805" t="s">
        <v>49</v>
      </c>
      <c r="O805" t="s">
        <v>35</v>
      </c>
      <c r="P805" t="s">
        <v>40</v>
      </c>
      <c r="Q805" t="str">
        <f>TEXT(clean_data[[#This Row],[Date]],"mmm")</f>
        <v>Jun</v>
      </c>
      <c r="R805">
        <f>YEAR(clean_data[[#This Row],[Date]])</f>
        <v>2024</v>
      </c>
      <c r="S805" s="2">
        <f>clean_data[[#This Row],[Profit]]/clean_data[[#This Row],[Revenue]]</f>
        <v>0.45</v>
      </c>
      <c r="T805" t="str" cm="1">
        <f t="array" ref="T805">_xlfn.IFS(clean_data[[#This Row],[Revenue]]&lt;300000,"Small",
     clean_data[[#This Row],[Revenue]]&lt;700000,"Medium",
     TRUE,"Large")</f>
        <v>Medium</v>
      </c>
      <c r="U805" t="str" cm="1">
        <f t="array" ref="U805">_xlfn.IFS(clean_data[[#This Row],[profit margin%]]&lt;0.5,"Low Profit",
     clean_data[[#This Row],[profit margin%]]&lt;0.6,"Medium Profit",
     TRUE,"High Profit")</f>
        <v>Low Profit</v>
      </c>
      <c r="V805" t="str">
        <f>TEXT(clean_data[[#This Row],[Date]],"mmm-yyyy")</f>
        <v>Jun-2024</v>
      </c>
      <c r="W805" s="8">
        <f>EOMONTH(clean_data[[#This Row],[Date]],-1)+1</f>
        <v>45444</v>
      </c>
    </row>
    <row r="806" spans="1:23" x14ac:dyDescent="0.3">
      <c r="A806" t="s">
        <v>878</v>
      </c>
      <c r="B806" s="1">
        <v>44973</v>
      </c>
      <c r="C806" t="s">
        <v>58</v>
      </c>
      <c r="D806" t="s">
        <v>64</v>
      </c>
      <c r="E806" t="s">
        <v>52</v>
      </c>
      <c r="F806" t="s">
        <v>33</v>
      </c>
      <c r="G806" t="s">
        <v>39</v>
      </c>
      <c r="H806">
        <v>49</v>
      </c>
      <c r="I806">
        <v>5000</v>
      </c>
      <c r="J806">
        <v>0</v>
      </c>
      <c r="K806">
        <v>245000</v>
      </c>
      <c r="L806">
        <v>122500</v>
      </c>
      <c r="M806">
        <v>122500</v>
      </c>
      <c r="N806" t="s">
        <v>49</v>
      </c>
      <c r="O806" t="s">
        <v>23</v>
      </c>
      <c r="P806" t="s">
        <v>40</v>
      </c>
      <c r="Q806" t="str">
        <f>TEXT(clean_data[[#This Row],[Date]],"mmm")</f>
        <v>Feb</v>
      </c>
      <c r="R806">
        <f>YEAR(clean_data[[#This Row],[Date]])</f>
        <v>2023</v>
      </c>
      <c r="S806" s="2">
        <f>clean_data[[#This Row],[Profit]]/clean_data[[#This Row],[Revenue]]</f>
        <v>0.5</v>
      </c>
      <c r="T806" t="str" cm="1">
        <f t="array" ref="T806">_xlfn.IFS(clean_data[[#This Row],[Revenue]]&lt;300000,"Small",
     clean_data[[#This Row],[Revenue]]&lt;700000,"Medium",
     TRUE,"Large")</f>
        <v>Small</v>
      </c>
      <c r="U806" t="str" cm="1">
        <f t="array" ref="U806">_xlfn.IFS(clean_data[[#This Row],[profit margin%]]&lt;0.5,"Low Profit",
     clean_data[[#This Row],[profit margin%]]&lt;0.6,"Medium Profit",
     TRUE,"High Profit")</f>
        <v>Medium Profit</v>
      </c>
      <c r="V806" t="str">
        <f>TEXT(clean_data[[#This Row],[Date]],"mmm-yyyy")</f>
        <v>Feb-2023</v>
      </c>
      <c r="W806" s="8">
        <f>EOMONTH(clean_data[[#This Row],[Date]],-1)+1</f>
        <v>44958</v>
      </c>
    </row>
    <row r="807" spans="1:23" x14ac:dyDescent="0.3">
      <c r="A807" t="s">
        <v>879</v>
      </c>
      <c r="B807" s="1">
        <v>45418</v>
      </c>
      <c r="C807" t="s">
        <v>17</v>
      </c>
      <c r="D807" t="s">
        <v>18</v>
      </c>
      <c r="E807" t="s">
        <v>111</v>
      </c>
      <c r="F807" t="s">
        <v>28</v>
      </c>
      <c r="G807" t="s">
        <v>85</v>
      </c>
      <c r="H807">
        <v>2</v>
      </c>
      <c r="I807">
        <v>8000</v>
      </c>
      <c r="J807">
        <v>0</v>
      </c>
      <c r="K807">
        <v>16000</v>
      </c>
      <c r="L807">
        <v>8800</v>
      </c>
      <c r="M807">
        <v>7200</v>
      </c>
      <c r="N807" t="s">
        <v>49</v>
      </c>
      <c r="O807" t="s">
        <v>50</v>
      </c>
      <c r="P807" t="s">
        <v>24</v>
      </c>
      <c r="Q807" t="str">
        <f>TEXT(clean_data[[#This Row],[Date]],"mmm")</f>
        <v>May</v>
      </c>
      <c r="R807">
        <f>YEAR(clean_data[[#This Row],[Date]])</f>
        <v>2024</v>
      </c>
      <c r="S807" s="2">
        <f>clean_data[[#This Row],[Profit]]/clean_data[[#This Row],[Revenue]]</f>
        <v>0.45</v>
      </c>
      <c r="T807" t="str" cm="1">
        <f t="array" ref="T807">_xlfn.IFS(clean_data[[#This Row],[Revenue]]&lt;300000,"Small",
     clean_data[[#This Row],[Revenue]]&lt;700000,"Medium",
     TRUE,"Large")</f>
        <v>Small</v>
      </c>
      <c r="U807" t="str" cm="1">
        <f t="array" ref="U807">_xlfn.IFS(clean_data[[#This Row],[profit margin%]]&lt;0.5,"Low Profit",
     clean_data[[#This Row],[profit margin%]]&lt;0.6,"Medium Profit",
     TRUE,"High Profit")</f>
        <v>Low Profit</v>
      </c>
      <c r="V807" t="str">
        <f>TEXT(clean_data[[#This Row],[Date]],"mmm-yyyy")</f>
        <v>May-2024</v>
      </c>
      <c r="W807" s="8">
        <f>EOMONTH(clean_data[[#This Row],[Date]],-1)+1</f>
        <v>45413</v>
      </c>
    </row>
    <row r="808" spans="1:23" x14ac:dyDescent="0.3">
      <c r="A808" t="s">
        <v>880</v>
      </c>
      <c r="B808" s="1">
        <v>45350</v>
      </c>
      <c r="C808" t="s">
        <v>46</v>
      </c>
      <c r="D808" t="s">
        <v>55</v>
      </c>
      <c r="E808" t="s">
        <v>56</v>
      </c>
      <c r="F808" t="s">
        <v>28</v>
      </c>
      <c r="G808" t="s">
        <v>71</v>
      </c>
      <c r="H808">
        <v>8</v>
      </c>
      <c r="I808">
        <v>35000</v>
      </c>
      <c r="J808">
        <v>5</v>
      </c>
      <c r="K808">
        <v>266000</v>
      </c>
      <c r="L808">
        <v>146300</v>
      </c>
      <c r="M808">
        <v>119700</v>
      </c>
      <c r="N808" t="s">
        <v>22</v>
      </c>
      <c r="O808" t="s">
        <v>23</v>
      </c>
      <c r="P808" t="s">
        <v>24</v>
      </c>
      <c r="Q808" t="str">
        <f>TEXT(clean_data[[#This Row],[Date]],"mmm")</f>
        <v>Feb</v>
      </c>
      <c r="R808">
        <f>YEAR(clean_data[[#This Row],[Date]])</f>
        <v>2024</v>
      </c>
      <c r="S808" s="2">
        <f>clean_data[[#This Row],[Profit]]/clean_data[[#This Row],[Revenue]]</f>
        <v>0.45</v>
      </c>
      <c r="T808" t="str" cm="1">
        <f t="array" ref="T808">_xlfn.IFS(clean_data[[#This Row],[Revenue]]&lt;300000,"Small",
     clean_data[[#This Row],[Revenue]]&lt;700000,"Medium",
     TRUE,"Large")</f>
        <v>Small</v>
      </c>
      <c r="U808" t="str" cm="1">
        <f t="array" ref="U808">_xlfn.IFS(clean_data[[#This Row],[profit margin%]]&lt;0.5,"Low Profit",
     clean_data[[#This Row],[profit margin%]]&lt;0.6,"Medium Profit",
     TRUE,"High Profit")</f>
        <v>Low Profit</v>
      </c>
      <c r="V808" t="str">
        <f>TEXT(clean_data[[#This Row],[Date]],"mmm-yyyy")</f>
        <v>Feb-2024</v>
      </c>
      <c r="W808" s="8">
        <f>EOMONTH(clean_data[[#This Row],[Date]],-1)+1</f>
        <v>45323</v>
      </c>
    </row>
    <row r="809" spans="1:23" x14ac:dyDescent="0.3">
      <c r="A809" t="s">
        <v>881</v>
      </c>
      <c r="B809" s="1">
        <v>45519</v>
      </c>
      <c r="C809" t="s">
        <v>26</v>
      </c>
      <c r="D809" t="s">
        <v>27</v>
      </c>
      <c r="E809" t="s">
        <v>111</v>
      </c>
      <c r="F809" t="s">
        <v>20</v>
      </c>
      <c r="G809" t="s">
        <v>115</v>
      </c>
      <c r="H809">
        <v>9</v>
      </c>
      <c r="I809">
        <v>2500</v>
      </c>
      <c r="J809">
        <v>15</v>
      </c>
      <c r="K809">
        <v>19125</v>
      </c>
      <c r="L809">
        <v>7650</v>
      </c>
      <c r="M809">
        <v>11475</v>
      </c>
      <c r="N809" t="s">
        <v>30</v>
      </c>
      <c r="O809" t="s">
        <v>44</v>
      </c>
      <c r="P809" t="s">
        <v>24</v>
      </c>
      <c r="Q809" t="str">
        <f>TEXT(clean_data[[#This Row],[Date]],"mmm")</f>
        <v>Aug</v>
      </c>
      <c r="R809">
        <f>YEAR(clean_data[[#This Row],[Date]])</f>
        <v>2024</v>
      </c>
      <c r="S809" s="2">
        <f>clean_data[[#This Row],[Profit]]/clean_data[[#This Row],[Revenue]]</f>
        <v>0.6</v>
      </c>
      <c r="T809" t="str" cm="1">
        <f t="array" ref="T809">_xlfn.IFS(clean_data[[#This Row],[Revenue]]&lt;300000,"Small",
     clean_data[[#This Row],[Revenue]]&lt;700000,"Medium",
     TRUE,"Large")</f>
        <v>Small</v>
      </c>
      <c r="U809" t="str" cm="1">
        <f t="array" ref="U809">_xlfn.IFS(clean_data[[#This Row],[profit margin%]]&lt;0.5,"Low Profit",
     clean_data[[#This Row],[profit margin%]]&lt;0.6,"Medium Profit",
     TRUE,"High Profit")</f>
        <v>High Profit</v>
      </c>
      <c r="V809" t="str">
        <f>TEXT(clean_data[[#This Row],[Date]],"mmm-yyyy")</f>
        <v>Aug-2024</v>
      </c>
      <c r="W809" s="8">
        <f>EOMONTH(clean_data[[#This Row],[Date]],-1)+1</f>
        <v>45505</v>
      </c>
    </row>
    <row r="810" spans="1:23" x14ac:dyDescent="0.3">
      <c r="A810" t="s">
        <v>882</v>
      </c>
      <c r="B810" s="1">
        <v>44612</v>
      </c>
      <c r="C810" t="s">
        <v>26</v>
      </c>
      <c r="D810" t="s">
        <v>27</v>
      </c>
      <c r="E810" t="s">
        <v>73</v>
      </c>
      <c r="F810" t="s">
        <v>28</v>
      </c>
      <c r="G810" t="s">
        <v>29</v>
      </c>
      <c r="H810">
        <v>48</v>
      </c>
      <c r="I810">
        <v>15000</v>
      </c>
      <c r="J810">
        <v>15</v>
      </c>
      <c r="K810">
        <v>612000</v>
      </c>
      <c r="L810">
        <v>336600</v>
      </c>
      <c r="M810">
        <v>275400</v>
      </c>
      <c r="N810" t="s">
        <v>30</v>
      </c>
      <c r="O810" t="s">
        <v>35</v>
      </c>
      <c r="P810" t="s">
        <v>24</v>
      </c>
      <c r="Q810" t="str">
        <f>TEXT(clean_data[[#This Row],[Date]],"mmm")</f>
        <v>Feb</v>
      </c>
      <c r="R810">
        <f>YEAR(clean_data[[#This Row],[Date]])</f>
        <v>2022</v>
      </c>
      <c r="S810" s="2">
        <f>clean_data[[#This Row],[Profit]]/clean_data[[#This Row],[Revenue]]</f>
        <v>0.45</v>
      </c>
      <c r="T810" t="str" cm="1">
        <f t="array" ref="T810">_xlfn.IFS(clean_data[[#This Row],[Revenue]]&lt;300000,"Small",
     clean_data[[#This Row],[Revenue]]&lt;700000,"Medium",
     TRUE,"Large")</f>
        <v>Medium</v>
      </c>
      <c r="U810" t="str" cm="1">
        <f t="array" ref="U810">_xlfn.IFS(clean_data[[#This Row],[profit margin%]]&lt;0.5,"Low Profit",
     clean_data[[#This Row],[profit margin%]]&lt;0.6,"Medium Profit",
     TRUE,"High Profit")</f>
        <v>Low Profit</v>
      </c>
      <c r="V810" t="str">
        <f>TEXT(clean_data[[#This Row],[Date]],"mmm-yyyy")</f>
        <v>Feb-2022</v>
      </c>
      <c r="W810" s="8">
        <f>EOMONTH(clean_data[[#This Row],[Date]],-1)+1</f>
        <v>44593</v>
      </c>
    </row>
    <row r="811" spans="1:23" x14ac:dyDescent="0.3">
      <c r="A811" t="s">
        <v>883</v>
      </c>
      <c r="B811" s="1">
        <v>45082</v>
      </c>
      <c r="C811" t="s">
        <v>58</v>
      </c>
      <c r="D811" t="s">
        <v>59</v>
      </c>
      <c r="E811" t="s">
        <v>78</v>
      </c>
      <c r="F811" t="s">
        <v>20</v>
      </c>
      <c r="G811" t="s">
        <v>21</v>
      </c>
      <c r="H811">
        <v>44</v>
      </c>
      <c r="I811">
        <v>3500</v>
      </c>
      <c r="J811">
        <v>20</v>
      </c>
      <c r="K811">
        <v>123200</v>
      </c>
      <c r="L811">
        <v>49280</v>
      </c>
      <c r="M811">
        <v>73920</v>
      </c>
      <c r="N811" t="s">
        <v>49</v>
      </c>
      <c r="O811" t="s">
        <v>35</v>
      </c>
      <c r="P811" t="s">
        <v>24</v>
      </c>
      <c r="Q811" t="str">
        <f>TEXT(clean_data[[#This Row],[Date]],"mmm")</f>
        <v>Jun</v>
      </c>
      <c r="R811">
        <f>YEAR(clean_data[[#This Row],[Date]])</f>
        <v>2023</v>
      </c>
      <c r="S811" s="2">
        <f>clean_data[[#This Row],[Profit]]/clean_data[[#This Row],[Revenue]]</f>
        <v>0.6</v>
      </c>
      <c r="T811" t="str" cm="1">
        <f t="array" ref="T811">_xlfn.IFS(clean_data[[#This Row],[Revenue]]&lt;300000,"Small",
     clean_data[[#This Row],[Revenue]]&lt;700000,"Medium",
     TRUE,"Large")</f>
        <v>Small</v>
      </c>
      <c r="U811" t="str" cm="1">
        <f t="array" ref="U811">_xlfn.IFS(clean_data[[#This Row],[profit margin%]]&lt;0.5,"Low Profit",
     clean_data[[#This Row],[profit margin%]]&lt;0.6,"Medium Profit",
     TRUE,"High Profit")</f>
        <v>High Profit</v>
      </c>
      <c r="V811" t="str">
        <f>TEXT(clean_data[[#This Row],[Date]],"mmm-yyyy")</f>
        <v>Jun-2023</v>
      </c>
      <c r="W811" s="8">
        <f>EOMONTH(clean_data[[#This Row],[Date]],-1)+1</f>
        <v>45078</v>
      </c>
    </row>
    <row r="812" spans="1:23" x14ac:dyDescent="0.3">
      <c r="A812" t="s">
        <v>884</v>
      </c>
      <c r="B812" s="1">
        <v>45586</v>
      </c>
      <c r="C812" t="s">
        <v>26</v>
      </c>
      <c r="D812" t="s">
        <v>69</v>
      </c>
      <c r="E812" t="s">
        <v>73</v>
      </c>
      <c r="F812" t="s">
        <v>65</v>
      </c>
      <c r="G812" t="s">
        <v>117</v>
      </c>
      <c r="H812">
        <v>39</v>
      </c>
      <c r="I812">
        <v>1200</v>
      </c>
      <c r="J812">
        <v>0</v>
      </c>
      <c r="K812">
        <v>46800</v>
      </c>
      <c r="L812">
        <v>21060</v>
      </c>
      <c r="M812">
        <v>25740</v>
      </c>
      <c r="N812" t="s">
        <v>49</v>
      </c>
      <c r="O812" t="s">
        <v>44</v>
      </c>
      <c r="P812" t="s">
        <v>24</v>
      </c>
      <c r="Q812" t="str">
        <f>TEXT(clean_data[[#This Row],[Date]],"mmm")</f>
        <v>Oct</v>
      </c>
      <c r="R812">
        <f>YEAR(clean_data[[#This Row],[Date]])</f>
        <v>2024</v>
      </c>
      <c r="S812" s="2">
        <f>clean_data[[#This Row],[Profit]]/clean_data[[#This Row],[Revenue]]</f>
        <v>0.55000000000000004</v>
      </c>
      <c r="T812" t="str" cm="1">
        <f t="array" ref="T812">_xlfn.IFS(clean_data[[#This Row],[Revenue]]&lt;300000,"Small",
     clean_data[[#This Row],[Revenue]]&lt;700000,"Medium",
     TRUE,"Large")</f>
        <v>Small</v>
      </c>
      <c r="U812" t="str" cm="1">
        <f t="array" ref="U812">_xlfn.IFS(clean_data[[#This Row],[profit margin%]]&lt;0.5,"Low Profit",
     clean_data[[#This Row],[profit margin%]]&lt;0.6,"Medium Profit",
     TRUE,"High Profit")</f>
        <v>Medium Profit</v>
      </c>
      <c r="V812" t="str">
        <f>TEXT(clean_data[[#This Row],[Date]],"mmm-yyyy")</f>
        <v>Oct-2024</v>
      </c>
      <c r="W812" s="8">
        <f>EOMONTH(clean_data[[#This Row],[Date]],-1)+1</f>
        <v>45566</v>
      </c>
    </row>
    <row r="813" spans="1:23" x14ac:dyDescent="0.3">
      <c r="A813" t="s">
        <v>885</v>
      </c>
      <c r="B813" s="1">
        <v>45028</v>
      </c>
      <c r="C813" t="s">
        <v>46</v>
      </c>
      <c r="D813" t="s">
        <v>47</v>
      </c>
      <c r="E813" t="s">
        <v>52</v>
      </c>
      <c r="F813" t="s">
        <v>28</v>
      </c>
      <c r="G813" t="s">
        <v>85</v>
      </c>
      <c r="H813">
        <v>2</v>
      </c>
      <c r="I813">
        <v>8000</v>
      </c>
      <c r="J813">
        <v>0</v>
      </c>
      <c r="K813">
        <v>16000</v>
      </c>
      <c r="L813">
        <v>8800</v>
      </c>
      <c r="M813">
        <v>7200</v>
      </c>
      <c r="N813" t="s">
        <v>30</v>
      </c>
      <c r="O813" t="s">
        <v>35</v>
      </c>
      <c r="P813" t="s">
        <v>24</v>
      </c>
      <c r="Q813" t="str">
        <f>TEXT(clean_data[[#This Row],[Date]],"mmm")</f>
        <v>Apr</v>
      </c>
      <c r="R813">
        <f>YEAR(clean_data[[#This Row],[Date]])</f>
        <v>2023</v>
      </c>
      <c r="S813" s="2">
        <f>clean_data[[#This Row],[Profit]]/clean_data[[#This Row],[Revenue]]</f>
        <v>0.45</v>
      </c>
      <c r="T813" t="str" cm="1">
        <f t="array" ref="T813">_xlfn.IFS(clean_data[[#This Row],[Revenue]]&lt;300000,"Small",
     clean_data[[#This Row],[Revenue]]&lt;700000,"Medium",
     TRUE,"Large")</f>
        <v>Small</v>
      </c>
      <c r="U813" t="str" cm="1">
        <f t="array" ref="U813">_xlfn.IFS(clean_data[[#This Row],[profit margin%]]&lt;0.5,"Low Profit",
     clean_data[[#This Row],[profit margin%]]&lt;0.6,"Medium Profit",
     TRUE,"High Profit")</f>
        <v>Low Profit</v>
      </c>
      <c r="V813" t="str">
        <f>TEXT(clean_data[[#This Row],[Date]],"mmm-yyyy")</f>
        <v>Apr-2023</v>
      </c>
      <c r="W813" s="8">
        <f>EOMONTH(clean_data[[#This Row],[Date]],-1)+1</f>
        <v>45017</v>
      </c>
    </row>
    <row r="814" spans="1:23" x14ac:dyDescent="0.3">
      <c r="A814" t="s">
        <v>886</v>
      </c>
      <c r="B814" s="1">
        <v>44989</v>
      </c>
      <c r="C814" t="s">
        <v>46</v>
      </c>
      <c r="D814" t="s">
        <v>47</v>
      </c>
      <c r="E814" t="s">
        <v>56</v>
      </c>
      <c r="F814" t="s">
        <v>65</v>
      </c>
      <c r="G814" t="s">
        <v>79</v>
      </c>
      <c r="H814">
        <v>7</v>
      </c>
      <c r="I814">
        <v>900</v>
      </c>
      <c r="J814">
        <v>10</v>
      </c>
      <c r="K814">
        <v>5670</v>
      </c>
      <c r="L814">
        <v>2551.5</v>
      </c>
      <c r="M814">
        <v>3118.5</v>
      </c>
      <c r="N814" t="s">
        <v>22</v>
      </c>
      <c r="O814" t="s">
        <v>44</v>
      </c>
      <c r="P814" t="s">
        <v>24</v>
      </c>
      <c r="Q814" t="str">
        <f>TEXT(clean_data[[#This Row],[Date]],"mmm")</f>
        <v>Mar</v>
      </c>
      <c r="R814">
        <f>YEAR(clean_data[[#This Row],[Date]])</f>
        <v>2023</v>
      </c>
      <c r="S814" s="2">
        <f>clean_data[[#This Row],[Profit]]/clean_data[[#This Row],[Revenue]]</f>
        <v>0.55000000000000004</v>
      </c>
      <c r="T814" t="str" cm="1">
        <f t="array" ref="T814">_xlfn.IFS(clean_data[[#This Row],[Revenue]]&lt;300000,"Small",
     clean_data[[#This Row],[Revenue]]&lt;700000,"Medium",
     TRUE,"Large")</f>
        <v>Small</v>
      </c>
      <c r="U814" t="str" cm="1">
        <f t="array" ref="U814">_xlfn.IFS(clean_data[[#This Row],[profit margin%]]&lt;0.5,"Low Profit",
     clean_data[[#This Row],[profit margin%]]&lt;0.6,"Medium Profit",
     TRUE,"High Profit")</f>
        <v>Medium Profit</v>
      </c>
      <c r="V814" t="str">
        <f>TEXT(clean_data[[#This Row],[Date]],"mmm-yyyy")</f>
        <v>Mar-2023</v>
      </c>
      <c r="W814" s="8">
        <f>EOMONTH(clean_data[[#This Row],[Date]],-1)+1</f>
        <v>44986</v>
      </c>
    </row>
    <row r="815" spans="1:23" x14ac:dyDescent="0.3">
      <c r="A815" t="s">
        <v>887</v>
      </c>
      <c r="B815" s="1">
        <v>44975</v>
      </c>
      <c r="C815" t="s">
        <v>58</v>
      </c>
      <c r="D815" t="s">
        <v>59</v>
      </c>
      <c r="E815" t="s">
        <v>52</v>
      </c>
      <c r="F815" t="s">
        <v>20</v>
      </c>
      <c r="G815" t="s">
        <v>74</v>
      </c>
      <c r="H815">
        <v>7</v>
      </c>
      <c r="I815">
        <v>4200</v>
      </c>
      <c r="J815">
        <v>10</v>
      </c>
      <c r="K815">
        <v>26460</v>
      </c>
      <c r="L815">
        <v>10584</v>
      </c>
      <c r="M815">
        <v>15876</v>
      </c>
      <c r="N815" t="s">
        <v>30</v>
      </c>
      <c r="O815" t="s">
        <v>35</v>
      </c>
      <c r="P815" t="s">
        <v>24</v>
      </c>
      <c r="Q815" t="str">
        <f>TEXT(clean_data[[#This Row],[Date]],"mmm")</f>
        <v>Feb</v>
      </c>
      <c r="R815">
        <f>YEAR(clean_data[[#This Row],[Date]])</f>
        <v>2023</v>
      </c>
      <c r="S815" s="2">
        <f>clean_data[[#This Row],[Profit]]/clean_data[[#This Row],[Revenue]]</f>
        <v>0.6</v>
      </c>
      <c r="T815" t="str" cm="1">
        <f t="array" ref="T815">_xlfn.IFS(clean_data[[#This Row],[Revenue]]&lt;300000,"Small",
     clean_data[[#This Row],[Revenue]]&lt;700000,"Medium",
     TRUE,"Large")</f>
        <v>Small</v>
      </c>
      <c r="U815" t="str" cm="1">
        <f t="array" ref="U815">_xlfn.IFS(clean_data[[#This Row],[profit margin%]]&lt;0.5,"Low Profit",
     clean_data[[#This Row],[profit margin%]]&lt;0.6,"Medium Profit",
     TRUE,"High Profit")</f>
        <v>High Profit</v>
      </c>
      <c r="V815" t="str">
        <f>TEXT(clean_data[[#This Row],[Date]],"mmm-yyyy")</f>
        <v>Feb-2023</v>
      </c>
      <c r="W815" s="8">
        <f>EOMONTH(clean_data[[#This Row],[Date]],-1)+1</f>
        <v>44958</v>
      </c>
    </row>
    <row r="816" spans="1:23" x14ac:dyDescent="0.3">
      <c r="A816" t="s">
        <v>888</v>
      </c>
      <c r="B816" s="1">
        <v>45343</v>
      </c>
      <c r="C816" t="s">
        <v>17</v>
      </c>
      <c r="D816" t="s">
        <v>18</v>
      </c>
      <c r="E816" t="s">
        <v>32</v>
      </c>
      <c r="F816" t="s">
        <v>20</v>
      </c>
      <c r="G816" t="s">
        <v>115</v>
      </c>
      <c r="H816">
        <v>15</v>
      </c>
      <c r="I816">
        <v>2500</v>
      </c>
      <c r="J816">
        <v>0</v>
      </c>
      <c r="K816">
        <v>37500</v>
      </c>
      <c r="L816">
        <v>15000</v>
      </c>
      <c r="M816">
        <v>22500</v>
      </c>
      <c r="N816" t="s">
        <v>22</v>
      </c>
      <c r="O816" t="s">
        <v>67</v>
      </c>
      <c r="P816" t="s">
        <v>24</v>
      </c>
      <c r="Q816" t="str">
        <f>TEXT(clean_data[[#This Row],[Date]],"mmm")</f>
        <v>Feb</v>
      </c>
      <c r="R816">
        <f>YEAR(clean_data[[#This Row],[Date]])</f>
        <v>2024</v>
      </c>
      <c r="S816" s="2">
        <f>clean_data[[#This Row],[Profit]]/clean_data[[#This Row],[Revenue]]</f>
        <v>0.6</v>
      </c>
      <c r="T816" t="str" cm="1">
        <f t="array" ref="T816">_xlfn.IFS(clean_data[[#This Row],[Revenue]]&lt;300000,"Small",
     clean_data[[#This Row],[Revenue]]&lt;700000,"Medium",
     TRUE,"Large")</f>
        <v>Small</v>
      </c>
      <c r="U816" t="str" cm="1">
        <f t="array" ref="U816">_xlfn.IFS(clean_data[[#This Row],[profit margin%]]&lt;0.5,"Low Profit",
     clean_data[[#This Row],[profit margin%]]&lt;0.6,"Medium Profit",
     TRUE,"High Profit")</f>
        <v>High Profit</v>
      </c>
      <c r="V816" t="str">
        <f>TEXT(clean_data[[#This Row],[Date]],"mmm-yyyy")</f>
        <v>Feb-2024</v>
      </c>
      <c r="W816" s="8">
        <f>EOMONTH(clean_data[[#This Row],[Date]],-1)+1</f>
        <v>45323</v>
      </c>
    </row>
    <row r="817" spans="1:23" x14ac:dyDescent="0.3">
      <c r="A817" t="s">
        <v>889</v>
      </c>
      <c r="B817" s="1">
        <v>45262</v>
      </c>
      <c r="C817" t="s">
        <v>26</v>
      </c>
      <c r="D817" t="s">
        <v>27</v>
      </c>
      <c r="E817" t="s">
        <v>32</v>
      </c>
      <c r="F817" t="s">
        <v>33</v>
      </c>
      <c r="G817" t="s">
        <v>43</v>
      </c>
      <c r="H817">
        <v>32</v>
      </c>
      <c r="I817">
        <v>4000</v>
      </c>
      <c r="J817">
        <v>0</v>
      </c>
      <c r="K817">
        <v>128000</v>
      </c>
      <c r="L817">
        <v>64000</v>
      </c>
      <c r="M817">
        <v>64000</v>
      </c>
      <c r="N817" t="s">
        <v>22</v>
      </c>
      <c r="O817" t="s">
        <v>44</v>
      </c>
      <c r="P817" t="s">
        <v>40</v>
      </c>
      <c r="Q817" t="str">
        <f>TEXT(clean_data[[#This Row],[Date]],"mmm")</f>
        <v>Dec</v>
      </c>
      <c r="R817">
        <f>YEAR(clean_data[[#This Row],[Date]])</f>
        <v>2023</v>
      </c>
      <c r="S817" s="2">
        <f>clean_data[[#This Row],[Profit]]/clean_data[[#This Row],[Revenue]]</f>
        <v>0.5</v>
      </c>
      <c r="T817" t="str" cm="1">
        <f t="array" ref="T817">_xlfn.IFS(clean_data[[#This Row],[Revenue]]&lt;300000,"Small",
     clean_data[[#This Row],[Revenue]]&lt;700000,"Medium",
     TRUE,"Large")</f>
        <v>Small</v>
      </c>
      <c r="U817" t="str" cm="1">
        <f t="array" ref="U817">_xlfn.IFS(clean_data[[#This Row],[profit margin%]]&lt;0.5,"Low Profit",
     clean_data[[#This Row],[profit margin%]]&lt;0.6,"Medium Profit",
     TRUE,"High Profit")</f>
        <v>Medium Profit</v>
      </c>
      <c r="V817" t="str">
        <f>TEXT(clean_data[[#This Row],[Date]],"mmm-yyyy")</f>
        <v>Dec-2023</v>
      </c>
      <c r="W817" s="8">
        <f>EOMONTH(clean_data[[#This Row],[Date]],-1)+1</f>
        <v>45261</v>
      </c>
    </row>
    <row r="818" spans="1:23" x14ac:dyDescent="0.3">
      <c r="A818" t="s">
        <v>890</v>
      </c>
      <c r="B818" s="1">
        <v>45050</v>
      </c>
      <c r="C818" t="s">
        <v>17</v>
      </c>
      <c r="D818" t="s">
        <v>42</v>
      </c>
      <c r="E818" t="s">
        <v>32</v>
      </c>
      <c r="F818" t="s">
        <v>20</v>
      </c>
      <c r="G818" t="s">
        <v>61</v>
      </c>
      <c r="H818">
        <v>12</v>
      </c>
      <c r="I818">
        <v>800</v>
      </c>
      <c r="J818">
        <v>10</v>
      </c>
      <c r="K818">
        <v>8640</v>
      </c>
      <c r="L818">
        <v>3456</v>
      </c>
      <c r="M818">
        <v>5184</v>
      </c>
      <c r="N818" t="s">
        <v>30</v>
      </c>
      <c r="O818" t="s">
        <v>50</v>
      </c>
      <c r="P818" t="s">
        <v>24</v>
      </c>
      <c r="Q818" t="str">
        <f>TEXT(clean_data[[#This Row],[Date]],"mmm")</f>
        <v>May</v>
      </c>
      <c r="R818">
        <f>YEAR(clean_data[[#This Row],[Date]])</f>
        <v>2023</v>
      </c>
      <c r="S818" s="2">
        <f>clean_data[[#This Row],[Profit]]/clean_data[[#This Row],[Revenue]]</f>
        <v>0.6</v>
      </c>
      <c r="T818" t="str" cm="1">
        <f t="array" ref="T818">_xlfn.IFS(clean_data[[#This Row],[Revenue]]&lt;300000,"Small",
     clean_data[[#This Row],[Revenue]]&lt;700000,"Medium",
     TRUE,"Large")</f>
        <v>Small</v>
      </c>
      <c r="U818" t="str" cm="1">
        <f t="array" ref="U818">_xlfn.IFS(clean_data[[#This Row],[profit margin%]]&lt;0.5,"Low Profit",
     clean_data[[#This Row],[profit margin%]]&lt;0.6,"Medium Profit",
     TRUE,"High Profit")</f>
        <v>High Profit</v>
      </c>
      <c r="V818" t="str">
        <f>TEXT(clean_data[[#This Row],[Date]],"mmm-yyyy")</f>
        <v>May-2023</v>
      </c>
      <c r="W818" s="8">
        <f>EOMONTH(clean_data[[#This Row],[Date]],-1)+1</f>
        <v>45047</v>
      </c>
    </row>
    <row r="819" spans="1:23" x14ac:dyDescent="0.3">
      <c r="A819" t="s">
        <v>891</v>
      </c>
      <c r="B819" s="1">
        <v>44612</v>
      </c>
      <c r="C819" t="s">
        <v>58</v>
      </c>
      <c r="D819" t="s">
        <v>59</v>
      </c>
      <c r="E819" t="s">
        <v>111</v>
      </c>
      <c r="F819" t="s">
        <v>20</v>
      </c>
      <c r="G819" t="s">
        <v>53</v>
      </c>
      <c r="H819">
        <v>38</v>
      </c>
      <c r="I819">
        <v>600</v>
      </c>
      <c r="J819">
        <v>0</v>
      </c>
      <c r="K819">
        <v>22800</v>
      </c>
      <c r="L819">
        <v>9120</v>
      </c>
      <c r="M819">
        <v>13680</v>
      </c>
      <c r="N819" t="s">
        <v>30</v>
      </c>
      <c r="O819" t="s">
        <v>67</v>
      </c>
      <c r="P819" t="s">
        <v>24</v>
      </c>
      <c r="Q819" t="str">
        <f>TEXT(clean_data[[#This Row],[Date]],"mmm")</f>
        <v>Feb</v>
      </c>
      <c r="R819">
        <f>YEAR(clean_data[[#This Row],[Date]])</f>
        <v>2022</v>
      </c>
      <c r="S819" s="2">
        <f>clean_data[[#This Row],[Profit]]/clean_data[[#This Row],[Revenue]]</f>
        <v>0.6</v>
      </c>
      <c r="T819" t="str" cm="1">
        <f t="array" ref="T819">_xlfn.IFS(clean_data[[#This Row],[Revenue]]&lt;300000,"Small",
     clean_data[[#This Row],[Revenue]]&lt;700000,"Medium",
     TRUE,"Large")</f>
        <v>Small</v>
      </c>
      <c r="U819" t="str" cm="1">
        <f t="array" ref="U819">_xlfn.IFS(clean_data[[#This Row],[profit margin%]]&lt;0.5,"Low Profit",
     clean_data[[#This Row],[profit margin%]]&lt;0.6,"Medium Profit",
     TRUE,"High Profit")</f>
        <v>High Profit</v>
      </c>
      <c r="V819" t="str">
        <f>TEXT(clean_data[[#This Row],[Date]],"mmm-yyyy")</f>
        <v>Feb-2022</v>
      </c>
      <c r="W819" s="8">
        <f>EOMONTH(clean_data[[#This Row],[Date]],-1)+1</f>
        <v>44593</v>
      </c>
    </row>
    <row r="820" spans="1:23" x14ac:dyDescent="0.3">
      <c r="A820" t="s">
        <v>892</v>
      </c>
      <c r="B820" s="1">
        <v>44783</v>
      </c>
      <c r="C820" t="s">
        <v>46</v>
      </c>
      <c r="D820" t="s">
        <v>55</v>
      </c>
      <c r="E820" t="s">
        <v>19</v>
      </c>
      <c r="F820" t="s">
        <v>28</v>
      </c>
      <c r="G820" t="s">
        <v>95</v>
      </c>
      <c r="H820">
        <v>9</v>
      </c>
      <c r="I820">
        <v>75000</v>
      </c>
      <c r="J820">
        <v>10</v>
      </c>
      <c r="K820">
        <v>607500</v>
      </c>
      <c r="L820">
        <v>334125</v>
      </c>
      <c r="M820">
        <v>273375</v>
      </c>
      <c r="N820" t="s">
        <v>49</v>
      </c>
      <c r="O820" t="s">
        <v>44</v>
      </c>
      <c r="P820" t="s">
        <v>24</v>
      </c>
      <c r="Q820" t="str">
        <f>TEXT(clean_data[[#This Row],[Date]],"mmm")</f>
        <v>Aug</v>
      </c>
      <c r="R820">
        <f>YEAR(clean_data[[#This Row],[Date]])</f>
        <v>2022</v>
      </c>
      <c r="S820" s="2">
        <f>clean_data[[#This Row],[Profit]]/clean_data[[#This Row],[Revenue]]</f>
        <v>0.45</v>
      </c>
      <c r="T820" t="str" cm="1">
        <f t="array" ref="T820">_xlfn.IFS(clean_data[[#This Row],[Revenue]]&lt;300000,"Small",
     clean_data[[#This Row],[Revenue]]&lt;700000,"Medium",
     TRUE,"Large")</f>
        <v>Medium</v>
      </c>
      <c r="U820" t="str" cm="1">
        <f t="array" ref="U820">_xlfn.IFS(clean_data[[#This Row],[profit margin%]]&lt;0.5,"Low Profit",
     clean_data[[#This Row],[profit margin%]]&lt;0.6,"Medium Profit",
     TRUE,"High Profit")</f>
        <v>Low Profit</v>
      </c>
      <c r="V820" t="str">
        <f>TEXT(clean_data[[#This Row],[Date]],"mmm-yyyy")</f>
        <v>Aug-2022</v>
      </c>
      <c r="W820" s="8">
        <f>EOMONTH(clean_data[[#This Row],[Date]],-1)+1</f>
        <v>44774</v>
      </c>
    </row>
    <row r="821" spans="1:23" x14ac:dyDescent="0.3">
      <c r="A821" t="s">
        <v>893</v>
      </c>
      <c r="B821" s="1">
        <v>44847</v>
      </c>
      <c r="C821" t="s">
        <v>46</v>
      </c>
      <c r="D821" t="s">
        <v>47</v>
      </c>
      <c r="E821" t="s">
        <v>19</v>
      </c>
      <c r="F821" t="s">
        <v>65</v>
      </c>
      <c r="G821" t="s">
        <v>124</v>
      </c>
      <c r="H821">
        <v>9</v>
      </c>
      <c r="I821">
        <v>18000</v>
      </c>
      <c r="J821">
        <v>10</v>
      </c>
      <c r="K821">
        <v>145800</v>
      </c>
      <c r="L821">
        <v>65610</v>
      </c>
      <c r="M821">
        <v>80190</v>
      </c>
      <c r="N821" t="s">
        <v>22</v>
      </c>
      <c r="O821" t="s">
        <v>35</v>
      </c>
      <c r="P821" t="s">
        <v>24</v>
      </c>
      <c r="Q821" t="str">
        <f>TEXT(clean_data[[#This Row],[Date]],"mmm")</f>
        <v>Oct</v>
      </c>
      <c r="R821">
        <f>YEAR(clean_data[[#This Row],[Date]])</f>
        <v>2022</v>
      </c>
      <c r="S821" s="2">
        <f>clean_data[[#This Row],[Profit]]/clean_data[[#This Row],[Revenue]]</f>
        <v>0.55000000000000004</v>
      </c>
      <c r="T821" t="str" cm="1">
        <f t="array" ref="T821">_xlfn.IFS(clean_data[[#This Row],[Revenue]]&lt;300000,"Small",
     clean_data[[#This Row],[Revenue]]&lt;700000,"Medium",
     TRUE,"Large")</f>
        <v>Small</v>
      </c>
      <c r="U821" t="str" cm="1">
        <f t="array" ref="U821">_xlfn.IFS(clean_data[[#This Row],[profit margin%]]&lt;0.5,"Low Profit",
     clean_data[[#This Row],[profit margin%]]&lt;0.6,"Medium Profit",
     TRUE,"High Profit")</f>
        <v>Medium Profit</v>
      </c>
      <c r="V821" t="str">
        <f>TEXT(clean_data[[#This Row],[Date]],"mmm-yyyy")</f>
        <v>Oct-2022</v>
      </c>
      <c r="W821" s="8">
        <f>EOMONTH(clean_data[[#This Row],[Date]],-1)+1</f>
        <v>44835</v>
      </c>
    </row>
    <row r="822" spans="1:23" x14ac:dyDescent="0.3">
      <c r="A822" t="s">
        <v>894</v>
      </c>
      <c r="B822" s="1">
        <v>45591</v>
      </c>
      <c r="C822" t="s">
        <v>58</v>
      </c>
      <c r="D822" t="s">
        <v>64</v>
      </c>
      <c r="E822" t="s">
        <v>73</v>
      </c>
      <c r="F822" t="s">
        <v>28</v>
      </c>
      <c r="G822" t="s">
        <v>87</v>
      </c>
      <c r="H822">
        <v>47</v>
      </c>
      <c r="I822">
        <v>45000</v>
      </c>
      <c r="J822">
        <v>10</v>
      </c>
      <c r="K822">
        <v>1903500</v>
      </c>
      <c r="L822">
        <v>1046925</v>
      </c>
      <c r="M822">
        <v>856575</v>
      </c>
      <c r="N822" t="s">
        <v>30</v>
      </c>
      <c r="O822" t="s">
        <v>44</v>
      </c>
      <c r="P822" t="s">
        <v>24</v>
      </c>
      <c r="Q822" t="str">
        <f>TEXT(clean_data[[#This Row],[Date]],"mmm")</f>
        <v>Oct</v>
      </c>
      <c r="R822">
        <f>YEAR(clean_data[[#This Row],[Date]])</f>
        <v>2024</v>
      </c>
      <c r="S822" s="2">
        <f>clean_data[[#This Row],[Profit]]/clean_data[[#This Row],[Revenue]]</f>
        <v>0.45</v>
      </c>
      <c r="T822" t="str" cm="1">
        <f t="array" ref="T822">_xlfn.IFS(clean_data[[#This Row],[Revenue]]&lt;300000,"Small",
     clean_data[[#This Row],[Revenue]]&lt;700000,"Medium",
     TRUE,"Large")</f>
        <v>Large</v>
      </c>
      <c r="U822" t="str" cm="1">
        <f t="array" ref="U822">_xlfn.IFS(clean_data[[#This Row],[profit margin%]]&lt;0.5,"Low Profit",
     clean_data[[#This Row],[profit margin%]]&lt;0.6,"Medium Profit",
     TRUE,"High Profit")</f>
        <v>Low Profit</v>
      </c>
      <c r="V822" t="str">
        <f>TEXT(clean_data[[#This Row],[Date]],"mmm-yyyy")</f>
        <v>Oct-2024</v>
      </c>
      <c r="W822" s="8">
        <f>EOMONTH(clean_data[[#This Row],[Date]],-1)+1</f>
        <v>45566</v>
      </c>
    </row>
    <row r="823" spans="1:23" x14ac:dyDescent="0.3">
      <c r="A823" t="s">
        <v>895</v>
      </c>
      <c r="B823" s="1">
        <v>45598</v>
      </c>
      <c r="C823" t="s">
        <v>46</v>
      </c>
      <c r="D823" t="s">
        <v>47</v>
      </c>
      <c r="E823" t="s">
        <v>38</v>
      </c>
      <c r="F823" t="s">
        <v>65</v>
      </c>
      <c r="G823" t="s">
        <v>79</v>
      </c>
      <c r="H823">
        <v>21</v>
      </c>
      <c r="I823">
        <v>900</v>
      </c>
      <c r="J823">
        <v>5</v>
      </c>
      <c r="K823">
        <v>17955</v>
      </c>
      <c r="L823">
        <v>8079.75</v>
      </c>
      <c r="M823">
        <v>9875.25</v>
      </c>
      <c r="N823" t="s">
        <v>22</v>
      </c>
      <c r="O823" t="s">
        <v>35</v>
      </c>
      <c r="P823" t="s">
        <v>24</v>
      </c>
      <c r="Q823" t="str">
        <f>TEXT(clean_data[[#This Row],[Date]],"mmm")</f>
        <v>Nov</v>
      </c>
      <c r="R823">
        <f>YEAR(clean_data[[#This Row],[Date]])</f>
        <v>2024</v>
      </c>
      <c r="S823" s="2">
        <f>clean_data[[#This Row],[Profit]]/clean_data[[#This Row],[Revenue]]</f>
        <v>0.55000000000000004</v>
      </c>
      <c r="T823" t="str" cm="1">
        <f t="array" ref="T823">_xlfn.IFS(clean_data[[#This Row],[Revenue]]&lt;300000,"Small",
     clean_data[[#This Row],[Revenue]]&lt;700000,"Medium",
     TRUE,"Large")</f>
        <v>Small</v>
      </c>
      <c r="U823" t="str" cm="1">
        <f t="array" ref="U823">_xlfn.IFS(clean_data[[#This Row],[profit margin%]]&lt;0.5,"Low Profit",
     clean_data[[#This Row],[profit margin%]]&lt;0.6,"Medium Profit",
     TRUE,"High Profit")</f>
        <v>Medium Profit</v>
      </c>
      <c r="V823" t="str">
        <f>TEXT(clean_data[[#This Row],[Date]],"mmm-yyyy")</f>
        <v>Nov-2024</v>
      </c>
      <c r="W823" s="8">
        <f>EOMONTH(clean_data[[#This Row],[Date]],-1)+1</f>
        <v>45597</v>
      </c>
    </row>
    <row r="824" spans="1:23" x14ac:dyDescent="0.3">
      <c r="A824" t="s">
        <v>896</v>
      </c>
      <c r="B824" s="1">
        <v>44709</v>
      </c>
      <c r="C824" t="s">
        <v>58</v>
      </c>
      <c r="D824" t="s">
        <v>84</v>
      </c>
      <c r="E824" t="s">
        <v>19</v>
      </c>
      <c r="F824" t="s">
        <v>28</v>
      </c>
      <c r="G824" t="s">
        <v>87</v>
      </c>
      <c r="H824">
        <v>14</v>
      </c>
      <c r="I824">
        <v>45000</v>
      </c>
      <c r="J824">
        <v>5</v>
      </c>
      <c r="K824">
        <v>598500</v>
      </c>
      <c r="L824">
        <v>329175</v>
      </c>
      <c r="M824">
        <v>269325</v>
      </c>
      <c r="N824" t="s">
        <v>30</v>
      </c>
      <c r="O824" t="s">
        <v>67</v>
      </c>
      <c r="P824" t="s">
        <v>24</v>
      </c>
      <c r="Q824" t="str">
        <f>TEXT(clean_data[[#This Row],[Date]],"mmm")</f>
        <v>May</v>
      </c>
      <c r="R824">
        <f>YEAR(clean_data[[#This Row],[Date]])</f>
        <v>2022</v>
      </c>
      <c r="S824" s="2">
        <f>clean_data[[#This Row],[Profit]]/clean_data[[#This Row],[Revenue]]</f>
        <v>0.45</v>
      </c>
      <c r="T824" t="str" cm="1">
        <f t="array" ref="T824">_xlfn.IFS(clean_data[[#This Row],[Revenue]]&lt;300000,"Small",
     clean_data[[#This Row],[Revenue]]&lt;700000,"Medium",
     TRUE,"Large")</f>
        <v>Medium</v>
      </c>
      <c r="U824" t="str" cm="1">
        <f t="array" ref="U824">_xlfn.IFS(clean_data[[#This Row],[profit margin%]]&lt;0.5,"Low Profit",
     clean_data[[#This Row],[profit margin%]]&lt;0.6,"Medium Profit",
     TRUE,"High Profit")</f>
        <v>Low Profit</v>
      </c>
      <c r="V824" t="str">
        <f>TEXT(clean_data[[#This Row],[Date]],"mmm-yyyy")</f>
        <v>May-2022</v>
      </c>
      <c r="W824" s="8">
        <f>EOMONTH(clean_data[[#This Row],[Date]],-1)+1</f>
        <v>44682</v>
      </c>
    </row>
    <row r="825" spans="1:23" x14ac:dyDescent="0.3">
      <c r="A825" t="s">
        <v>897</v>
      </c>
      <c r="B825" s="1">
        <v>45653</v>
      </c>
      <c r="C825" t="s">
        <v>46</v>
      </c>
      <c r="D825" t="s">
        <v>47</v>
      </c>
      <c r="E825" t="s">
        <v>111</v>
      </c>
      <c r="F825" t="s">
        <v>28</v>
      </c>
      <c r="G825" t="s">
        <v>85</v>
      </c>
      <c r="H825">
        <v>47</v>
      </c>
      <c r="I825">
        <v>8000</v>
      </c>
      <c r="J825">
        <v>15</v>
      </c>
      <c r="K825">
        <v>319600</v>
      </c>
      <c r="L825">
        <v>175780</v>
      </c>
      <c r="M825">
        <v>143820</v>
      </c>
      <c r="N825" t="s">
        <v>30</v>
      </c>
      <c r="O825" t="s">
        <v>44</v>
      </c>
      <c r="P825" t="s">
        <v>24</v>
      </c>
      <c r="Q825" t="str">
        <f>TEXT(clean_data[[#This Row],[Date]],"mmm")</f>
        <v>Dec</v>
      </c>
      <c r="R825">
        <f>YEAR(clean_data[[#This Row],[Date]])</f>
        <v>2024</v>
      </c>
      <c r="S825" s="2">
        <f>clean_data[[#This Row],[Profit]]/clean_data[[#This Row],[Revenue]]</f>
        <v>0.45</v>
      </c>
      <c r="T825" t="str" cm="1">
        <f t="array" ref="T825">_xlfn.IFS(clean_data[[#This Row],[Revenue]]&lt;300000,"Small",
     clean_data[[#This Row],[Revenue]]&lt;700000,"Medium",
     TRUE,"Large")</f>
        <v>Medium</v>
      </c>
      <c r="U825" t="str" cm="1">
        <f t="array" ref="U825">_xlfn.IFS(clean_data[[#This Row],[profit margin%]]&lt;0.5,"Low Profit",
     clean_data[[#This Row],[profit margin%]]&lt;0.6,"Medium Profit",
     TRUE,"High Profit")</f>
        <v>Low Profit</v>
      </c>
      <c r="V825" t="str">
        <f>TEXT(clean_data[[#This Row],[Date]],"mmm-yyyy")</f>
        <v>Dec-2024</v>
      </c>
      <c r="W825" s="8">
        <f>EOMONTH(clean_data[[#This Row],[Date]],-1)+1</f>
        <v>45627</v>
      </c>
    </row>
    <row r="826" spans="1:23" x14ac:dyDescent="0.3">
      <c r="A826" t="s">
        <v>898</v>
      </c>
      <c r="B826" s="1">
        <v>45030</v>
      </c>
      <c r="C826" t="s">
        <v>46</v>
      </c>
      <c r="D826" t="s">
        <v>47</v>
      </c>
      <c r="E826" t="s">
        <v>73</v>
      </c>
      <c r="F826" t="s">
        <v>33</v>
      </c>
      <c r="G826" t="s">
        <v>43</v>
      </c>
      <c r="H826">
        <v>29</v>
      </c>
      <c r="I826">
        <v>4000</v>
      </c>
      <c r="J826">
        <v>5</v>
      </c>
      <c r="K826">
        <v>110200</v>
      </c>
      <c r="L826">
        <v>55100</v>
      </c>
      <c r="M826">
        <v>55100</v>
      </c>
      <c r="N826" t="s">
        <v>49</v>
      </c>
      <c r="O826" t="s">
        <v>35</v>
      </c>
      <c r="P826" t="s">
        <v>24</v>
      </c>
      <c r="Q826" t="str">
        <f>TEXT(clean_data[[#This Row],[Date]],"mmm")</f>
        <v>Apr</v>
      </c>
      <c r="R826">
        <f>YEAR(clean_data[[#This Row],[Date]])</f>
        <v>2023</v>
      </c>
      <c r="S826" s="2">
        <f>clean_data[[#This Row],[Profit]]/clean_data[[#This Row],[Revenue]]</f>
        <v>0.5</v>
      </c>
      <c r="T826" t="str" cm="1">
        <f t="array" ref="T826">_xlfn.IFS(clean_data[[#This Row],[Revenue]]&lt;300000,"Small",
     clean_data[[#This Row],[Revenue]]&lt;700000,"Medium",
     TRUE,"Large")</f>
        <v>Small</v>
      </c>
      <c r="U826" t="str" cm="1">
        <f t="array" ref="U826">_xlfn.IFS(clean_data[[#This Row],[profit margin%]]&lt;0.5,"Low Profit",
     clean_data[[#This Row],[profit margin%]]&lt;0.6,"Medium Profit",
     TRUE,"High Profit")</f>
        <v>Medium Profit</v>
      </c>
      <c r="V826" t="str">
        <f>TEXT(clean_data[[#This Row],[Date]],"mmm-yyyy")</f>
        <v>Apr-2023</v>
      </c>
      <c r="W826" s="8">
        <f>EOMONTH(clean_data[[#This Row],[Date]],-1)+1</f>
        <v>45017</v>
      </c>
    </row>
    <row r="827" spans="1:23" x14ac:dyDescent="0.3">
      <c r="A827" t="s">
        <v>899</v>
      </c>
      <c r="B827" s="1">
        <v>45273</v>
      </c>
      <c r="C827" t="s">
        <v>58</v>
      </c>
      <c r="D827" t="s">
        <v>84</v>
      </c>
      <c r="E827" t="s">
        <v>60</v>
      </c>
      <c r="F827" t="s">
        <v>65</v>
      </c>
      <c r="G827" t="s">
        <v>66</v>
      </c>
      <c r="H827">
        <v>33</v>
      </c>
      <c r="I827">
        <v>5500</v>
      </c>
      <c r="J827">
        <v>20</v>
      </c>
      <c r="K827">
        <v>145200</v>
      </c>
      <c r="L827">
        <v>65340</v>
      </c>
      <c r="M827">
        <v>79860</v>
      </c>
      <c r="N827" t="s">
        <v>30</v>
      </c>
      <c r="O827" t="s">
        <v>23</v>
      </c>
      <c r="P827" t="s">
        <v>24</v>
      </c>
      <c r="Q827" t="str">
        <f>TEXT(clean_data[[#This Row],[Date]],"mmm")</f>
        <v>Dec</v>
      </c>
      <c r="R827">
        <f>YEAR(clean_data[[#This Row],[Date]])</f>
        <v>2023</v>
      </c>
      <c r="S827" s="2">
        <f>clean_data[[#This Row],[Profit]]/clean_data[[#This Row],[Revenue]]</f>
        <v>0.55000000000000004</v>
      </c>
      <c r="T827" t="str" cm="1">
        <f t="array" ref="T827">_xlfn.IFS(clean_data[[#This Row],[Revenue]]&lt;300000,"Small",
     clean_data[[#This Row],[Revenue]]&lt;700000,"Medium",
     TRUE,"Large")</f>
        <v>Small</v>
      </c>
      <c r="U827" t="str" cm="1">
        <f t="array" ref="U827">_xlfn.IFS(clean_data[[#This Row],[profit margin%]]&lt;0.5,"Low Profit",
     clean_data[[#This Row],[profit margin%]]&lt;0.6,"Medium Profit",
     TRUE,"High Profit")</f>
        <v>Medium Profit</v>
      </c>
      <c r="V827" t="str">
        <f>TEXT(clean_data[[#This Row],[Date]],"mmm-yyyy")</f>
        <v>Dec-2023</v>
      </c>
      <c r="W827" s="8">
        <f>EOMONTH(clean_data[[#This Row],[Date]],-1)+1</f>
        <v>45261</v>
      </c>
    </row>
    <row r="828" spans="1:23" x14ac:dyDescent="0.3">
      <c r="A828" t="s">
        <v>900</v>
      </c>
      <c r="B828" s="1">
        <v>44617</v>
      </c>
      <c r="C828" t="s">
        <v>58</v>
      </c>
      <c r="D828" t="s">
        <v>59</v>
      </c>
      <c r="E828" t="s">
        <v>52</v>
      </c>
      <c r="F828" t="s">
        <v>33</v>
      </c>
      <c r="G828" t="s">
        <v>43</v>
      </c>
      <c r="H828">
        <v>35</v>
      </c>
      <c r="I828">
        <v>4000</v>
      </c>
      <c r="J828">
        <v>5</v>
      </c>
      <c r="K828">
        <v>133000</v>
      </c>
      <c r="L828">
        <v>66500</v>
      </c>
      <c r="M828">
        <v>66500</v>
      </c>
      <c r="N828" t="s">
        <v>22</v>
      </c>
      <c r="O828" t="s">
        <v>44</v>
      </c>
      <c r="P828" t="s">
        <v>40</v>
      </c>
      <c r="Q828" t="str">
        <f>TEXT(clean_data[[#This Row],[Date]],"mmm")</f>
        <v>Feb</v>
      </c>
      <c r="R828">
        <f>YEAR(clean_data[[#This Row],[Date]])</f>
        <v>2022</v>
      </c>
      <c r="S828" s="2">
        <f>clean_data[[#This Row],[Profit]]/clean_data[[#This Row],[Revenue]]</f>
        <v>0.5</v>
      </c>
      <c r="T828" t="str" cm="1">
        <f t="array" ref="T828">_xlfn.IFS(clean_data[[#This Row],[Revenue]]&lt;300000,"Small",
     clean_data[[#This Row],[Revenue]]&lt;700000,"Medium",
     TRUE,"Large")</f>
        <v>Small</v>
      </c>
      <c r="U828" t="str" cm="1">
        <f t="array" ref="U828">_xlfn.IFS(clean_data[[#This Row],[profit margin%]]&lt;0.5,"Low Profit",
     clean_data[[#This Row],[profit margin%]]&lt;0.6,"Medium Profit",
     TRUE,"High Profit")</f>
        <v>Medium Profit</v>
      </c>
      <c r="V828" t="str">
        <f>TEXT(clean_data[[#This Row],[Date]],"mmm-yyyy")</f>
        <v>Feb-2022</v>
      </c>
      <c r="W828" s="8">
        <f>EOMONTH(clean_data[[#This Row],[Date]],-1)+1</f>
        <v>44593</v>
      </c>
    </row>
    <row r="829" spans="1:23" x14ac:dyDescent="0.3">
      <c r="A829" t="s">
        <v>901</v>
      </c>
      <c r="B829" s="1">
        <v>45059</v>
      </c>
      <c r="C829" t="s">
        <v>58</v>
      </c>
      <c r="D829" t="s">
        <v>59</v>
      </c>
      <c r="E829" t="s">
        <v>60</v>
      </c>
      <c r="F829" t="s">
        <v>33</v>
      </c>
      <c r="G829" t="s">
        <v>48</v>
      </c>
      <c r="H829">
        <v>36</v>
      </c>
      <c r="I829">
        <v>1500</v>
      </c>
      <c r="J829">
        <v>20</v>
      </c>
      <c r="K829">
        <v>43200</v>
      </c>
      <c r="L829">
        <v>21600</v>
      </c>
      <c r="M829">
        <v>21600</v>
      </c>
      <c r="N829" t="s">
        <v>30</v>
      </c>
      <c r="O829" t="s">
        <v>50</v>
      </c>
      <c r="P829" t="s">
        <v>24</v>
      </c>
      <c r="Q829" t="str">
        <f>TEXT(clean_data[[#This Row],[Date]],"mmm")</f>
        <v>May</v>
      </c>
      <c r="R829">
        <f>YEAR(clean_data[[#This Row],[Date]])</f>
        <v>2023</v>
      </c>
      <c r="S829" s="2">
        <f>clean_data[[#This Row],[Profit]]/clean_data[[#This Row],[Revenue]]</f>
        <v>0.5</v>
      </c>
      <c r="T829" t="str" cm="1">
        <f t="array" ref="T829">_xlfn.IFS(clean_data[[#This Row],[Revenue]]&lt;300000,"Small",
     clean_data[[#This Row],[Revenue]]&lt;700000,"Medium",
     TRUE,"Large")</f>
        <v>Small</v>
      </c>
      <c r="U829" t="str" cm="1">
        <f t="array" ref="U829">_xlfn.IFS(clean_data[[#This Row],[profit margin%]]&lt;0.5,"Low Profit",
     clean_data[[#This Row],[profit margin%]]&lt;0.6,"Medium Profit",
     TRUE,"High Profit")</f>
        <v>Medium Profit</v>
      </c>
      <c r="V829" t="str">
        <f>TEXT(clean_data[[#This Row],[Date]],"mmm-yyyy")</f>
        <v>May-2023</v>
      </c>
      <c r="W829" s="8">
        <f>EOMONTH(clean_data[[#This Row],[Date]],-1)+1</f>
        <v>45047</v>
      </c>
    </row>
    <row r="830" spans="1:23" x14ac:dyDescent="0.3">
      <c r="A830" t="s">
        <v>902</v>
      </c>
      <c r="B830" s="1">
        <v>44827</v>
      </c>
      <c r="C830" t="s">
        <v>58</v>
      </c>
      <c r="D830" t="s">
        <v>84</v>
      </c>
      <c r="E830" t="s">
        <v>78</v>
      </c>
      <c r="F830" t="s">
        <v>20</v>
      </c>
      <c r="G830" t="s">
        <v>21</v>
      </c>
      <c r="H830">
        <v>1</v>
      </c>
      <c r="I830">
        <v>3500</v>
      </c>
      <c r="J830">
        <v>20</v>
      </c>
      <c r="K830">
        <v>2800</v>
      </c>
      <c r="L830">
        <v>1120</v>
      </c>
      <c r="M830">
        <v>1680</v>
      </c>
      <c r="N830" t="s">
        <v>49</v>
      </c>
      <c r="O830" t="s">
        <v>23</v>
      </c>
      <c r="P830" t="s">
        <v>24</v>
      </c>
      <c r="Q830" t="str">
        <f>TEXT(clean_data[[#This Row],[Date]],"mmm")</f>
        <v>Sep</v>
      </c>
      <c r="R830">
        <f>YEAR(clean_data[[#This Row],[Date]])</f>
        <v>2022</v>
      </c>
      <c r="S830" s="2">
        <f>clean_data[[#This Row],[Profit]]/clean_data[[#This Row],[Revenue]]</f>
        <v>0.6</v>
      </c>
      <c r="T830" t="str" cm="1">
        <f t="array" ref="T830">_xlfn.IFS(clean_data[[#This Row],[Revenue]]&lt;300000,"Small",
     clean_data[[#This Row],[Revenue]]&lt;700000,"Medium",
     TRUE,"Large")</f>
        <v>Small</v>
      </c>
      <c r="U830" t="str" cm="1">
        <f t="array" ref="U830">_xlfn.IFS(clean_data[[#This Row],[profit margin%]]&lt;0.5,"Low Profit",
     clean_data[[#This Row],[profit margin%]]&lt;0.6,"Medium Profit",
     TRUE,"High Profit")</f>
        <v>High Profit</v>
      </c>
      <c r="V830" t="str">
        <f>TEXT(clean_data[[#This Row],[Date]],"mmm-yyyy")</f>
        <v>Sep-2022</v>
      </c>
      <c r="W830" s="8">
        <f>EOMONTH(clean_data[[#This Row],[Date]],-1)+1</f>
        <v>44805</v>
      </c>
    </row>
    <row r="831" spans="1:23" x14ac:dyDescent="0.3">
      <c r="A831" t="s">
        <v>903</v>
      </c>
      <c r="B831" s="1">
        <v>45364</v>
      </c>
      <c r="C831" t="s">
        <v>17</v>
      </c>
      <c r="D831" t="s">
        <v>37</v>
      </c>
      <c r="E831" t="s">
        <v>60</v>
      </c>
      <c r="F831" t="s">
        <v>33</v>
      </c>
      <c r="G831" t="s">
        <v>43</v>
      </c>
      <c r="H831">
        <v>5</v>
      </c>
      <c r="I831">
        <v>4000</v>
      </c>
      <c r="J831">
        <v>15</v>
      </c>
      <c r="K831">
        <v>17000</v>
      </c>
      <c r="L831">
        <v>8500</v>
      </c>
      <c r="M831">
        <v>8500</v>
      </c>
      <c r="N831" t="s">
        <v>30</v>
      </c>
      <c r="O831" t="s">
        <v>23</v>
      </c>
      <c r="P831" t="s">
        <v>24</v>
      </c>
      <c r="Q831" t="str">
        <f>TEXT(clean_data[[#This Row],[Date]],"mmm")</f>
        <v>Mar</v>
      </c>
      <c r="R831">
        <f>YEAR(clean_data[[#This Row],[Date]])</f>
        <v>2024</v>
      </c>
      <c r="S831" s="2">
        <f>clean_data[[#This Row],[Profit]]/clean_data[[#This Row],[Revenue]]</f>
        <v>0.5</v>
      </c>
      <c r="T831" t="str" cm="1">
        <f t="array" ref="T831">_xlfn.IFS(clean_data[[#This Row],[Revenue]]&lt;300000,"Small",
     clean_data[[#This Row],[Revenue]]&lt;700000,"Medium",
     TRUE,"Large")</f>
        <v>Small</v>
      </c>
      <c r="U831" t="str" cm="1">
        <f t="array" ref="U831">_xlfn.IFS(clean_data[[#This Row],[profit margin%]]&lt;0.5,"Low Profit",
     clean_data[[#This Row],[profit margin%]]&lt;0.6,"Medium Profit",
     TRUE,"High Profit")</f>
        <v>Medium Profit</v>
      </c>
      <c r="V831" t="str">
        <f>TEXT(clean_data[[#This Row],[Date]],"mmm-yyyy")</f>
        <v>Mar-2024</v>
      </c>
      <c r="W831" s="8">
        <f>EOMONTH(clean_data[[#This Row],[Date]],-1)+1</f>
        <v>45352</v>
      </c>
    </row>
    <row r="832" spans="1:23" x14ac:dyDescent="0.3">
      <c r="A832" t="s">
        <v>904</v>
      </c>
      <c r="B832" s="1">
        <v>44872</v>
      </c>
      <c r="C832" t="s">
        <v>58</v>
      </c>
      <c r="D832" t="s">
        <v>59</v>
      </c>
      <c r="E832" t="s">
        <v>70</v>
      </c>
      <c r="F832" t="s">
        <v>65</v>
      </c>
      <c r="G832" t="s">
        <v>124</v>
      </c>
      <c r="H832">
        <v>45</v>
      </c>
      <c r="I832">
        <v>18000</v>
      </c>
      <c r="J832">
        <v>0</v>
      </c>
      <c r="K832">
        <v>810000</v>
      </c>
      <c r="L832">
        <v>364500</v>
      </c>
      <c r="M832">
        <v>445500</v>
      </c>
      <c r="N832" t="s">
        <v>49</v>
      </c>
      <c r="O832" t="s">
        <v>44</v>
      </c>
      <c r="P832" t="s">
        <v>24</v>
      </c>
      <c r="Q832" t="str">
        <f>TEXT(clean_data[[#This Row],[Date]],"mmm")</f>
        <v>Nov</v>
      </c>
      <c r="R832">
        <f>YEAR(clean_data[[#This Row],[Date]])</f>
        <v>2022</v>
      </c>
      <c r="S832" s="2">
        <f>clean_data[[#This Row],[Profit]]/clean_data[[#This Row],[Revenue]]</f>
        <v>0.55000000000000004</v>
      </c>
      <c r="T832" t="str" cm="1">
        <f t="array" ref="T832">_xlfn.IFS(clean_data[[#This Row],[Revenue]]&lt;300000,"Small",
     clean_data[[#This Row],[Revenue]]&lt;700000,"Medium",
     TRUE,"Large")</f>
        <v>Large</v>
      </c>
      <c r="U832" t="str" cm="1">
        <f t="array" ref="U832">_xlfn.IFS(clean_data[[#This Row],[profit margin%]]&lt;0.5,"Low Profit",
     clean_data[[#This Row],[profit margin%]]&lt;0.6,"Medium Profit",
     TRUE,"High Profit")</f>
        <v>Medium Profit</v>
      </c>
      <c r="V832" t="str">
        <f>TEXT(clean_data[[#This Row],[Date]],"mmm-yyyy")</f>
        <v>Nov-2022</v>
      </c>
      <c r="W832" s="8">
        <f>EOMONTH(clean_data[[#This Row],[Date]],-1)+1</f>
        <v>44866</v>
      </c>
    </row>
    <row r="833" spans="1:23" x14ac:dyDescent="0.3">
      <c r="A833" t="s">
        <v>905</v>
      </c>
      <c r="B833" s="1">
        <v>45032</v>
      </c>
      <c r="C833" t="s">
        <v>26</v>
      </c>
      <c r="D833" t="s">
        <v>69</v>
      </c>
      <c r="E833" t="s">
        <v>56</v>
      </c>
      <c r="F833" t="s">
        <v>20</v>
      </c>
      <c r="G833" t="s">
        <v>61</v>
      </c>
      <c r="H833">
        <v>39</v>
      </c>
      <c r="I833">
        <v>800</v>
      </c>
      <c r="J833">
        <v>15</v>
      </c>
      <c r="K833">
        <v>26520</v>
      </c>
      <c r="L833">
        <v>10608</v>
      </c>
      <c r="M833">
        <v>15912</v>
      </c>
      <c r="N833" t="s">
        <v>49</v>
      </c>
      <c r="O833" t="s">
        <v>44</v>
      </c>
      <c r="P833" t="s">
        <v>24</v>
      </c>
      <c r="Q833" t="str">
        <f>TEXT(clean_data[[#This Row],[Date]],"mmm")</f>
        <v>Apr</v>
      </c>
      <c r="R833">
        <f>YEAR(clean_data[[#This Row],[Date]])</f>
        <v>2023</v>
      </c>
      <c r="S833" s="2">
        <f>clean_data[[#This Row],[Profit]]/clean_data[[#This Row],[Revenue]]</f>
        <v>0.6</v>
      </c>
      <c r="T833" t="str" cm="1">
        <f t="array" ref="T833">_xlfn.IFS(clean_data[[#This Row],[Revenue]]&lt;300000,"Small",
     clean_data[[#This Row],[Revenue]]&lt;700000,"Medium",
     TRUE,"Large")</f>
        <v>Small</v>
      </c>
      <c r="U833" t="str" cm="1">
        <f t="array" ref="U833">_xlfn.IFS(clean_data[[#This Row],[profit margin%]]&lt;0.5,"Low Profit",
     clean_data[[#This Row],[profit margin%]]&lt;0.6,"Medium Profit",
     TRUE,"High Profit")</f>
        <v>High Profit</v>
      </c>
      <c r="V833" t="str">
        <f>TEXT(clean_data[[#This Row],[Date]],"mmm-yyyy")</f>
        <v>Apr-2023</v>
      </c>
      <c r="W833" s="8">
        <f>EOMONTH(clean_data[[#This Row],[Date]],-1)+1</f>
        <v>45017</v>
      </c>
    </row>
    <row r="834" spans="1:23" x14ac:dyDescent="0.3">
      <c r="A834" t="s">
        <v>906</v>
      </c>
      <c r="B834" s="1">
        <v>44866</v>
      </c>
      <c r="C834" t="s">
        <v>26</v>
      </c>
      <c r="D834" t="s">
        <v>27</v>
      </c>
      <c r="E834" t="s">
        <v>32</v>
      </c>
      <c r="F834" t="s">
        <v>65</v>
      </c>
      <c r="G834" t="s">
        <v>79</v>
      </c>
      <c r="H834">
        <v>6</v>
      </c>
      <c r="I834">
        <v>900</v>
      </c>
      <c r="J834">
        <v>20</v>
      </c>
      <c r="K834">
        <v>4320</v>
      </c>
      <c r="L834">
        <v>1944</v>
      </c>
      <c r="M834">
        <v>2376</v>
      </c>
      <c r="N834" t="s">
        <v>49</v>
      </c>
      <c r="O834" t="s">
        <v>44</v>
      </c>
      <c r="P834" t="s">
        <v>24</v>
      </c>
      <c r="Q834" t="str">
        <f>TEXT(clean_data[[#This Row],[Date]],"mmm")</f>
        <v>Nov</v>
      </c>
      <c r="R834">
        <f>YEAR(clean_data[[#This Row],[Date]])</f>
        <v>2022</v>
      </c>
      <c r="S834" s="2">
        <f>clean_data[[#This Row],[Profit]]/clean_data[[#This Row],[Revenue]]</f>
        <v>0.55000000000000004</v>
      </c>
      <c r="T834" t="str" cm="1">
        <f t="array" ref="T834">_xlfn.IFS(clean_data[[#This Row],[Revenue]]&lt;300000,"Small",
     clean_data[[#This Row],[Revenue]]&lt;700000,"Medium",
     TRUE,"Large")</f>
        <v>Small</v>
      </c>
      <c r="U834" t="str" cm="1">
        <f t="array" ref="U834">_xlfn.IFS(clean_data[[#This Row],[profit margin%]]&lt;0.5,"Low Profit",
     clean_data[[#This Row],[profit margin%]]&lt;0.6,"Medium Profit",
     TRUE,"High Profit")</f>
        <v>Medium Profit</v>
      </c>
      <c r="V834" t="str">
        <f>TEXT(clean_data[[#This Row],[Date]],"mmm-yyyy")</f>
        <v>Nov-2022</v>
      </c>
      <c r="W834" s="8">
        <f>EOMONTH(clean_data[[#This Row],[Date]],-1)+1</f>
        <v>44866</v>
      </c>
    </row>
    <row r="835" spans="1:23" x14ac:dyDescent="0.3">
      <c r="A835" t="s">
        <v>907</v>
      </c>
      <c r="B835" s="1">
        <v>45391</v>
      </c>
      <c r="C835" t="s">
        <v>17</v>
      </c>
      <c r="D835" t="s">
        <v>42</v>
      </c>
      <c r="E835" t="s">
        <v>111</v>
      </c>
      <c r="F835" t="s">
        <v>65</v>
      </c>
      <c r="G835" t="s">
        <v>79</v>
      </c>
      <c r="H835">
        <v>20</v>
      </c>
      <c r="I835">
        <v>900</v>
      </c>
      <c r="J835">
        <v>15</v>
      </c>
      <c r="K835">
        <v>15300</v>
      </c>
      <c r="L835">
        <v>6885</v>
      </c>
      <c r="M835">
        <v>8415</v>
      </c>
      <c r="N835" t="s">
        <v>30</v>
      </c>
      <c r="O835" t="s">
        <v>67</v>
      </c>
      <c r="P835" t="s">
        <v>24</v>
      </c>
      <c r="Q835" t="str">
        <f>TEXT(clean_data[[#This Row],[Date]],"mmm")</f>
        <v>Apr</v>
      </c>
      <c r="R835">
        <f>YEAR(clean_data[[#This Row],[Date]])</f>
        <v>2024</v>
      </c>
      <c r="S835" s="2">
        <f>clean_data[[#This Row],[Profit]]/clean_data[[#This Row],[Revenue]]</f>
        <v>0.55000000000000004</v>
      </c>
      <c r="T835" t="str" cm="1">
        <f t="array" ref="T835">_xlfn.IFS(clean_data[[#This Row],[Revenue]]&lt;300000,"Small",
     clean_data[[#This Row],[Revenue]]&lt;700000,"Medium",
     TRUE,"Large")</f>
        <v>Small</v>
      </c>
      <c r="U835" t="str" cm="1">
        <f t="array" ref="U835">_xlfn.IFS(clean_data[[#This Row],[profit margin%]]&lt;0.5,"Low Profit",
     clean_data[[#This Row],[profit margin%]]&lt;0.6,"Medium Profit",
     TRUE,"High Profit")</f>
        <v>Medium Profit</v>
      </c>
      <c r="V835" t="str">
        <f>TEXT(clean_data[[#This Row],[Date]],"mmm-yyyy")</f>
        <v>Apr-2024</v>
      </c>
      <c r="W835" s="8">
        <f>EOMONTH(clean_data[[#This Row],[Date]],-1)+1</f>
        <v>45383</v>
      </c>
    </row>
    <row r="836" spans="1:23" x14ac:dyDescent="0.3">
      <c r="A836" t="s">
        <v>908</v>
      </c>
      <c r="B836" s="1">
        <v>45257</v>
      </c>
      <c r="C836" t="s">
        <v>46</v>
      </c>
      <c r="D836" t="s">
        <v>55</v>
      </c>
      <c r="E836" t="s">
        <v>19</v>
      </c>
      <c r="F836" t="s">
        <v>65</v>
      </c>
      <c r="G836" t="s">
        <v>124</v>
      </c>
      <c r="H836">
        <v>1</v>
      </c>
      <c r="I836">
        <v>18000</v>
      </c>
      <c r="J836">
        <v>5</v>
      </c>
      <c r="K836">
        <v>17100</v>
      </c>
      <c r="L836">
        <v>7695</v>
      </c>
      <c r="M836">
        <v>9405</v>
      </c>
      <c r="N836" t="s">
        <v>30</v>
      </c>
      <c r="O836" t="s">
        <v>35</v>
      </c>
      <c r="P836" t="s">
        <v>24</v>
      </c>
      <c r="Q836" t="str">
        <f>TEXT(clean_data[[#This Row],[Date]],"mmm")</f>
        <v>Nov</v>
      </c>
      <c r="R836">
        <f>YEAR(clean_data[[#This Row],[Date]])</f>
        <v>2023</v>
      </c>
      <c r="S836" s="2">
        <f>clean_data[[#This Row],[Profit]]/clean_data[[#This Row],[Revenue]]</f>
        <v>0.55000000000000004</v>
      </c>
      <c r="T836" t="str" cm="1">
        <f t="array" ref="T836">_xlfn.IFS(clean_data[[#This Row],[Revenue]]&lt;300000,"Small",
     clean_data[[#This Row],[Revenue]]&lt;700000,"Medium",
     TRUE,"Large")</f>
        <v>Small</v>
      </c>
      <c r="U836" t="str" cm="1">
        <f t="array" ref="U836">_xlfn.IFS(clean_data[[#This Row],[profit margin%]]&lt;0.5,"Low Profit",
     clean_data[[#This Row],[profit margin%]]&lt;0.6,"Medium Profit",
     TRUE,"High Profit")</f>
        <v>Medium Profit</v>
      </c>
      <c r="V836" t="str">
        <f>TEXT(clean_data[[#This Row],[Date]],"mmm-yyyy")</f>
        <v>Nov-2023</v>
      </c>
      <c r="W836" s="8">
        <f>EOMONTH(clean_data[[#This Row],[Date]],-1)+1</f>
        <v>45231</v>
      </c>
    </row>
    <row r="837" spans="1:23" x14ac:dyDescent="0.3">
      <c r="A837" t="s">
        <v>909</v>
      </c>
      <c r="B837" s="1">
        <v>44706</v>
      </c>
      <c r="C837" t="s">
        <v>58</v>
      </c>
      <c r="D837" t="s">
        <v>64</v>
      </c>
      <c r="E837" t="s">
        <v>32</v>
      </c>
      <c r="F837" t="s">
        <v>33</v>
      </c>
      <c r="G837" t="s">
        <v>48</v>
      </c>
      <c r="H837">
        <v>11</v>
      </c>
      <c r="I837">
        <v>1500</v>
      </c>
      <c r="J837">
        <v>5</v>
      </c>
      <c r="K837">
        <v>15675</v>
      </c>
      <c r="L837">
        <v>7837.5</v>
      </c>
      <c r="M837">
        <v>7837.5</v>
      </c>
      <c r="N837" t="s">
        <v>30</v>
      </c>
      <c r="O837" t="s">
        <v>44</v>
      </c>
      <c r="P837" t="s">
        <v>24</v>
      </c>
      <c r="Q837" t="str">
        <f>TEXT(clean_data[[#This Row],[Date]],"mmm")</f>
        <v>May</v>
      </c>
      <c r="R837">
        <f>YEAR(clean_data[[#This Row],[Date]])</f>
        <v>2022</v>
      </c>
      <c r="S837" s="2">
        <f>clean_data[[#This Row],[Profit]]/clean_data[[#This Row],[Revenue]]</f>
        <v>0.5</v>
      </c>
      <c r="T837" t="str" cm="1">
        <f t="array" ref="T837">_xlfn.IFS(clean_data[[#This Row],[Revenue]]&lt;300000,"Small",
     clean_data[[#This Row],[Revenue]]&lt;700000,"Medium",
     TRUE,"Large")</f>
        <v>Small</v>
      </c>
      <c r="U837" t="str" cm="1">
        <f t="array" ref="U837">_xlfn.IFS(clean_data[[#This Row],[profit margin%]]&lt;0.5,"Low Profit",
     clean_data[[#This Row],[profit margin%]]&lt;0.6,"Medium Profit",
     TRUE,"High Profit")</f>
        <v>Medium Profit</v>
      </c>
      <c r="V837" t="str">
        <f>TEXT(clean_data[[#This Row],[Date]],"mmm-yyyy")</f>
        <v>May-2022</v>
      </c>
      <c r="W837" s="8">
        <f>EOMONTH(clean_data[[#This Row],[Date]],-1)+1</f>
        <v>44682</v>
      </c>
    </row>
    <row r="838" spans="1:23" x14ac:dyDescent="0.3">
      <c r="A838" t="s">
        <v>910</v>
      </c>
      <c r="B838" s="1">
        <v>44942</v>
      </c>
      <c r="C838" t="s">
        <v>46</v>
      </c>
      <c r="D838" t="s">
        <v>47</v>
      </c>
      <c r="E838" t="s">
        <v>60</v>
      </c>
      <c r="F838" t="s">
        <v>20</v>
      </c>
      <c r="G838" t="s">
        <v>74</v>
      </c>
      <c r="H838">
        <v>13</v>
      </c>
      <c r="I838">
        <v>4200</v>
      </c>
      <c r="J838">
        <v>0</v>
      </c>
      <c r="K838">
        <v>54600</v>
      </c>
      <c r="L838">
        <v>21840</v>
      </c>
      <c r="M838">
        <v>32760</v>
      </c>
      <c r="N838" t="s">
        <v>30</v>
      </c>
      <c r="O838" t="s">
        <v>50</v>
      </c>
      <c r="P838" t="s">
        <v>24</v>
      </c>
      <c r="Q838" t="str">
        <f>TEXT(clean_data[[#This Row],[Date]],"mmm")</f>
        <v>Jan</v>
      </c>
      <c r="R838">
        <f>YEAR(clean_data[[#This Row],[Date]])</f>
        <v>2023</v>
      </c>
      <c r="S838" s="2">
        <f>clean_data[[#This Row],[Profit]]/clean_data[[#This Row],[Revenue]]</f>
        <v>0.6</v>
      </c>
      <c r="T838" t="str" cm="1">
        <f t="array" ref="T838">_xlfn.IFS(clean_data[[#This Row],[Revenue]]&lt;300000,"Small",
     clean_data[[#This Row],[Revenue]]&lt;700000,"Medium",
     TRUE,"Large")</f>
        <v>Small</v>
      </c>
      <c r="U838" t="str" cm="1">
        <f t="array" ref="U838">_xlfn.IFS(clean_data[[#This Row],[profit margin%]]&lt;0.5,"Low Profit",
     clean_data[[#This Row],[profit margin%]]&lt;0.6,"Medium Profit",
     TRUE,"High Profit")</f>
        <v>High Profit</v>
      </c>
      <c r="V838" t="str">
        <f>TEXT(clean_data[[#This Row],[Date]],"mmm-yyyy")</f>
        <v>Jan-2023</v>
      </c>
      <c r="W838" s="8">
        <f>EOMONTH(clean_data[[#This Row],[Date]],-1)+1</f>
        <v>44927</v>
      </c>
    </row>
    <row r="839" spans="1:23" x14ac:dyDescent="0.3">
      <c r="A839" t="s">
        <v>911</v>
      </c>
      <c r="B839" s="1">
        <v>45366</v>
      </c>
      <c r="C839" t="s">
        <v>26</v>
      </c>
      <c r="D839" t="s">
        <v>27</v>
      </c>
      <c r="E839" t="s">
        <v>52</v>
      </c>
      <c r="F839" t="s">
        <v>33</v>
      </c>
      <c r="G839" t="s">
        <v>39</v>
      </c>
      <c r="H839">
        <v>25</v>
      </c>
      <c r="I839">
        <v>5000</v>
      </c>
      <c r="J839">
        <v>0</v>
      </c>
      <c r="K839">
        <v>125000</v>
      </c>
      <c r="L839">
        <v>62500</v>
      </c>
      <c r="M839">
        <v>62500</v>
      </c>
      <c r="N839" t="s">
        <v>30</v>
      </c>
      <c r="O839" t="s">
        <v>50</v>
      </c>
      <c r="P839" t="s">
        <v>24</v>
      </c>
      <c r="Q839" t="str">
        <f>TEXT(clean_data[[#This Row],[Date]],"mmm")</f>
        <v>Mar</v>
      </c>
      <c r="R839">
        <f>YEAR(clean_data[[#This Row],[Date]])</f>
        <v>2024</v>
      </c>
      <c r="S839" s="2">
        <f>clean_data[[#This Row],[Profit]]/clean_data[[#This Row],[Revenue]]</f>
        <v>0.5</v>
      </c>
      <c r="T839" t="str" cm="1">
        <f t="array" ref="T839">_xlfn.IFS(clean_data[[#This Row],[Revenue]]&lt;300000,"Small",
     clean_data[[#This Row],[Revenue]]&lt;700000,"Medium",
     TRUE,"Large")</f>
        <v>Small</v>
      </c>
      <c r="U839" t="str" cm="1">
        <f t="array" ref="U839">_xlfn.IFS(clean_data[[#This Row],[profit margin%]]&lt;0.5,"Low Profit",
     clean_data[[#This Row],[profit margin%]]&lt;0.6,"Medium Profit",
     TRUE,"High Profit")</f>
        <v>Medium Profit</v>
      </c>
      <c r="V839" t="str">
        <f>TEXT(clean_data[[#This Row],[Date]],"mmm-yyyy")</f>
        <v>Mar-2024</v>
      </c>
      <c r="W839" s="8">
        <f>EOMONTH(clean_data[[#This Row],[Date]],-1)+1</f>
        <v>45352</v>
      </c>
    </row>
    <row r="840" spans="1:23" x14ac:dyDescent="0.3">
      <c r="A840" t="s">
        <v>912</v>
      </c>
      <c r="B840" s="1">
        <v>44611</v>
      </c>
      <c r="C840" t="s">
        <v>46</v>
      </c>
      <c r="D840" t="s">
        <v>55</v>
      </c>
      <c r="E840" t="s">
        <v>60</v>
      </c>
      <c r="F840" t="s">
        <v>28</v>
      </c>
      <c r="G840" t="s">
        <v>95</v>
      </c>
      <c r="H840">
        <v>4</v>
      </c>
      <c r="I840">
        <v>75000</v>
      </c>
      <c r="J840">
        <v>10</v>
      </c>
      <c r="K840">
        <v>270000</v>
      </c>
      <c r="L840">
        <v>148500</v>
      </c>
      <c r="M840">
        <v>121500</v>
      </c>
      <c r="N840" t="s">
        <v>22</v>
      </c>
      <c r="O840" t="s">
        <v>67</v>
      </c>
      <c r="P840" t="s">
        <v>24</v>
      </c>
      <c r="Q840" t="str">
        <f>TEXT(clean_data[[#This Row],[Date]],"mmm")</f>
        <v>Feb</v>
      </c>
      <c r="R840">
        <f>YEAR(clean_data[[#This Row],[Date]])</f>
        <v>2022</v>
      </c>
      <c r="S840" s="2">
        <f>clean_data[[#This Row],[Profit]]/clean_data[[#This Row],[Revenue]]</f>
        <v>0.45</v>
      </c>
      <c r="T840" t="str" cm="1">
        <f t="array" ref="T840">_xlfn.IFS(clean_data[[#This Row],[Revenue]]&lt;300000,"Small",
     clean_data[[#This Row],[Revenue]]&lt;700000,"Medium",
     TRUE,"Large")</f>
        <v>Small</v>
      </c>
      <c r="U840" t="str" cm="1">
        <f t="array" ref="U840">_xlfn.IFS(clean_data[[#This Row],[profit margin%]]&lt;0.5,"Low Profit",
     clean_data[[#This Row],[profit margin%]]&lt;0.6,"Medium Profit",
     TRUE,"High Profit")</f>
        <v>Low Profit</v>
      </c>
      <c r="V840" t="str">
        <f>TEXT(clean_data[[#This Row],[Date]],"mmm-yyyy")</f>
        <v>Feb-2022</v>
      </c>
      <c r="W840" s="8">
        <f>EOMONTH(clean_data[[#This Row],[Date]],-1)+1</f>
        <v>44593</v>
      </c>
    </row>
    <row r="841" spans="1:23" x14ac:dyDescent="0.3">
      <c r="A841" t="s">
        <v>913</v>
      </c>
      <c r="B841" s="1">
        <v>44624</v>
      </c>
      <c r="C841" t="s">
        <v>46</v>
      </c>
      <c r="D841" t="s">
        <v>47</v>
      </c>
      <c r="E841" t="s">
        <v>32</v>
      </c>
      <c r="F841" t="s">
        <v>33</v>
      </c>
      <c r="G841" t="s">
        <v>48</v>
      </c>
      <c r="H841">
        <v>31</v>
      </c>
      <c r="I841">
        <v>1500</v>
      </c>
      <c r="J841">
        <v>10</v>
      </c>
      <c r="K841">
        <v>41850</v>
      </c>
      <c r="L841">
        <v>20925</v>
      </c>
      <c r="M841">
        <v>20925</v>
      </c>
      <c r="N841" t="s">
        <v>49</v>
      </c>
      <c r="O841" t="s">
        <v>50</v>
      </c>
      <c r="P841" t="s">
        <v>40</v>
      </c>
      <c r="Q841" t="str">
        <f>TEXT(clean_data[[#This Row],[Date]],"mmm")</f>
        <v>Mar</v>
      </c>
      <c r="R841">
        <f>YEAR(clean_data[[#This Row],[Date]])</f>
        <v>2022</v>
      </c>
      <c r="S841" s="2">
        <f>clean_data[[#This Row],[Profit]]/clean_data[[#This Row],[Revenue]]</f>
        <v>0.5</v>
      </c>
      <c r="T841" t="str" cm="1">
        <f t="array" ref="T841">_xlfn.IFS(clean_data[[#This Row],[Revenue]]&lt;300000,"Small",
     clean_data[[#This Row],[Revenue]]&lt;700000,"Medium",
     TRUE,"Large")</f>
        <v>Small</v>
      </c>
      <c r="U841" t="str" cm="1">
        <f t="array" ref="U841">_xlfn.IFS(clean_data[[#This Row],[profit margin%]]&lt;0.5,"Low Profit",
     clean_data[[#This Row],[profit margin%]]&lt;0.6,"Medium Profit",
     TRUE,"High Profit")</f>
        <v>Medium Profit</v>
      </c>
      <c r="V841" t="str">
        <f>TEXT(clean_data[[#This Row],[Date]],"mmm-yyyy")</f>
        <v>Mar-2022</v>
      </c>
      <c r="W841" s="8">
        <f>EOMONTH(clean_data[[#This Row],[Date]],-1)+1</f>
        <v>44621</v>
      </c>
    </row>
    <row r="842" spans="1:23" x14ac:dyDescent="0.3">
      <c r="A842" t="s">
        <v>914</v>
      </c>
      <c r="B842" s="1">
        <v>45282</v>
      </c>
      <c r="C842" t="s">
        <v>17</v>
      </c>
      <c r="D842" t="s">
        <v>37</v>
      </c>
      <c r="E842" t="s">
        <v>19</v>
      </c>
      <c r="F842" t="s">
        <v>33</v>
      </c>
      <c r="G842" t="s">
        <v>48</v>
      </c>
      <c r="H842">
        <v>25</v>
      </c>
      <c r="I842">
        <v>1500</v>
      </c>
      <c r="J842">
        <v>20</v>
      </c>
      <c r="K842">
        <v>30000</v>
      </c>
      <c r="L842">
        <v>15000</v>
      </c>
      <c r="M842">
        <v>15000</v>
      </c>
      <c r="N842" t="s">
        <v>49</v>
      </c>
      <c r="O842" t="s">
        <v>50</v>
      </c>
      <c r="P842" t="s">
        <v>24</v>
      </c>
      <c r="Q842" t="str">
        <f>TEXT(clean_data[[#This Row],[Date]],"mmm")</f>
        <v>Dec</v>
      </c>
      <c r="R842">
        <f>YEAR(clean_data[[#This Row],[Date]])</f>
        <v>2023</v>
      </c>
      <c r="S842" s="2">
        <f>clean_data[[#This Row],[Profit]]/clean_data[[#This Row],[Revenue]]</f>
        <v>0.5</v>
      </c>
      <c r="T842" t="str" cm="1">
        <f t="array" ref="T842">_xlfn.IFS(clean_data[[#This Row],[Revenue]]&lt;300000,"Small",
     clean_data[[#This Row],[Revenue]]&lt;700000,"Medium",
     TRUE,"Large")</f>
        <v>Small</v>
      </c>
      <c r="U842" t="str" cm="1">
        <f t="array" ref="U842">_xlfn.IFS(clean_data[[#This Row],[profit margin%]]&lt;0.5,"Low Profit",
     clean_data[[#This Row],[profit margin%]]&lt;0.6,"Medium Profit",
     TRUE,"High Profit")</f>
        <v>Medium Profit</v>
      </c>
      <c r="V842" t="str">
        <f>TEXT(clean_data[[#This Row],[Date]],"mmm-yyyy")</f>
        <v>Dec-2023</v>
      </c>
      <c r="W842" s="8">
        <f>EOMONTH(clean_data[[#This Row],[Date]],-1)+1</f>
        <v>45261</v>
      </c>
    </row>
    <row r="843" spans="1:23" x14ac:dyDescent="0.3">
      <c r="A843" t="s">
        <v>915</v>
      </c>
      <c r="B843" s="1">
        <v>44743</v>
      </c>
      <c r="C843" t="s">
        <v>58</v>
      </c>
      <c r="D843" t="s">
        <v>64</v>
      </c>
      <c r="E843" t="s">
        <v>32</v>
      </c>
      <c r="F843" t="s">
        <v>20</v>
      </c>
      <c r="G843" t="s">
        <v>21</v>
      </c>
      <c r="H843">
        <v>39</v>
      </c>
      <c r="I843">
        <v>3500</v>
      </c>
      <c r="J843">
        <v>0</v>
      </c>
      <c r="K843">
        <v>136500</v>
      </c>
      <c r="L843">
        <v>54600</v>
      </c>
      <c r="M843">
        <v>81900</v>
      </c>
      <c r="N843" t="s">
        <v>49</v>
      </c>
      <c r="O843" t="s">
        <v>44</v>
      </c>
      <c r="P843" t="s">
        <v>40</v>
      </c>
      <c r="Q843" t="str">
        <f>TEXT(clean_data[[#This Row],[Date]],"mmm")</f>
        <v>Jul</v>
      </c>
      <c r="R843">
        <f>YEAR(clean_data[[#This Row],[Date]])</f>
        <v>2022</v>
      </c>
      <c r="S843" s="2">
        <f>clean_data[[#This Row],[Profit]]/clean_data[[#This Row],[Revenue]]</f>
        <v>0.6</v>
      </c>
      <c r="T843" t="str" cm="1">
        <f t="array" ref="T843">_xlfn.IFS(clean_data[[#This Row],[Revenue]]&lt;300000,"Small",
     clean_data[[#This Row],[Revenue]]&lt;700000,"Medium",
     TRUE,"Large")</f>
        <v>Small</v>
      </c>
      <c r="U843" t="str" cm="1">
        <f t="array" ref="U843">_xlfn.IFS(clean_data[[#This Row],[profit margin%]]&lt;0.5,"Low Profit",
     clean_data[[#This Row],[profit margin%]]&lt;0.6,"Medium Profit",
     TRUE,"High Profit")</f>
        <v>High Profit</v>
      </c>
      <c r="V843" t="str">
        <f>TEXT(clean_data[[#This Row],[Date]],"mmm-yyyy")</f>
        <v>Jul-2022</v>
      </c>
      <c r="W843" s="8">
        <f>EOMONTH(clean_data[[#This Row],[Date]],-1)+1</f>
        <v>44743</v>
      </c>
    </row>
    <row r="844" spans="1:23" x14ac:dyDescent="0.3">
      <c r="A844" t="s">
        <v>916</v>
      </c>
      <c r="B844" s="1">
        <v>45275</v>
      </c>
      <c r="C844" t="s">
        <v>58</v>
      </c>
      <c r="D844" t="s">
        <v>64</v>
      </c>
      <c r="E844" t="s">
        <v>32</v>
      </c>
      <c r="F844" t="s">
        <v>20</v>
      </c>
      <c r="G844" t="s">
        <v>21</v>
      </c>
      <c r="H844">
        <v>41</v>
      </c>
      <c r="I844">
        <v>3500</v>
      </c>
      <c r="J844">
        <v>10</v>
      </c>
      <c r="K844">
        <v>129150</v>
      </c>
      <c r="L844">
        <v>51660</v>
      </c>
      <c r="M844">
        <v>77490</v>
      </c>
      <c r="N844" t="s">
        <v>22</v>
      </c>
      <c r="O844" t="s">
        <v>50</v>
      </c>
      <c r="P844" t="s">
        <v>24</v>
      </c>
      <c r="Q844" t="str">
        <f>TEXT(clean_data[[#This Row],[Date]],"mmm")</f>
        <v>Dec</v>
      </c>
      <c r="R844">
        <f>YEAR(clean_data[[#This Row],[Date]])</f>
        <v>2023</v>
      </c>
      <c r="S844" s="2">
        <f>clean_data[[#This Row],[Profit]]/clean_data[[#This Row],[Revenue]]</f>
        <v>0.6</v>
      </c>
      <c r="T844" t="str" cm="1">
        <f t="array" ref="T844">_xlfn.IFS(clean_data[[#This Row],[Revenue]]&lt;300000,"Small",
     clean_data[[#This Row],[Revenue]]&lt;700000,"Medium",
     TRUE,"Large")</f>
        <v>Small</v>
      </c>
      <c r="U844" t="str" cm="1">
        <f t="array" ref="U844">_xlfn.IFS(clean_data[[#This Row],[profit margin%]]&lt;0.5,"Low Profit",
     clean_data[[#This Row],[profit margin%]]&lt;0.6,"Medium Profit",
     TRUE,"High Profit")</f>
        <v>High Profit</v>
      </c>
      <c r="V844" t="str">
        <f>TEXT(clean_data[[#This Row],[Date]],"mmm-yyyy")</f>
        <v>Dec-2023</v>
      </c>
      <c r="W844" s="8">
        <f>EOMONTH(clean_data[[#This Row],[Date]],-1)+1</f>
        <v>45261</v>
      </c>
    </row>
    <row r="845" spans="1:23" x14ac:dyDescent="0.3">
      <c r="A845" t="s">
        <v>917</v>
      </c>
      <c r="B845" s="1">
        <v>44646</v>
      </c>
      <c r="C845" t="s">
        <v>17</v>
      </c>
      <c r="D845" t="s">
        <v>42</v>
      </c>
      <c r="E845" t="s">
        <v>60</v>
      </c>
      <c r="F845" t="s">
        <v>20</v>
      </c>
      <c r="G845" t="s">
        <v>53</v>
      </c>
      <c r="H845">
        <v>32</v>
      </c>
      <c r="I845">
        <v>600</v>
      </c>
      <c r="J845">
        <v>15</v>
      </c>
      <c r="K845">
        <v>16320</v>
      </c>
      <c r="L845">
        <v>6528</v>
      </c>
      <c r="M845">
        <v>9792</v>
      </c>
      <c r="N845" t="s">
        <v>30</v>
      </c>
      <c r="O845" t="s">
        <v>50</v>
      </c>
      <c r="P845" t="s">
        <v>40</v>
      </c>
      <c r="Q845" t="str">
        <f>TEXT(clean_data[[#This Row],[Date]],"mmm")</f>
        <v>Mar</v>
      </c>
      <c r="R845">
        <f>YEAR(clean_data[[#This Row],[Date]])</f>
        <v>2022</v>
      </c>
      <c r="S845" s="2">
        <f>clean_data[[#This Row],[Profit]]/clean_data[[#This Row],[Revenue]]</f>
        <v>0.6</v>
      </c>
      <c r="T845" t="str" cm="1">
        <f t="array" ref="T845">_xlfn.IFS(clean_data[[#This Row],[Revenue]]&lt;300000,"Small",
     clean_data[[#This Row],[Revenue]]&lt;700000,"Medium",
     TRUE,"Large")</f>
        <v>Small</v>
      </c>
      <c r="U845" t="str" cm="1">
        <f t="array" ref="U845">_xlfn.IFS(clean_data[[#This Row],[profit margin%]]&lt;0.5,"Low Profit",
     clean_data[[#This Row],[profit margin%]]&lt;0.6,"Medium Profit",
     TRUE,"High Profit")</f>
        <v>High Profit</v>
      </c>
      <c r="V845" t="str">
        <f>TEXT(clean_data[[#This Row],[Date]],"mmm-yyyy")</f>
        <v>Mar-2022</v>
      </c>
      <c r="W845" s="8">
        <f>EOMONTH(clean_data[[#This Row],[Date]],-1)+1</f>
        <v>44621</v>
      </c>
    </row>
    <row r="846" spans="1:23" x14ac:dyDescent="0.3">
      <c r="A846" t="s">
        <v>918</v>
      </c>
      <c r="B846" s="1">
        <v>45398</v>
      </c>
      <c r="C846" t="s">
        <v>26</v>
      </c>
      <c r="D846" t="s">
        <v>69</v>
      </c>
      <c r="E846" t="s">
        <v>73</v>
      </c>
      <c r="F846" t="s">
        <v>20</v>
      </c>
      <c r="G846" t="s">
        <v>74</v>
      </c>
      <c r="H846">
        <v>34</v>
      </c>
      <c r="I846">
        <v>4200</v>
      </c>
      <c r="J846">
        <v>20</v>
      </c>
      <c r="K846">
        <v>114240</v>
      </c>
      <c r="L846">
        <v>45696</v>
      </c>
      <c r="M846">
        <v>68544</v>
      </c>
      <c r="N846" t="s">
        <v>30</v>
      </c>
      <c r="O846" t="s">
        <v>44</v>
      </c>
      <c r="P846" t="s">
        <v>40</v>
      </c>
      <c r="Q846" t="str">
        <f>TEXT(clean_data[[#This Row],[Date]],"mmm")</f>
        <v>Apr</v>
      </c>
      <c r="R846">
        <f>YEAR(clean_data[[#This Row],[Date]])</f>
        <v>2024</v>
      </c>
      <c r="S846" s="2">
        <f>clean_data[[#This Row],[Profit]]/clean_data[[#This Row],[Revenue]]</f>
        <v>0.6</v>
      </c>
      <c r="T846" t="str" cm="1">
        <f t="array" ref="T846">_xlfn.IFS(clean_data[[#This Row],[Revenue]]&lt;300000,"Small",
     clean_data[[#This Row],[Revenue]]&lt;700000,"Medium",
     TRUE,"Large")</f>
        <v>Small</v>
      </c>
      <c r="U846" t="str" cm="1">
        <f t="array" ref="U846">_xlfn.IFS(clean_data[[#This Row],[profit margin%]]&lt;0.5,"Low Profit",
     clean_data[[#This Row],[profit margin%]]&lt;0.6,"Medium Profit",
     TRUE,"High Profit")</f>
        <v>High Profit</v>
      </c>
      <c r="V846" t="str">
        <f>TEXT(clean_data[[#This Row],[Date]],"mmm-yyyy")</f>
        <v>Apr-2024</v>
      </c>
      <c r="W846" s="8">
        <f>EOMONTH(clean_data[[#This Row],[Date]],-1)+1</f>
        <v>45383</v>
      </c>
    </row>
    <row r="847" spans="1:23" x14ac:dyDescent="0.3">
      <c r="A847" t="s">
        <v>919</v>
      </c>
      <c r="B847" s="1">
        <v>45530</v>
      </c>
      <c r="C847" t="s">
        <v>26</v>
      </c>
      <c r="D847" t="s">
        <v>69</v>
      </c>
      <c r="E847" t="s">
        <v>111</v>
      </c>
      <c r="F847" t="s">
        <v>65</v>
      </c>
      <c r="G847" t="s">
        <v>104</v>
      </c>
      <c r="H847">
        <v>29</v>
      </c>
      <c r="I847">
        <v>3000</v>
      </c>
      <c r="J847">
        <v>0</v>
      </c>
      <c r="K847">
        <v>87000</v>
      </c>
      <c r="L847">
        <v>39150</v>
      </c>
      <c r="M847">
        <v>47850</v>
      </c>
      <c r="N847" t="s">
        <v>22</v>
      </c>
      <c r="O847" t="s">
        <v>67</v>
      </c>
      <c r="P847" t="s">
        <v>24</v>
      </c>
      <c r="Q847" t="str">
        <f>TEXT(clean_data[[#This Row],[Date]],"mmm")</f>
        <v>Aug</v>
      </c>
      <c r="R847">
        <f>YEAR(clean_data[[#This Row],[Date]])</f>
        <v>2024</v>
      </c>
      <c r="S847" s="2">
        <f>clean_data[[#This Row],[Profit]]/clean_data[[#This Row],[Revenue]]</f>
        <v>0.55000000000000004</v>
      </c>
      <c r="T847" t="str" cm="1">
        <f t="array" ref="T847">_xlfn.IFS(clean_data[[#This Row],[Revenue]]&lt;300000,"Small",
     clean_data[[#This Row],[Revenue]]&lt;700000,"Medium",
     TRUE,"Large")</f>
        <v>Small</v>
      </c>
      <c r="U847" t="str" cm="1">
        <f t="array" ref="U847">_xlfn.IFS(clean_data[[#This Row],[profit margin%]]&lt;0.5,"Low Profit",
     clean_data[[#This Row],[profit margin%]]&lt;0.6,"Medium Profit",
     TRUE,"High Profit")</f>
        <v>Medium Profit</v>
      </c>
      <c r="V847" t="str">
        <f>TEXT(clean_data[[#This Row],[Date]],"mmm-yyyy")</f>
        <v>Aug-2024</v>
      </c>
      <c r="W847" s="8">
        <f>EOMONTH(clean_data[[#This Row],[Date]],-1)+1</f>
        <v>45505</v>
      </c>
    </row>
    <row r="848" spans="1:23" x14ac:dyDescent="0.3">
      <c r="A848" t="s">
        <v>920</v>
      </c>
      <c r="B848" s="1">
        <v>45024</v>
      </c>
      <c r="C848" t="s">
        <v>46</v>
      </c>
      <c r="D848" t="s">
        <v>47</v>
      </c>
      <c r="E848" t="s">
        <v>52</v>
      </c>
      <c r="F848" t="s">
        <v>28</v>
      </c>
      <c r="G848" t="s">
        <v>85</v>
      </c>
      <c r="H848">
        <v>46</v>
      </c>
      <c r="I848">
        <v>8000</v>
      </c>
      <c r="J848">
        <v>0</v>
      </c>
      <c r="K848">
        <v>368000</v>
      </c>
      <c r="L848">
        <v>202400</v>
      </c>
      <c r="M848">
        <v>165600</v>
      </c>
      <c r="N848" t="s">
        <v>49</v>
      </c>
      <c r="O848" t="s">
        <v>23</v>
      </c>
      <c r="P848" t="s">
        <v>24</v>
      </c>
      <c r="Q848" t="str">
        <f>TEXT(clean_data[[#This Row],[Date]],"mmm")</f>
        <v>Apr</v>
      </c>
      <c r="R848">
        <f>YEAR(clean_data[[#This Row],[Date]])</f>
        <v>2023</v>
      </c>
      <c r="S848" s="2">
        <f>clean_data[[#This Row],[Profit]]/clean_data[[#This Row],[Revenue]]</f>
        <v>0.45</v>
      </c>
      <c r="T848" t="str" cm="1">
        <f t="array" ref="T848">_xlfn.IFS(clean_data[[#This Row],[Revenue]]&lt;300000,"Small",
     clean_data[[#This Row],[Revenue]]&lt;700000,"Medium",
     TRUE,"Large")</f>
        <v>Medium</v>
      </c>
      <c r="U848" t="str" cm="1">
        <f t="array" ref="U848">_xlfn.IFS(clean_data[[#This Row],[profit margin%]]&lt;0.5,"Low Profit",
     clean_data[[#This Row],[profit margin%]]&lt;0.6,"Medium Profit",
     TRUE,"High Profit")</f>
        <v>Low Profit</v>
      </c>
      <c r="V848" t="str">
        <f>TEXT(clean_data[[#This Row],[Date]],"mmm-yyyy")</f>
        <v>Apr-2023</v>
      </c>
      <c r="W848" s="8">
        <f>EOMONTH(clean_data[[#This Row],[Date]],-1)+1</f>
        <v>45017</v>
      </c>
    </row>
    <row r="849" spans="1:23" x14ac:dyDescent="0.3">
      <c r="A849" t="s">
        <v>921</v>
      </c>
      <c r="B849" s="1">
        <v>45085</v>
      </c>
      <c r="C849" t="s">
        <v>17</v>
      </c>
      <c r="D849" t="s">
        <v>42</v>
      </c>
      <c r="E849" t="s">
        <v>60</v>
      </c>
      <c r="F849" t="s">
        <v>28</v>
      </c>
      <c r="G849" t="s">
        <v>87</v>
      </c>
      <c r="H849">
        <v>35</v>
      </c>
      <c r="I849">
        <v>45000</v>
      </c>
      <c r="J849">
        <v>15</v>
      </c>
      <c r="K849">
        <v>1338750</v>
      </c>
      <c r="L849">
        <v>736312.5</v>
      </c>
      <c r="M849">
        <v>602437.5</v>
      </c>
      <c r="N849" t="s">
        <v>22</v>
      </c>
      <c r="O849" t="s">
        <v>50</v>
      </c>
      <c r="P849" t="s">
        <v>24</v>
      </c>
      <c r="Q849" t="str">
        <f>TEXT(clean_data[[#This Row],[Date]],"mmm")</f>
        <v>Jun</v>
      </c>
      <c r="R849">
        <f>YEAR(clean_data[[#This Row],[Date]])</f>
        <v>2023</v>
      </c>
      <c r="S849" s="2">
        <f>clean_data[[#This Row],[Profit]]/clean_data[[#This Row],[Revenue]]</f>
        <v>0.45</v>
      </c>
      <c r="T849" t="str" cm="1">
        <f t="array" ref="T849">_xlfn.IFS(clean_data[[#This Row],[Revenue]]&lt;300000,"Small",
     clean_data[[#This Row],[Revenue]]&lt;700000,"Medium",
     TRUE,"Large")</f>
        <v>Large</v>
      </c>
      <c r="U849" t="str" cm="1">
        <f t="array" ref="U849">_xlfn.IFS(clean_data[[#This Row],[profit margin%]]&lt;0.5,"Low Profit",
     clean_data[[#This Row],[profit margin%]]&lt;0.6,"Medium Profit",
     TRUE,"High Profit")</f>
        <v>Low Profit</v>
      </c>
      <c r="V849" t="str">
        <f>TEXT(clean_data[[#This Row],[Date]],"mmm-yyyy")</f>
        <v>Jun-2023</v>
      </c>
      <c r="W849" s="8">
        <f>EOMONTH(clean_data[[#This Row],[Date]],-1)+1</f>
        <v>45078</v>
      </c>
    </row>
    <row r="850" spans="1:23" x14ac:dyDescent="0.3">
      <c r="A850" t="s">
        <v>922</v>
      </c>
      <c r="B850" s="1">
        <v>45004</v>
      </c>
      <c r="C850" t="s">
        <v>26</v>
      </c>
      <c r="D850" t="s">
        <v>69</v>
      </c>
      <c r="E850" t="s">
        <v>32</v>
      </c>
      <c r="F850" t="s">
        <v>65</v>
      </c>
      <c r="G850" t="s">
        <v>79</v>
      </c>
      <c r="H850">
        <v>28</v>
      </c>
      <c r="I850">
        <v>900</v>
      </c>
      <c r="J850">
        <v>5</v>
      </c>
      <c r="K850">
        <v>23940</v>
      </c>
      <c r="L850">
        <v>10773</v>
      </c>
      <c r="M850">
        <v>13167</v>
      </c>
      <c r="N850" t="s">
        <v>49</v>
      </c>
      <c r="O850" t="s">
        <v>35</v>
      </c>
      <c r="P850" t="s">
        <v>24</v>
      </c>
      <c r="Q850" t="str">
        <f>TEXT(clean_data[[#This Row],[Date]],"mmm")</f>
        <v>Mar</v>
      </c>
      <c r="R850">
        <f>YEAR(clean_data[[#This Row],[Date]])</f>
        <v>2023</v>
      </c>
      <c r="S850" s="2">
        <f>clean_data[[#This Row],[Profit]]/clean_data[[#This Row],[Revenue]]</f>
        <v>0.55000000000000004</v>
      </c>
      <c r="T850" t="str" cm="1">
        <f t="array" ref="T850">_xlfn.IFS(clean_data[[#This Row],[Revenue]]&lt;300000,"Small",
     clean_data[[#This Row],[Revenue]]&lt;700000,"Medium",
     TRUE,"Large")</f>
        <v>Small</v>
      </c>
      <c r="U850" t="str" cm="1">
        <f t="array" ref="U850">_xlfn.IFS(clean_data[[#This Row],[profit margin%]]&lt;0.5,"Low Profit",
     clean_data[[#This Row],[profit margin%]]&lt;0.6,"Medium Profit",
     TRUE,"High Profit")</f>
        <v>Medium Profit</v>
      </c>
      <c r="V850" t="str">
        <f>TEXT(clean_data[[#This Row],[Date]],"mmm-yyyy")</f>
        <v>Mar-2023</v>
      </c>
      <c r="W850" s="8">
        <f>EOMONTH(clean_data[[#This Row],[Date]],-1)+1</f>
        <v>44986</v>
      </c>
    </row>
    <row r="851" spans="1:23" x14ac:dyDescent="0.3">
      <c r="A851" t="s">
        <v>923</v>
      </c>
      <c r="B851" s="1">
        <v>45110</v>
      </c>
      <c r="C851" t="s">
        <v>26</v>
      </c>
      <c r="D851" t="s">
        <v>27</v>
      </c>
      <c r="E851" t="s">
        <v>70</v>
      </c>
      <c r="F851" t="s">
        <v>20</v>
      </c>
      <c r="G851" t="s">
        <v>21</v>
      </c>
      <c r="H851">
        <v>37</v>
      </c>
      <c r="I851">
        <v>3500</v>
      </c>
      <c r="J851">
        <v>10</v>
      </c>
      <c r="K851">
        <v>116550</v>
      </c>
      <c r="L851">
        <v>46620</v>
      </c>
      <c r="M851">
        <v>69930</v>
      </c>
      <c r="N851" t="s">
        <v>49</v>
      </c>
      <c r="O851" t="s">
        <v>23</v>
      </c>
      <c r="P851" t="s">
        <v>24</v>
      </c>
      <c r="Q851" t="str">
        <f>TEXT(clean_data[[#This Row],[Date]],"mmm")</f>
        <v>Jul</v>
      </c>
      <c r="R851">
        <f>YEAR(clean_data[[#This Row],[Date]])</f>
        <v>2023</v>
      </c>
      <c r="S851" s="2">
        <f>clean_data[[#This Row],[Profit]]/clean_data[[#This Row],[Revenue]]</f>
        <v>0.6</v>
      </c>
      <c r="T851" t="str" cm="1">
        <f t="array" ref="T851">_xlfn.IFS(clean_data[[#This Row],[Revenue]]&lt;300000,"Small",
     clean_data[[#This Row],[Revenue]]&lt;700000,"Medium",
     TRUE,"Large")</f>
        <v>Small</v>
      </c>
      <c r="U851" t="str" cm="1">
        <f t="array" ref="U851">_xlfn.IFS(clean_data[[#This Row],[profit margin%]]&lt;0.5,"Low Profit",
     clean_data[[#This Row],[profit margin%]]&lt;0.6,"Medium Profit",
     TRUE,"High Profit")</f>
        <v>High Profit</v>
      </c>
      <c r="V851" t="str">
        <f>TEXT(clean_data[[#This Row],[Date]],"mmm-yyyy")</f>
        <v>Jul-2023</v>
      </c>
      <c r="W851" s="8">
        <f>EOMONTH(clean_data[[#This Row],[Date]],-1)+1</f>
        <v>45108</v>
      </c>
    </row>
    <row r="852" spans="1:23" x14ac:dyDescent="0.3">
      <c r="A852" t="s">
        <v>924</v>
      </c>
      <c r="B852" s="1">
        <v>44571</v>
      </c>
      <c r="C852" t="s">
        <v>26</v>
      </c>
      <c r="D852" t="s">
        <v>27</v>
      </c>
      <c r="E852" t="s">
        <v>32</v>
      </c>
      <c r="F852" t="s">
        <v>65</v>
      </c>
      <c r="G852" t="s">
        <v>124</v>
      </c>
      <c r="H852">
        <v>50</v>
      </c>
      <c r="I852">
        <v>18000</v>
      </c>
      <c r="J852">
        <v>10</v>
      </c>
      <c r="K852">
        <v>810000</v>
      </c>
      <c r="L852">
        <v>364500</v>
      </c>
      <c r="M852">
        <v>445500</v>
      </c>
      <c r="N852" t="s">
        <v>22</v>
      </c>
      <c r="O852" t="s">
        <v>67</v>
      </c>
      <c r="P852" t="s">
        <v>24</v>
      </c>
      <c r="Q852" t="str">
        <f>TEXT(clean_data[[#This Row],[Date]],"mmm")</f>
        <v>Jan</v>
      </c>
      <c r="R852">
        <f>YEAR(clean_data[[#This Row],[Date]])</f>
        <v>2022</v>
      </c>
      <c r="S852" s="2">
        <f>clean_data[[#This Row],[Profit]]/clean_data[[#This Row],[Revenue]]</f>
        <v>0.55000000000000004</v>
      </c>
      <c r="T852" t="str" cm="1">
        <f t="array" ref="T852">_xlfn.IFS(clean_data[[#This Row],[Revenue]]&lt;300000,"Small",
     clean_data[[#This Row],[Revenue]]&lt;700000,"Medium",
     TRUE,"Large")</f>
        <v>Large</v>
      </c>
      <c r="U852" t="str" cm="1">
        <f t="array" ref="U852">_xlfn.IFS(clean_data[[#This Row],[profit margin%]]&lt;0.5,"Low Profit",
     clean_data[[#This Row],[profit margin%]]&lt;0.6,"Medium Profit",
     TRUE,"High Profit")</f>
        <v>Medium Profit</v>
      </c>
      <c r="V852" t="str">
        <f>TEXT(clean_data[[#This Row],[Date]],"mmm-yyyy")</f>
        <v>Jan-2022</v>
      </c>
      <c r="W852" s="8">
        <f>EOMONTH(clean_data[[#This Row],[Date]],-1)+1</f>
        <v>44562</v>
      </c>
    </row>
    <row r="853" spans="1:23" x14ac:dyDescent="0.3">
      <c r="A853" t="s">
        <v>925</v>
      </c>
      <c r="B853" s="1">
        <v>44989</v>
      </c>
      <c r="C853" t="s">
        <v>58</v>
      </c>
      <c r="D853" t="s">
        <v>84</v>
      </c>
      <c r="E853" t="s">
        <v>111</v>
      </c>
      <c r="F853" t="s">
        <v>65</v>
      </c>
      <c r="G853" t="s">
        <v>124</v>
      </c>
      <c r="H853">
        <v>10</v>
      </c>
      <c r="I853">
        <v>18000</v>
      </c>
      <c r="J853">
        <v>10</v>
      </c>
      <c r="K853">
        <v>162000</v>
      </c>
      <c r="L853">
        <v>72900</v>
      </c>
      <c r="M853">
        <v>89100</v>
      </c>
      <c r="N853" t="s">
        <v>49</v>
      </c>
      <c r="O853" t="s">
        <v>23</v>
      </c>
      <c r="P853" t="s">
        <v>24</v>
      </c>
      <c r="Q853" t="str">
        <f>TEXT(clean_data[[#This Row],[Date]],"mmm")</f>
        <v>Mar</v>
      </c>
      <c r="R853">
        <f>YEAR(clean_data[[#This Row],[Date]])</f>
        <v>2023</v>
      </c>
      <c r="S853" s="2">
        <f>clean_data[[#This Row],[Profit]]/clean_data[[#This Row],[Revenue]]</f>
        <v>0.55000000000000004</v>
      </c>
      <c r="T853" t="str" cm="1">
        <f t="array" ref="T853">_xlfn.IFS(clean_data[[#This Row],[Revenue]]&lt;300000,"Small",
     clean_data[[#This Row],[Revenue]]&lt;700000,"Medium",
     TRUE,"Large")</f>
        <v>Small</v>
      </c>
      <c r="U853" t="str" cm="1">
        <f t="array" ref="U853">_xlfn.IFS(clean_data[[#This Row],[profit margin%]]&lt;0.5,"Low Profit",
     clean_data[[#This Row],[profit margin%]]&lt;0.6,"Medium Profit",
     TRUE,"High Profit")</f>
        <v>Medium Profit</v>
      </c>
      <c r="V853" t="str">
        <f>TEXT(clean_data[[#This Row],[Date]],"mmm-yyyy")</f>
        <v>Mar-2023</v>
      </c>
      <c r="W853" s="8">
        <f>EOMONTH(clean_data[[#This Row],[Date]],-1)+1</f>
        <v>44986</v>
      </c>
    </row>
    <row r="854" spans="1:23" x14ac:dyDescent="0.3">
      <c r="A854" t="s">
        <v>926</v>
      </c>
      <c r="B854" s="1">
        <v>44854</v>
      </c>
      <c r="C854" t="s">
        <v>17</v>
      </c>
      <c r="D854" t="s">
        <v>18</v>
      </c>
      <c r="E854" t="s">
        <v>56</v>
      </c>
      <c r="F854" t="s">
        <v>33</v>
      </c>
      <c r="G854" t="s">
        <v>34</v>
      </c>
      <c r="H854">
        <v>33</v>
      </c>
      <c r="I854">
        <v>25000</v>
      </c>
      <c r="J854">
        <v>0</v>
      </c>
      <c r="K854">
        <v>825000</v>
      </c>
      <c r="L854">
        <v>412500</v>
      </c>
      <c r="M854">
        <v>412500</v>
      </c>
      <c r="N854" t="s">
        <v>22</v>
      </c>
      <c r="O854" t="s">
        <v>67</v>
      </c>
      <c r="P854" t="s">
        <v>24</v>
      </c>
      <c r="Q854" t="str">
        <f>TEXT(clean_data[[#This Row],[Date]],"mmm")</f>
        <v>Oct</v>
      </c>
      <c r="R854">
        <f>YEAR(clean_data[[#This Row],[Date]])</f>
        <v>2022</v>
      </c>
      <c r="S854" s="2">
        <f>clean_data[[#This Row],[Profit]]/clean_data[[#This Row],[Revenue]]</f>
        <v>0.5</v>
      </c>
      <c r="T854" t="str" cm="1">
        <f t="array" ref="T854">_xlfn.IFS(clean_data[[#This Row],[Revenue]]&lt;300000,"Small",
     clean_data[[#This Row],[Revenue]]&lt;700000,"Medium",
     TRUE,"Large")</f>
        <v>Large</v>
      </c>
      <c r="U854" t="str" cm="1">
        <f t="array" ref="U854">_xlfn.IFS(clean_data[[#This Row],[profit margin%]]&lt;0.5,"Low Profit",
     clean_data[[#This Row],[profit margin%]]&lt;0.6,"Medium Profit",
     TRUE,"High Profit")</f>
        <v>Medium Profit</v>
      </c>
      <c r="V854" t="str">
        <f>TEXT(clean_data[[#This Row],[Date]],"mmm-yyyy")</f>
        <v>Oct-2022</v>
      </c>
      <c r="W854" s="8">
        <f>EOMONTH(clean_data[[#This Row],[Date]],-1)+1</f>
        <v>44835</v>
      </c>
    </row>
    <row r="855" spans="1:23" x14ac:dyDescent="0.3">
      <c r="A855" t="s">
        <v>927</v>
      </c>
      <c r="B855" s="1">
        <v>45494</v>
      </c>
      <c r="C855" t="s">
        <v>46</v>
      </c>
      <c r="D855" t="s">
        <v>55</v>
      </c>
      <c r="E855" t="s">
        <v>73</v>
      </c>
      <c r="F855" t="s">
        <v>65</v>
      </c>
      <c r="G855" t="s">
        <v>117</v>
      </c>
      <c r="H855">
        <v>22</v>
      </c>
      <c r="I855">
        <v>1200</v>
      </c>
      <c r="J855">
        <v>5</v>
      </c>
      <c r="K855">
        <v>25080</v>
      </c>
      <c r="L855">
        <v>11286</v>
      </c>
      <c r="M855">
        <v>13794</v>
      </c>
      <c r="N855" t="s">
        <v>22</v>
      </c>
      <c r="O855" t="s">
        <v>44</v>
      </c>
      <c r="P855" t="s">
        <v>24</v>
      </c>
      <c r="Q855" t="str">
        <f>TEXT(clean_data[[#This Row],[Date]],"mmm")</f>
        <v>Jul</v>
      </c>
      <c r="R855">
        <f>YEAR(clean_data[[#This Row],[Date]])</f>
        <v>2024</v>
      </c>
      <c r="S855" s="2">
        <f>clean_data[[#This Row],[Profit]]/clean_data[[#This Row],[Revenue]]</f>
        <v>0.55000000000000004</v>
      </c>
      <c r="T855" t="str" cm="1">
        <f t="array" ref="T855">_xlfn.IFS(clean_data[[#This Row],[Revenue]]&lt;300000,"Small",
     clean_data[[#This Row],[Revenue]]&lt;700000,"Medium",
     TRUE,"Large")</f>
        <v>Small</v>
      </c>
      <c r="U855" t="str" cm="1">
        <f t="array" ref="U855">_xlfn.IFS(clean_data[[#This Row],[profit margin%]]&lt;0.5,"Low Profit",
     clean_data[[#This Row],[profit margin%]]&lt;0.6,"Medium Profit",
     TRUE,"High Profit")</f>
        <v>Medium Profit</v>
      </c>
      <c r="V855" t="str">
        <f>TEXT(clean_data[[#This Row],[Date]],"mmm-yyyy")</f>
        <v>Jul-2024</v>
      </c>
      <c r="W855" s="8">
        <f>EOMONTH(clean_data[[#This Row],[Date]],-1)+1</f>
        <v>45474</v>
      </c>
    </row>
    <row r="856" spans="1:23" x14ac:dyDescent="0.3">
      <c r="A856" t="s">
        <v>928</v>
      </c>
      <c r="B856" s="1">
        <v>44679</v>
      </c>
      <c r="C856" t="s">
        <v>46</v>
      </c>
      <c r="D856" t="s">
        <v>55</v>
      </c>
      <c r="E856" t="s">
        <v>32</v>
      </c>
      <c r="F856" t="s">
        <v>33</v>
      </c>
      <c r="G856" t="s">
        <v>76</v>
      </c>
      <c r="H856">
        <v>2</v>
      </c>
      <c r="I856">
        <v>8500</v>
      </c>
      <c r="J856">
        <v>20</v>
      </c>
      <c r="K856">
        <v>13600</v>
      </c>
      <c r="L856">
        <v>6800</v>
      </c>
      <c r="M856">
        <v>6800</v>
      </c>
      <c r="N856" t="s">
        <v>49</v>
      </c>
      <c r="O856" t="s">
        <v>23</v>
      </c>
      <c r="P856" t="s">
        <v>24</v>
      </c>
      <c r="Q856" t="str">
        <f>TEXT(clean_data[[#This Row],[Date]],"mmm")</f>
        <v>Apr</v>
      </c>
      <c r="R856">
        <f>YEAR(clean_data[[#This Row],[Date]])</f>
        <v>2022</v>
      </c>
      <c r="S856" s="2">
        <f>clean_data[[#This Row],[Profit]]/clean_data[[#This Row],[Revenue]]</f>
        <v>0.5</v>
      </c>
      <c r="T856" t="str" cm="1">
        <f t="array" ref="T856">_xlfn.IFS(clean_data[[#This Row],[Revenue]]&lt;300000,"Small",
     clean_data[[#This Row],[Revenue]]&lt;700000,"Medium",
     TRUE,"Large")</f>
        <v>Small</v>
      </c>
      <c r="U856" t="str" cm="1">
        <f t="array" ref="U856">_xlfn.IFS(clean_data[[#This Row],[profit margin%]]&lt;0.5,"Low Profit",
     clean_data[[#This Row],[profit margin%]]&lt;0.6,"Medium Profit",
     TRUE,"High Profit")</f>
        <v>Medium Profit</v>
      </c>
      <c r="V856" t="str">
        <f>TEXT(clean_data[[#This Row],[Date]],"mmm-yyyy")</f>
        <v>Apr-2022</v>
      </c>
      <c r="W856" s="8">
        <f>EOMONTH(clean_data[[#This Row],[Date]],-1)+1</f>
        <v>44652</v>
      </c>
    </row>
    <row r="857" spans="1:23" x14ac:dyDescent="0.3">
      <c r="A857" t="s">
        <v>929</v>
      </c>
      <c r="B857" s="1">
        <v>45485</v>
      </c>
      <c r="C857" t="s">
        <v>58</v>
      </c>
      <c r="D857" t="s">
        <v>59</v>
      </c>
      <c r="E857" t="s">
        <v>52</v>
      </c>
      <c r="F857" t="s">
        <v>33</v>
      </c>
      <c r="G857" t="s">
        <v>34</v>
      </c>
      <c r="H857">
        <v>45</v>
      </c>
      <c r="I857">
        <v>25000</v>
      </c>
      <c r="J857">
        <v>5</v>
      </c>
      <c r="K857">
        <v>1068750</v>
      </c>
      <c r="L857">
        <v>534375</v>
      </c>
      <c r="M857">
        <v>534375</v>
      </c>
      <c r="N857" t="s">
        <v>49</v>
      </c>
      <c r="O857" t="s">
        <v>35</v>
      </c>
      <c r="P857" t="s">
        <v>40</v>
      </c>
      <c r="Q857" t="str">
        <f>TEXT(clean_data[[#This Row],[Date]],"mmm")</f>
        <v>Jul</v>
      </c>
      <c r="R857">
        <f>YEAR(clean_data[[#This Row],[Date]])</f>
        <v>2024</v>
      </c>
      <c r="S857" s="2">
        <f>clean_data[[#This Row],[Profit]]/clean_data[[#This Row],[Revenue]]</f>
        <v>0.5</v>
      </c>
      <c r="T857" t="str" cm="1">
        <f t="array" ref="T857">_xlfn.IFS(clean_data[[#This Row],[Revenue]]&lt;300000,"Small",
     clean_data[[#This Row],[Revenue]]&lt;700000,"Medium",
     TRUE,"Large")</f>
        <v>Large</v>
      </c>
      <c r="U857" t="str" cm="1">
        <f t="array" ref="U857">_xlfn.IFS(clean_data[[#This Row],[profit margin%]]&lt;0.5,"Low Profit",
     clean_data[[#This Row],[profit margin%]]&lt;0.6,"Medium Profit",
     TRUE,"High Profit")</f>
        <v>Medium Profit</v>
      </c>
      <c r="V857" t="str">
        <f>TEXT(clean_data[[#This Row],[Date]],"mmm-yyyy")</f>
        <v>Jul-2024</v>
      </c>
      <c r="W857" s="8">
        <f>EOMONTH(clean_data[[#This Row],[Date]],-1)+1</f>
        <v>45474</v>
      </c>
    </row>
    <row r="858" spans="1:23" x14ac:dyDescent="0.3">
      <c r="A858" t="s">
        <v>930</v>
      </c>
      <c r="B858" s="1">
        <v>44815</v>
      </c>
      <c r="C858" t="s">
        <v>26</v>
      </c>
      <c r="D858" t="s">
        <v>69</v>
      </c>
      <c r="E858" t="s">
        <v>60</v>
      </c>
      <c r="F858" t="s">
        <v>20</v>
      </c>
      <c r="G858" t="s">
        <v>53</v>
      </c>
      <c r="H858">
        <v>9</v>
      </c>
      <c r="I858">
        <v>600</v>
      </c>
      <c r="J858">
        <v>15</v>
      </c>
      <c r="K858">
        <v>4590</v>
      </c>
      <c r="L858">
        <v>1836</v>
      </c>
      <c r="M858">
        <v>2754</v>
      </c>
      <c r="N858" t="s">
        <v>49</v>
      </c>
      <c r="O858" t="s">
        <v>44</v>
      </c>
      <c r="P858" t="s">
        <v>24</v>
      </c>
      <c r="Q858" t="str">
        <f>TEXT(clean_data[[#This Row],[Date]],"mmm")</f>
        <v>Sep</v>
      </c>
      <c r="R858">
        <f>YEAR(clean_data[[#This Row],[Date]])</f>
        <v>2022</v>
      </c>
      <c r="S858" s="2">
        <f>clean_data[[#This Row],[Profit]]/clean_data[[#This Row],[Revenue]]</f>
        <v>0.6</v>
      </c>
      <c r="T858" t="str" cm="1">
        <f t="array" ref="T858">_xlfn.IFS(clean_data[[#This Row],[Revenue]]&lt;300000,"Small",
     clean_data[[#This Row],[Revenue]]&lt;700000,"Medium",
     TRUE,"Large")</f>
        <v>Small</v>
      </c>
      <c r="U858" t="str" cm="1">
        <f t="array" ref="U858">_xlfn.IFS(clean_data[[#This Row],[profit margin%]]&lt;0.5,"Low Profit",
     clean_data[[#This Row],[profit margin%]]&lt;0.6,"Medium Profit",
     TRUE,"High Profit")</f>
        <v>High Profit</v>
      </c>
      <c r="V858" t="str">
        <f>TEXT(clean_data[[#This Row],[Date]],"mmm-yyyy")</f>
        <v>Sep-2022</v>
      </c>
      <c r="W858" s="8">
        <f>EOMONTH(clean_data[[#This Row],[Date]],-1)+1</f>
        <v>44805</v>
      </c>
    </row>
    <row r="859" spans="1:23" x14ac:dyDescent="0.3">
      <c r="A859" t="s">
        <v>931</v>
      </c>
      <c r="B859" s="1">
        <v>44964</v>
      </c>
      <c r="C859" t="s">
        <v>46</v>
      </c>
      <c r="D859" t="s">
        <v>47</v>
      </c>
      <c r="E859" t="s">
        <v>70</v>
      </c>
      <c r="F859" t="s">
        <v>28</v>
      </c>
      <c r="G859" t="s">
        <v>87</v>
      </c>
      <c r="H859">
        <v>25</v>
      </c>
      <c r="I859">
        <v>45000</v>
      </c>
      <c r="J859">
        <v>15</v>
      </c>
      <c r="K859">
        <v>956250</v>
      </c>
      <c r="L859">
        <v>525937.5</v>
      </c>
      <c r="M859">
        <v>430312.5</v>
      </c>
      <c r="N859" t="s">
        <v>30</v>
      </c>
      <c r="O859" t="s">
        <v>35</v>
      </c>
      <c r="P859" t="s">
        <v>24</v>
      </c>
      <c r="Q859" t="str">
        <f>TEXT(clean_data[[#This Row],[Date]],"mmm")</f>
        <v>Feb</v>
      </c>
      <c r="R859">
        <f>YEAR(clean_data[[#This Row],[Date]])</f>
        <v>2023</v>
      </c>
      <c r="S859" s="2">
        <f>clean_data[[#This Row],[Profit]]/clean_data[[#This Row],[Revenue]]</f>
        <v>0.45</v>
      </c>
      <c r="T859" t="str" cm="1">
        <f t="array" ref="T859">_xlfn.IFS(clean_data[[#This Row],[Revenue]]&lt;300000,"Small",
     clean_data[[#This Row],[Revenue]]&lt;700000,"Medium",
     TRUE,"Large")</f>
        <v>Large</v>
      </c>
      <c r="U859" t="str" cm="1">
        <f t="array" ref="U859">_xlfn.IFS(clean_data[[#This Row],[profit margin%]]&lt;0.5,"Low Profit",
     clean_data[[#This Row],[profit margin%]]&lt;0.6,"Medium Profit",
     TRUE,"High Profit")</f>
        <v>Low Profit</v>
      </c>
      <c r="V859" t="str">
        <f>TEXT(clean_data[[#This Row],[Date]],"mmm-yyyy")</f>
        <v>Feb-2023</v>
      </c>
      <c r="W859" s="8">
        <f>EOMONTH(clean_data[[#This Row],[Date]],-1)+1</f>
        <v>44958</v>
      </c>
    </row>
    <row r="860" spans="1:23" x14ac:dyDescent="0.3">
      <c r="A860" t="s">
        <v>932</v>
      </c>
      <c r="B860" s="1">
        <v>45246</v>
      </c>
      <c r="C860" t="s">
        <v>46</v>
      </c>
      <c r="D860" t="s">
        <v>47</v>
      </c>
      <c r="E860" t="s">
        <v>52</v>
      </c>
      <c r="F860" t="s">
        <v>33</v>
      </c>
      <c r="G860" t="s">
        <v>43</v>
      </c>
      <c r="H860">
        <v>28</v>
      </c>
      <c r="I860">
        <v>4000</v>
      </c>
      <c r="J860">
        <v>5</v>
      </c>
      <c r="K860">
        <v>106400</v>
      </c>
      <c r="L860">
        <v>53200</v>
      </c>
      <c r="M860">
        <v>53200</v>
      </c>
      <c r="N860" t="s">
        <v>30</v>
      </c>
      <c r="O860" t="s">
        <v>35</v>
      </c>
      <c r="P860" t="s">
        <v>24</v>
      </c>
      <c r="Q860" t="str">
        <f>TEXT(clean_data[[#This Row],[Date]],"mmm")</f>
        <v>Nov</v>
      </c>
      <c r="R860">
        <f>YEAR(clean_data[[#This Row],[Date]])</f>
        <v>2023</v>
      </c>
      <c r="S860" s="2">
        <f>clean_data[[#This Row],[Profit]]/clean_data[[#This Row],[Revenue]]</f>
        <v>0.5</v>
      </c>
      <c r="T860" t="str" cm="1">
        <f t="array" ref="T860">_xlfn.IFS(clean_data[[#This Row],[Revenue]]&lt;300000,"Small",
     clean_data[[#This Row],[Revenue]]&lt;700000,"Medium",
     TRUE,"Large")</f>
        <v>Small</v>
      </c>
      <c r="U860" t="str" cm="1">
        <f t="array" ref="U860">_xlfn.IFS(clean_data[[#This Row],[profit margin%]]&lt;0.5,"Low Profit",
     clean_data[[#This Row],[profit margin%]]&lt;0.6,"Medium Profit",
     TRUE,"High Profit")</f>
        <v>Medium Profit</v>
      </c>
      <c r="V860" t="str">
        <f>TEXT(clean_data[[#This Row],[Date]],"mmm-yyyy")</f>
        <v>Nov-2023</v>
      </c>
      <c r="W860" s="8">
        <f>EOMONTH(clean_data[[#This Row],[Date]],-1)+1</f>
        <v>45231</v>
      </c>
    </row>
    <row r="861" spans="1:23" x14ac:dyDescent="0.3">
      <c r="A861" t="s">
        <v>933</v>
      </c>
      <c r="B861" s="1">
        <v>44781</v>
      </c>
      <c r="C861" t="s">
        <v>58</v>
      </c>
      <c r="D861" t="s">
        <v>59</v>
      </c>
      <c r="E861" t="s">
        <v>73</v>
      </c>
      <c r="F861" t="s">
        <v>20</v>
      </c>
      <c r="G861" t="s">
        <v>115</v>
      </c>
      <c r="H861">
        <v>50</v>
      </c>
      <c r="I861">
        <v>2500</v>
      </c>
      <c r="J861">
        <v>0</v>
      </c>
      <c r="K861">
        <v>125000</v>
      </c>
      <c r="L861">
        <v>50000</v>
      </c>
      <c r="M861">
        <v>75000</v>
      </c>
      <c r="N861" t="s">
        <v>22</v>
      </c>
      <c r="O861" t="s">
        <v>23</v>
      </c>
      <c r="P861" t="s">
        <v>24</v>
      </c>
      <c r="Q861" t="str">
        <f>TEXT(clean_data[[#This Row],[Date]],"mmm")</f>
        <v>Aug</v>
      </c>
      <c r="R861">
        <f>YEAR(clean_data[[#This Row],[Date]])</f>
        <v>2022</v>
      </c>
      <c r="S861" s="2">
        <f>clean_data[[#This Row],[Profit]]/clean_data[[#This Row],[Revenue]]</f>
        <v>0.6</v>
      </c>
      <c r="T861" t="str" cm="1">
        <f t="array" ref="T861">_xlfn.IFS(clean_data[[#This Row],[Revenue]]&lt;300000,"Small",
     clean_data[[#This Row],[Revenue]]&lt;700000,"Medium",
     TRUE,"Large")</f>
        <v>Small</v>
      </c>
      <c r="U861" t="str" cm="1">
        <f t="array" ref="U861">_xlfn.IFS(clean_data[[#This Row],[profit margin%]]&lt;0.5,"Low Profit",
     clean_data[[#This Row],[profit margin%]]&lt;0.6,"Medium Profit",
     TRUE,"High Profit")</f>
        <v>High Profit</v>
      </c>
      <c r="V861" t="str">
        <f>TEXT(clean_data[[#This Row],[Date]],"mmm-yyyy")</f>
        <v>Aug-2022</v>
      </c>
      <c r="W861" s="8">
        <f>EOMONTH(clean_data[[#This Row],[Date]],-1)+1</f>
        <v>44774</v>
      </c>
    </row>
    <row r="862" spans="1:23" x14ac:dyDescent="0.3">
      <c r="A862" t="s">
        <v>934</v>
      </c>
      <c r="B862" s="1">
        <v>45098</v>
      </c>
      <c r="C862" t="s">
        <v>58</v>
      </c>
      <c r="D862" t="s">
        <v>59</v>
      </c>
      <c r="E862" t="s">
        <v>56</v>
      </c>
      <c r="F862" t="s">
        <v>28</v>
      </c>
      <c r="G862" t="s">
        <v>95</v>
      </c>
      <c r="H862">
        <v>6</v>
      </c>
      <c r="I862">
        <v>75000</v>
      </c>
      <c r="J862">
        <v>0</v>
      </c>
      <c r="K862">
        <v>450000</v>
      </c>
      <c r="L862">
        <v>247500</v>
      </c>
      <c r="M862">
        <v>202500</v>
      </c>
      <c r="N862" t="s">
        <v>22</v>
      </c>
      <c r="O862" t="s">
        <v>67</v>
      </c>
      <c r="P862" t="s">
        <v>24</v>
      </c>
      <c r="Q862" t="str">
        <f>TEXT(clean_data[[#This Row],[Date]],"mmm")</f>
        <v>Jun</v>
      </c>
      <c r="R862">
        <f>YEAR(clean_data[[#This Row],[Date]])</f>
        <v>2023</v>
      </c>
      <c r="S862" s="2">
        <f>clean_data[[#This Row],[Profit]]/clean_data[[#This Row],[Revenue]]</f>
        <v>0.45</v>
      </c>
      <c r="T862" t="str" cm="1">
        <f t="array" ref="T862">_xlfn.IFS(clean_data[[#This Row],[Revenue]]&lt;300000,"Small",
     clean_data[[#This Row],[Revenue]]&lt;700000,"Medium",
     TRUE,"Large")</f>
        <v>Medium</v>
      </c>
      <c r="U862" t="str" cm="1">
        <f t="array" ref="U862">_xlfn.IFS(clean_data[[#This Row],[profit margin%]]&lt;0.5,"Low Profit",
     clean_data[[#This Row],[profit margin%]]&lt;0.6,"Medium Profit",
     TRUE,"High Profit")</f>
        <v>Low Profit</v>
      </c>
      <c r="V862" t="str">
        <f>TEXT(clean_data[[#This Row],[Date]],"mmm-yyyy")</f>
        <v>Jun-2023</v>
      </c>
      <c r="W862" s="8">
        <f>EOMONTH(clean_data[[#This Row],[Date]],-1)+1</f>
        <v>45078</v>
      </c>
    </row>
    <row r="863" spans="1:23" x14ac:dyDescent="0.3">
      <c r="A863" t="s">
        <v>935</v>
      </c>
      <c r="B863" s="1">
        <v>44986</v>
      </c>
      <c r="C863" t="s">
        <v>58</v>
      </c>
      <c r="D863" t="s">
        <v>59</v>
      </c>
      <c r="E863" t="s">
        <v>52</v>
      </c>
      <c r="F863" t="s">
        <v>20</v>
      </c>
      <c r="G863" t="s">
        <v>115</v>
      </c>
      <c r="H863">
        <v>31</v>
      </c>
      <c r="I863">
        <v>2500</v>
      </c>
      <c r="J863">
        <v>15</v>
      </c>
      <c r="K863">
        <v>65875</v>
      </c>
      <c r="L863">
        <v>26350</v>
      </c>
      <c r="M863">
        <v>39525</v>
      </c>
      <c r="N863" t="s">
        <v>22</v>
      </c>
      <c r="O863" t="s">
        <v>44</v>
      </c>
      <c r="P863" t="s">
        <v>24</v>
      </c>
      <c r="Q863" t="str">
        <f>TEXT(clean_data[[#This Row],[Date]],"mmm")</f>
        <v>Mar</v>
      </c>
      <c r="R863">
        <f>YEAR(clean_data[[#This Row],[Date]])</f>
        <v>2023</v>
      </c>
      <c r="S863" s="2">
        <f>clean_data[[#This Row],[Profit]]/clean_data[[#This Row],[Revenue]]</f>
        <v>0.6</v>
      </c>
      <c r="T863" t="str" cm="1">
        <f t="array" ref="T863">_xlfn.IFS(clean_data[[#This Row],[Revenue]]&lt;300000,"Small",
     clean_data[[#This Row],[Revenue]]&lt;700000,"Medium",
     TRUE,"Large")</f>
        <v>Small</v>
      </c>
      <c r="U863" t="str" cm="1">
        <f t="array" ref="U863">_xlfn.IFS(clean_data[[#This Row],[profit margin%]]&lt;0.5,"Low Profit",
     clean_data[[#This Row],[profit margin%]]&lt;0.6,"Medium Profit",
     TRUE,"High Profit")</f>
        <v>High Profit</v>
      </c>
      <c r="V863" t="str">
        <f>TEXT(clean_data[[#This Row],[Date]],"mmm-yyyy")</f>
        <v>Mar-2023</v>
      </c>
      <c r="W863" s="8">
        <f>EOMONTH(clean_data[[#This Row],[Date]],-1)+1</f>
        <v>44986</v>
      </c>
    </row>
    <row r="864" spans="1:23" x14ac:dyDescent="0.3">
      <c r="A864" t="s">
        <v>936</v>
      </c>
      <c r="B864" s="1">
        <v>44753</v>
      </c>
      <c r="C864" t="s">
        <v>26</v>
      </c>
      <c r="D864" t="s">
        <v>27</v>
      </c>
      <c r="E864" t="s">
        <v>32</v>
      </c>
      <c r="F864" t="s">
        <v>28</v>
      </c>
      <c r="G864" t="s">
        <v>85</v>
      </c>
      <c r="H864">
        <v>36</v>
      </c>
      <c r="I864">
        <v>8000</v>
      </c>
      <c r="J864">
        <v>20</v>
      </c>
      <c r="K864">
        <v>230400</v>
      </c>
      <c r="L864">
        <v>126720</v>
      </c>
      <c r="M864">
        <v>103680</v>
      </c>
      <c r="N864" t="s">
        <v>49</v>
      </c>
      <c r="O864" t="s">
        <v>35</v>
      </c>
      <c r="P864" t="s">
        <v>40</v>
      </c>
      <c r="Q864" t="str">
        <f>TEXT(clean_data[[#This Row],[Date]],"mmm")</f>
        <v>Jul</v>
      </c>
      <c r="R864">
        <f>YEAR(clean_data[[#This Row],[Date]])</f>
        <v>2022</v>
      </c>
      <c r="S864" s="2">
        <f>clean_data[[#This Row],[Profit]]/clean_data[[#This Row],[Revenue]]</f>
        <v>0.45</v>
      </c>
      <c r="T864" t="str" cm="1">
        <f t="array" ref="T864">_xlfn.IFS(clean_data[[#This Row],[Revenue]]&lt;300000,"Small",
     clean_data[[#This Row],[Revenue]]&lt;700000,"Medium",
     TRUE,"Large")</f>
        <v>Small</v>
      </c>
      <c r="U864" t="str" cm="1">
        <f t="array" ref="U864">_xlfn.IFS(clean_data[[#This Row],[profit margin%]]&lt;0.5,"Low Profit",
     clean_data[[#This Row],[profit margin%]]&lt;0.6,"Medium Profit",
     TRUE,"High Profit")</f>
        <v>Low Profit</v>
      </c>
      <c r="V864" t="str">
        <f>TEXT(clean_data[[#This Row],[Date]],"mmm-yyyy")</f>
        <v>Jul-2022</v>
      </c>
      <c r="W864" s="8">
        <f>EOMONTH(clean_data[[#This Row],[Date]],-1)+1</f>
        <v>44743</v>
      </c>
    </row>
    <row r="865" spans="1:23" x14ac:dyDescent="0.3">
      <c r="A865" t="s">
        <v>937</v>
      </c>
      <c r="B865" s="1">
        <v>45592</v>
      </c>
      <c r="C865" t="s">
        <v>26</v>
      </c>
      <c r="D865" t="s">
        <v>27</v>
      </c>
      <c r="E865" t="s">
        <v>52</v>
      </c>
      <c r="F865" t="s">
        <v>20</v>
      </c>
      <c r="G865" t="s">
        <v>53</v>
      </c>
      <c r="H865">
        <v>45</v>
      </c>
      <c r="I865">
        <v>600</v>
      </c>
      <c r="J865">
        <v>5</v>
      </c>
      <c r="K865">
        <v>25650</v>
      </c>
      <c r="L865">
        <v>10260</v>
      </c>
      <c r="M865">
        <v>15390</v>
      </c>
      <c r="N865" t="s">
        <v>22</v>
      </c>
      <c r="O865" t="s">
        <v>23</v>
      </c>
      <c r="P865" t="s">
        <v>24</v>
      </c>
      <c r="Q865" t="str">
        <f>TEXT(clean_data[[#This Row],[Date]],"mmm")</f>
        <v>Oct</v>
      </c>
      <c r="R865">
        <f>YEAR(clean_data[[#This Row],[Date]])</f>
        <v>2024</v>
      </c>
      <c r="S865" s="2">
        <f>clean_data[[#This Row],[Profit]]/clean_data[[#This Row],[Revenue]]</f>
        <v>0.6</v>
      </c>
      <c r="T865" t="str" cm="1">
        <f t="array" ref="T865">_xlfn.IFS(clean_data[[#This Row],[Revenue]]&lt;300000,"Small",
     clean_data[[#This Row],[Revenue]]&lt;700000,"Medium",
     TRUE,"Large")</f>
        <v>Small</v>
      </c>
      <c r="U865" t="str" cm="1">
        <f t="array" ref="U865">_xlfn.IFS(clean_data[[#This Row],[profit margin%]]&lt;0.5,"Low Profit",
     clean_data[[#This Row],[profit margin%]]&lt;0.6,"Medium Profit",
     TRUE,"High Profit")</f>
        <v>High Profit</v>
      </c>
      <c r="V865" t="str">
        <f>TEXT(clean_data[[#This Row],[Date]],"mmm-yyyy")</f>
        <v>Oct-2024</v>
      </c>
      <c r="W865" s="8">
        <f>EOMONTH(clean_data[[#This Row],[Date]],-1)+1</f>
        <v>45566</v>
      </c>
    </row>
    <row r="866" spans="1:23" x14ac:dyDescent="0.3">
      <c r="A866" t="s">
        <v>938</v>
      </c>
      <c r="B866" s="1">
        <v>45173</v>
      </c>
      <c r="C866" t="s">
        <v>26</v>
      </c>
      <c r="D866" t="s">
        <v>27</v>
      </c>
      <c r="E866" t="s">
        <v>38</v>
      </c>
      <c r="F866" t="s">
        <v>20</v>
      </c>
      <c r="G866" t="s">
        <v>74</v>
      </c>
      <c r="H866">
        <v>6</v>
      </c>
      <c r="I866">
        <v>4200</v>
      </c>
      <c r="J866">
        <v>20</v>
      </c>
      <c r="K866">
        <v>20160</v>
      </c>
      <c r="L866">
        <v>8064</v>
      </c>
      <c r="M866">
        <v>12096</v>
      </c>
      <c r="N866" t="s">
        <v>30</v>
      </c>
      <c r="O866" t="s">
        <v>35</v>
      </c>
      <c r="P866" t="s">
        <v>24</v>
      </c>
      <c r="Q866" t="str">
        <f>TEXT(clean_data[[#This Row],[Date]],"mmm")</f>
        <v>Sep</v>
      </c>
      <c r="R866">
        <f>YEAR(clean_data[[#This Row],[Date]])</f>
        <v>2023</v>
      </c>
      <c r="S866" s="2">
        <f>clean_data[[#This Row],[Profit]]/clean_data[[#This Row],[Revenue]]</f>
        <v>0.6</v>
      </c>
      <c r="T866" t="str" cm="1">
        <f t="array" ref="T866">_xlfn.IFS(clean_data[[#This Row],[Revenue]]&lt;300000,"Small",
     clean_data[[#This Row],[Revenue]]&lt;700000,"Medium",
     TRUE,"Large")</f>
        <v>Small</v>
      </c>
      <c r="U866" t="str" cm="1">
        <f t="array" ref="U866">_xlfn.IFS(clean_data[[#This Row],[profit margin%]]&lt;0.5,"Low Profit",
     clean_data[[#This Row],[profit margin%]]&lt;0.6,"Medium Profit",
     TRUE,"High Profit")</f>
        <v>High Profit</v>
      </c>
      <c r="V866" t="str">
        <f>TEXT(clean_data[[#This Row],[Date]],"mmm-yyyy")</f>
        <v>Sep-2023</v>
      </c>
      <c r="W866" s="8">
        <f>EOMONTH(clean_data[[#This Row],[Date]],-1)+1</f>
        <v>45170</v>
      </c>
    </row>
    <row r="867" spans="1:23" x14ac:dyDescent="0.3">
      <c r="A867" t="s">
        <v>939</v>
      </c>
      <c r="B867" s="1">
        <v>44790</v>
      </c>
      <c r="C867" t="s">
        <v>17</v>
      </c>
      <c r="D867" t="s">
        <v>37</v>
      </c>
      <c r="E867" t="s">
        <v>111</v>
      </c>
      <c r="F867" t="s">
        <v>20</v>
      </c>
      <c r="G867" t="s">
        <v>115</v>
      </c>
      <c r="H867">
        <v>43</v>
      </c>
      <c r="I867">
        <v>2500</v>
      </c>
      <c r="J867">
        <v>0</v>
      </c>
      <c r="K867">
        <v>107500</v>
      </c>
      <c r="L867">
        <v>43000</v>
      </c>
      <c r="M867">
        <v>64500</v>
      </c>
      <c r="N867" t="s">
        <v>49</v>
      </c>
      <c r="O867" t="s">
        <v>35</v>
      </c>
      <c r="P867" t="s">
        <v>24</v>
      </c>
      <c r="Q867" t="str">
        <f>TEXT(clean_data[[#This Row],[Date]],"mmm")</f>
        <v>Aug</v>
      </c>
      <c r="R867">
        <f>YEAR(clean_data[[#This Row],[Date]])</f>
        <v>2022</v>
      </c>
      <c r="S867" s="2">
        <f>clean_data[[#This Row],[Profit]]/clean_data[[#This Row],[Revenue]]</f>
        <v>0.6</v>
      </c>
      <c r="T867" t="str" cm="1">
        <f t="array" ref="T867">_xlfn.IFS(clean_data[[#This Row],[Revenue]]&lt;300000,"Small",
     clean_data[[#This Row],[Revenue]]&lt;700000,"Medium",
     TRUE,"Large")</f>
        <v>Small</v>
      </c>
      <c r="U867" t="str" cm="1">
        <f t="array" ref="U867">_xlfn.IFS(clean_data[[#This Row],[profit margin%]]&lt;0.5,"Low Profit",
     clean_data[[#This Row],[profit margin%]]&lt;0.6,"Medium Profit",
     TRUE,"High Profit")</f>
        <v>High Profit</v>
      </c>
      <c r="V867" t="str">
        <f>TEXT(clean_data[[#This Row],[Date]],"mmm-yyyy")</f>
        <v>Aug-2022</v>
      </c>
      <c r="W867" s="8">
        <f>EOMONTH(clean_data[[#This Row],[Date]],-1)+1</f>
        <v>44774</v>
      </c>
    </row>
    <row r="868" spans="1:23" x14ac:dyDescent="0.3">
      <c r="A868" t="s">
        <v>940</v>
      </c>
      <c r="B868" s="1">
        <v>45591</v>
      </c>
      <c r="C868" t="s">
        <v>17</v>
      </c>
      <c r="D868" t="s">
        <v>42</v>
      </c>
      <c r="E868" t="s">
        <v>111</v>
      </c>
      <c r="F868" t="s">
        <v>65</v>
      </c>
      <c r="G868" t="s">
        <v>104</v>
      </c>
      <c r="H868">
        <v>37</v>
      </c>
      <c r="I868">
        <v>3000</v>
      </c>
      <c r="J868">
        <v>15</v>
      </c>
      <c r="K868">
        <v>94350</v>
      </c>
      <c r="L868">
        <v>42457.5</v>
      </c>
      <c r="M868">
        <v>51892.5</v>
      </c>
      <c r="N868" t="s">
        <v>22</v>
      </c>
      <c r="O868" t="s">
        <v>50</v>
      </c>
      <c r="P868" t="s">
        <v>24</v>
      </c>
      <c r="Q868" t="str">
        <f>TEXT(clean_data[[#This Row],[Date]],"mmm")</f>
        <v>Oct</v>
      </c>
      <c r="R868">
        <f>YEAR(clean_data[[#This Row],[Date]])</f>
        <v>2024</v>
      </c>
      <c r="S868" s="2">
        <f>clean_data[[#This Row],[Profit]]/clean_data[[#This Row],[Revenue]]</f>
        <v>0.55000000000000004</v>
      </c>
      <c r="T868" t="str" cm="1">
        <f t="array" ref="T868">_xlfn.IFS(clean_data[[#This Row],[Revenue]]&lt;300000,"Small",
     clean_data[[#This Row],[Revenue]]&lt;700000,"Medium",
     TRUE,"Large")</f>
        <v>Small</v>
      </c>
      <c r="U868" t="str" cm="1">
        <f t="array" ref="U868">_xlfn.IFS(clean_data[[#This Row],[profit margin%]]&lt;0.5,"Low Profit",
     clean_data[[#This Row],[profit margin%]]&lt;0.6,"Medium Profit",
     TRUE,"High Profit")</f>
        <v>Medium Profit</v>
      </c>
      <c r="V868" t="str">
        <f>TEXT(clean_data[[#This Row],[Date]],"mmm-yyyy")</f>
        <v>Oct-2024</v>
      </c>
      <c r="W868" s="8">
        <f>EOMONTH(clean_data[[#This Row],[Date]],-1)+1</f>
        <v>45566</v>
      </c>
    </row>
    <row r="869" spans="1:23" x14ac:dyDescent="0.3">
      <c r="A869" t="s">
        <v>941</v>
      </c>
      <c r="B869" s="1">
        <v>45613</v>
      </c>
      <c r="C869" t="s">
        <v>46</v>
      </c>
      <c r="D869" t="s">
        <v>47</v>
      </c>
      <c r="E869" t="s">
        <v>56</v>
      </c>
      <c r="F869" t="s">
        <v>20</v>
      </c>
      <c r="G869" t="s">
        <v>21</v>
      </c>
      <c r="H869">
        <v>13</v>
      </c>
      <c r="I869">
        <v>3500</v>
      </c>
      <c r="J869">
        <v>5</v>
      </c>
      <c r="K869">
        <v>43225</v>
      </c>
      <c r="L869">
        <v>17290</v>
      </c>
      <c r="M869">
        <v>25935</v>
      </c>
      <c r="N869" t="s">
        <v>30</v>
      </c>
      <c r="O869" t="s">
        <v>44</v>
      </c>
      <c r="P869" t="s">
        <v>24</v>
      </c>
      <c r="Q869" t="str">
        <f>TEXT(clean_data[[#This Row],[Date]],"mmm")</f>
        <v>Nov</v>
      </c>
      <c r="R869">
        <f>YEAR(clean_data[[#This Row],[Date]])</f>
        <v>2024</v>
      </c>
      <c r="S869" s="2">
        <f>clean_data[[#This Row],[Profit]]/clean_data[[#This Row],[Revenue]]</f>
        <v>0.6</v>
      </c>
      <c r="T869" t="str" cm="1">
        <f t="array" ref="T869">_xlfn.IFS(clean_data[[#This Row],[Revenue]]&lt;300000,"Small",
     clean_data[[#This Row],[Revenue]]&lt;700000,"Medium",
     TRUE,"Large")</f>
        <v>Small</v>
      </c>
      <c r="U869" t="str" cm="1">
        <f t="array" ref="U869">_xlfn.IFS(clean_data[[#This Row],[profit margin%]]&lt;0.5,"Low Profit",
     clean_data[[#This Row],[profit margin%]]&lt;0.6,"Medium Profit",
     TRUE,"High Profit")</f>
        <v>High Profit</v>
      </c>
      <c r="V869" t="str">
        <f>TEXT(clean_data[[#This Row],[Date]],"mmm-yyyy")</f>
        <v>Nov-2024</v>
      </c>
      <c r="W869" s="8">
        <f>EOMONTH(clean_data[[#This Row],[Date]],-1)+1</f>
        <v>45597</v>
      </c>
    </row>
    <row r="870" spans="1:23" x14ac:dyDescent="0.3">
      <c r="A870" t="s">
        <v>942</v>
      </c>
      <c r="B870" s="1">
        <v>45633</v>
      </c>
      <c r="C870" t="s">
        <v>17</v>
      </c>
      <c r="D870" t="s">
        <v>37</v>
      </c>
      <c r="E870" t="s">
        <v>78</v>
      </c>
      <c r="F870" t="s">
        <v>65</v>
      </c>
      <c r="G870" t="s">
        <v>117</v>
      </c>
      <c r="H870">
        <v>36</v>
      </c>
      <c r="I870">
        <v>1200</v>
      </c>
      <c r="J870">
        <v>10</v>
      </c>
      <c r="K870">
        <v>38880</v>
      </c>
      <c r="L870">
        <v>17496</v>
      </c>
      <c r="M870">
        <v>21384</v>
      </c>
      <c r="N870" t="s">
        <v>49</v>
      </c>
      <c r="O870" t="s">
        <v>44</v>
      </c>
      <c r="P870" t="s">
        <v>24</v>
      </c>
      <c r="Q870" t="str">
        <f>TEXT(clean_data[[#This Row],[Date]],"mmm")</f>
        <v>Dec</v>
      </c>
      <c r="R870">
        <f>YEAR(clean_data[[#This Row],[Date]])</f>
        <v>2024</v>
      </c>
      <c r="S870" s="2">
        <f>clean_data[[#This Row],[Profit]]/clean_data[[#This Row],[Revenue]]</f>
        <v>0.55000000000000004</v>
      </c>
      <c r="T870" t="str" cm="1">
        <f t="array" ref="T870">_xlfn.IFS(clean_data[[#This Row],[Revenue]]&lt;300000,"Small",
     clean_data[[#This Row],[Revenue]]&lt;700000,"Medium",
     TRUE,"Large")</f>
        <v>Small</v>
      </c>
      <c r="U870" t="str" cm="1">
        <f t="array" ref="U870">_xlfn.IFS(clean_data[[#This Row],[profit margin%]]&lt;0.5,"Low Profit",
     clean_data[[#This Row],[profit margin%]]&lt;0.6,"Medium Profit",
     TRUE,"High Profit")</f>
        <v>Medium Profit</v>
      </c>
      <c r="V870" t="str">
        <f>TEXT(clean_data[[#This Row],[Date]],"mmm-yyyy")</f>
        <v>Dec-2024</v>
      </c>
      <c r="W870" s="8">
        <f>EOMONTH(clean_data[[#This Row],[Date]],-1)+1</f>
        <v>45627</v>
      </c>
    </row>
    <row r="871" spans="1:23" x14ac:dyDescent="0.3">
      <c r="A871" t="s">
        <v>943</v>
      </c>
      <c r="B871" s="1">
        <v>45337</v>
      </c>
      <c r="C871" t="s">
        <v>26</v>
      </c>
      <c r="D871" t="s">
        <v>69</v>
      </c>
      <c r="E871" t="s">
        <v>32</v>
      </c>
      <c r="F871" t="s">
        <v>20</v>
      </c>
      <c r="G871" t="s">
        <v>53</v>
      </c>
      <c r="H871">
        <v>14</v>
      </c>
      <c r="I871">
        <v>600</v>
      </c>
      <c r="J871">
        <v>0</v>
      </c>
      <c r="K871">
        <v>8400</v>
      </c>
      <c r="L871">
        <v>3360</v>
      </c>
      <c r="M871">
        <v>5040</v>
      </c>
      <c r="N871" t="s">
        <v>22</v>
      </c>
      <c r="O871" t="s">
        <v>44</v>
      </c>
      <c r="P871" t="s">
        <v>24</v>
      </c>
      <c r="Q871" t="str">
        <f>TEXT(clean_data[[#This Row],[Date]],"mmm")</f>
        <v>Feb</v>
      </c>
      <c r="R871">
        <f>YEAR(clean_data[[#This Row],[Date]])</f>
        <v>2024</v>
      </c>
      <c r="S871" s="2">
        <f>clean_data[[#This Row],[Profit]]/clean_data[[#This Row],[Revenue]]</f>
        <v>0.6</v>
      </c>
      <c r="T871" t="str" cm="1">
        <f t="array" ref="T871">_xlfn.IFS(clean_data[[#This Row],[Revenue]]&lt;300000,"Small",
     clean_data[[#This Row],[Revenue]]&lt;700000,"Medium",
     TRUE,"Large")</f>
        <v>Small</v>
      </c>
      <c r="U871" t="str" cm="1">
        <f t="array" ref="U871">_xlfn.IFS(clean_data[[#This Row],[profit margin%]]&lt;0.5,"Low Profit",
     clean_data[[#This Row],[profit margin%]]&lt;0.6,"Medium Profit",
     TRUE,"High Profit")</f>
        <v>High Profit</v>
      </c>
      <c r="V871" t="str">
        <f>TEXT(clean_data[[#This Row],[Date]],"mmm-yyyy")</f>
        <v>Feb-2024</v>
      </c>
      <c r="W871" s="8">
        <f>EOMONTH(clean_data[[#This Row],[Date]],-1)+1</f>
        <v>45323</v>
      </c>
    </row>
    <row r="872" spans="1:23" x14ac:dyDescent="0.3">
      <c r="A872" t="s">
        <v>944</v>
      </c>
      <c r="B872" s="1">
        <v>45279</v>
      </c>
      <c r="C872" t="s">
        <v>46</v>
      </c>
      <c r="D872" t="s">
        <v>55</v>
      </c>
      <c r="E872" t="s">
        <v>78</v>
      </c>
      <c r="F872" t="s">
        <v>33</v>
      </c>
      <c r="G872" t="s">
        <v>48</v>
      </c>
      <c r="H872">
        <v>25</v>
      </c>
      <c r="I872">
        <v>1500</v>
      </c>
      <c r="J872">
        <v>0</v>
      </c>
      <c r="K872">
        <v>37500</v>
      </c>
      <c r="L872">
        <v>18750</v>
      </c>
      <c r="M872">
        <v>18750</v>
      </c>
      <c r="N872" t="s">
        <v>30</v>
      </c>
      <c r="O872" t="s">
        <v>35</v>
      </c>
      <c r="P872" t="s">
        <v>40</v>
      </c>
      <c r="Q872" t="str">
        <f>TEXT(clean_data[[#This Row],[Date]],"mmm")</f>
        <v>Dec</v>
      </c>
      <c r="R872">
        <f>YEAR(clean_data[[#This Row],[Date]])</f>
        <v>2023</v>
      </c>
      <c r="S872" s="2">
        <f>clean_data[[#This Row],[Profit]]/clean_data[[#This Row],[Revenue]]</f>
        <v>0.5</v>
      </c>
      <c r="T872" t="str" cm="1">
        <f t="array" ref="T872">_xlfn.IFS(clean_data[[#This Row],[Revenue]]&lt;300000,"Small",
     clean_data[[#This Row],[Revenue]]&lt;700000,"Medium",
     TRUE,"Large")</f>
        <v>Small</v>
      </c>
      <c r="U872" t="str" cm="1">
        <f t="array" ref="U872">_xlfn.IFS(clean_data[[#This Row],[profit margin%]]&lt;0.5,"Low Profit",
     clean_data[[#This Row],[profit margin%]]&lt;0.6,"Medium Profit",
     TRUE,"High Profit")</f>
        <v>Medium Profit</v>
      </c>
      <c r="V872" t="str">
        <f>TEXT(clean_data[[#This Row],[Date]],"mmm-yyyy")</f>
        <v>Dec-2023</v>
      </c>
      <c r="W872" s="8">
        <f>EOMONTH(clean_data[[#This Row],[Date]],-1)+1</f>
        <v>45261</v>
      </c>
    </row>
    <row r="873" spans="1:23" x14ac:dyDescent="0.3">
      <c r="A873" t="s">
        <v>945</v>
      </c>
      <c r="B873" s="1">
        <v>45081</v>
      </c>
      <c r="C873" t="s">
        <v>26</v>
      </c>
      <c r="D873" t="s">
        <v>69</v>
      </c>
      <c r="E873" t="s">
        <v>52</v>
      </c>
      <c r="F873" t="s">
        <v>33</v>
      </c>
      <c r="G873" t="s">
        <v>39</v>
      </c>
      <c r="H873">
        <v>24</v>
      </c>
      <c r="I873">
        <v>5000</v>
      </c>
      <c r="J873">
        <v>10</v>
      </c>
      <c r="K873">
        <v>108000</v>
      </c>
      <c r="L873">
        <v>54000</v>
      </c>
      <c r="M873">
        <v>54000</v>
      </c>
      <c r="N873" t="s">
        <v>30</v>
      </c>
      <c r="O873" t="s">
        <v>44</v>
      </c>
      <c r="P873" t="s">
        <v>24</v>
      </c>
      <c r="Q873" t="str">
        <f>TEXT(clean_data[[#This Row],[Date]],"mmm")</f>
        <v>Jun</v>
      </c>
      <c r="R873">
        <f>YEAR(clean_data[[#This Row],[Date]])</f>
        <v>2023</v>
      </c>
      <c r="S873" s="2">
        <f>clean_data[[#This Row],[Profit]]/clean_data[[#This Row],[Revenue]]</f>
        <v>0.5</v>
      </c>
      <c r="T873" t="str" cm="1">
        <f t="array" ref="T873">_xlfn.IFS(clean_data[[#This Row],[Revenue]]&lt;300000,"Small",
     clean_data[[#This Row],[Revenue]]&lt;700000,"Medium",
     TRUE,"Large")</f>
        <v>Small</v>
      </c>
      <c r="U873" t="str" cm="1">
        <f t="array" ref="U873">_xlfn.IFS(clean_data[[#This Row],[profit margin%]]&lt;0.5,"Low Profit",
     clean_data[[#This Row],[profit margin%]]&lt;0.6,"Medium Profit",
     TRUE,"High Profit")</f>
        <v>Medium Profit</v>
      </c>
      <c r="V873" t="str">
        <f>TEXT(clean_data[[#This Row],[Date]],"mmm-yyyy")</f>
        <v>Jun-2023</v>
      </c>
      <c r="W873" s="8">
        <f>EOMONTH(clean_data[[#This Row],[Date]],-1)+1</f>
        <v>45078</v>
      </c>
    </row>
    <row r="874" spans="1:23" x14ac:dyDescent="0.3">
      <c r="A874" t="s">
        <v>946</v>
      </c>
      <c r="B874" s="1">
        <v>45078</v>
      </c>
      <c r="C874" t="s">
        <v>26</v>
      </c>
      <c r="D874" t="s">
        <v>69</v>
      </c>
      <c r="E874" t="s">
        <v>19</v>
      </c>
      <c r="F874" t="s">
        <v>65</v>
      </c>
      <c r="G874" t="s">
        <v>117</v>
      </c>
      <c r="H874">
        <v>8</v>
      </c>
      <c r="I874">
        <v>1200</v>
      </c>
      <c r="J874">
        <v>5</v>
      </c>
      <c r="K874">
        <v>9120</v>
      </c>
      <c r="L874">
        <v>4104</v>
      </c>
      <c r="M874">
        <v>5016</v>
      </c>
      <c r="N874" t="s">
        <v>22</v>
      </c>
      <c r="O874" t="s">
        <v>50</v>
      </c>
      <c r="P874" t="s">
        <v>40</v>
      </c>
      <c r="Q874" t="str">
        <f>TEXT(clean_data[[#This Row],[Date]],"mmm")</f>
        <v>Jun</v>
      </c>
      <c r="R874">
        <f>YEAR(clean_data[[#This Row],[Date]])</f>
        <v>2023</v>
      </c>
      <c r="S874" s="2">
        <f>clean_data[[#This Row],[Profit]]/clean_data[[#This Row],[Revenue]]</f>
        <v>0.55000000000000004</v>
      </c>
      <c r="T874" t="str" cm="1">
        <f t="array" ref="T874">_xlfn.IFS(clean_data[[#This Row],[Revenue]]&lt;300000,"Small",
     clean_data[[#This Row],[Revenue]]&lt;700000,"Medium",
     TRUE,"Large")</f>
        <v>Small</v>
      </c>
      <c r="U874" t="str" cm="1">
        <f t="array" ref="U874">_xlfn.IFS(clean_data[[#This Row],[profit margin%]]&lt;0.5,"Low Profit",
     clean_data[[#This Row],[profit margin%]]&lt;0.6,"Medium Profit",
     TRUE,"High Profit")</f>
        <v>Medium Profit</v>
      </c>
      <c r="V874" t="str">
        <f>TEXT(clean_data[[#This Row],[Date]],"mmm-yyyy")</f>
        <v>Jun-2023</v>
      </c>
      <c r="W874" s="8">
        <f>EOMONTH(clean_data[[#This Row],[Date]],-1)+1</f>
        <v>45078</v>
      </c>
    </row>
    <row r="875" spans="1:23" x14ac:dyDescent="0.3">
      <c r="A875" t="s">
        <v>947</v>
      </c>
      <c r="B875" s="1">
        <v>45508</v>
      </c>
      <c r="C875" t="s">
        <v>17</v>
      </c>
      <c r="D875" t="s">
        <v>42</v>
      </c>
      <c r="E875" t="s">
        <v>38</v>
      </c>
      <c r="F875" t="s">
        <v>33</v>
      </c>
      <c r="G875" t="s">
        <v>43</v>
      </c>
      <c r="H875">
        <v>18</v>
      </c>
      <c r="I875">
        <v>4000</v>
      </c>
      <c r="J875">
        <v>20</v>
      </c>
      <c r="K875">
        <v>57600</v>
      </c>
      <c r="L875">
        <v>28800</v>
      </c>
      <c r="M875">
        <v>28800</v>
      </c>
      <c r="N875" t="s">
        <v>30</v>
      </c>
      <c r="O875" t="s">
        <v>44</v>
      </c>
      <c r="P875" t="s">
        <v>24</v>
      </c>
      <c r="Q875" t="str">
        <f>TEXT(clean_data[[#This Row],[Date]],"mmm")</f>
        <v>Aug</v>
      </c>
      <c r="R875">
        <f>YEAR(clean_data[[#This Row],[Date]])</f>
        <v>2024</v>
      </c>
      <c r="S875" s="2">
        <f>clean_data[[#This Row],[Profit]]/clean_data[[#This Row],[Revenue]]</f>
        <v>0.5</v>
      </c>
      <c r="T875" t="str" cm="1">
        <f t="array" ref="T875">_xlfn.IFS(clean_data[[#This Row],[Revenue]]&lt;300000,"Small",
     clean_data[[#This Row],[Revenue]]&lt;700000,"Medium",
     TRUE,"Large")</f>
        <v>Small</v>
      </c>
      <c r="U875" t="str" cm="1">
        <f t="array" ref="U875">_xlfn.IFS(clean_data[[#This Row],[profit margin%]]&lt;0.5,"Low Profit",
     clean_data[[#This Row],[profit margin%]]&lt;0.6,"Medium Profit",
     TRUE,"High Profit")</f>
        <v>Medium Profit</v>
      </c>
      <c r="V875" t="str">
        <f>TEXT(clean_data[[#This Row],[Date]],"mmm-yyyy")</f>
        <v>Aug-2024</v>
      </c>
      <c r="W875" s="8">
        <f>EOMONTH(clean_data[[#This Row],[Date]],-1)+1</f>
        <v>45505</v>
      </c>
    </row>
    <row r="876" spans="1:23" x14ac:dyDescent="0.3">
      <c r="A876" t="s">
        <v>948</v>
      </c>
      <c r="B876" s="1">
        <v>45194</v>
      </c>
      <c r="C876" t="s">
        <v>58</v>
      </c>
      <c r="D876" t="s">
        <v>84</v>
      </c>
      <c r="E876" t="s">
        <v>70</v>
      </c>
      <c r="F876" t="s">
        <v>65</v>
      </c>
      <c r="G876" t="s">
        <v>66</v>
      </c>
      <c r="H876">
        <v>38</v>
      </c>
      <c r="I876">
        <v>5500</v>
      </c>
      <c r="J876">
        <v>5</v>
      </c>
      <c r="K876">
        <v>198550</v>
      </c>
      <c r="L876">
        <v>89347.5</v>
      </c>
      <c r="M876">
        <v>109202.5</v>
      </c>
      <c r="N876" t="s">
        <v>30</v>
      </c>
      <c r="O876" t="s">
        <v>67</v>
      </c>
      <c r="P876" t="s">
        <v>24</v>
      </c>
      <c r="Q876" t="str">
        <f>TEXT(clean_data[[#This Row],[Date]],"mmm")</f>
        <v>Sep</v>
      </c>
      <c r="R876">
        <f>YEAR(clean_data[[#This Row],[Date]])</f>
        <v>2023</v>
      </c>
      <c r="S876" s="2">
        <f>clean_data[[#This Row],[Profit]]/clean_data[[#This Row],[Revenue]]</f>
        <v>0.55000000000000004</v>
      </c>
      <c r="T876" t="str" cm="1">
        <f t="array" ref="T876">_xlfn.IFS(clean_data[[#This Row],[Revenue]]&lt;300000,"Small",
     clean_data[[#This Row],[Revenue]]&lt;700000,"Medium",
     TRUE,"Large")</f>
        <v>Small</v>
      </c>
      <c r="U876" t="str" cm="1">
        <f t="array" ref="U876">_xlfn.IFS(clean_data[[#This Row],[profit margin%]]&lt;0.5,"Low Profit",
     clean_data[[#This Row],[profit margin%]]&lt;0.6,"Medium Profit",
     TRUE,"High Profit")</f>
        <v>Medium Profit</v>
      </c>
      <c r="V876" t="str">
        <f>TEXT(clean_data[[#This Row],[Date]],"mmm-yyyy")</f>
        <v>Sep-2023</v>
      </c>
      <c r="W876" s="8">
        <f>EOMONTH(clean_data[[#This Row],[Date]],-1)+1</f>
        <v>45170</v>
      </c>
    </row>
    <row r="877" spans="1:23" x14ac:dyDescent="0.3">
      <c r="A877" t="s">
        <v>949</v>
      </c>
      <c r="B877" s="1">
        <v>44856</v>
      </c>
      <c r="C877" t="s">
        <v>46</v>
      </c>
      <c r="D877" t="s">
        <v>47</v>
      </c>
      <c r="E877" t="s">
        <v>32</v>
      </c>
      <c r="F877" t="s">
        <v>33</v>
      </c>
      <c r="G877" t="s">
        <v>39</v>
      </c>
      <c r="H877">
        <v>47</v>
      </c>
      <c r="I877">
        <v>5000</v>
      </c>
      <c r="J877">
        <v>10</v>
      </c>
      <c r="K877">
        <v>211500</v>
      </c>
      <c r="L877">
        <v>105750</v>
      </c>
      <c r="M877">
        <v>105750</v>
      </c>
      <c r="N877" t="s">
        <v>22</v>
      </c>
      <c r="O877" t="s">
        <v>67</v>
      </c>
      <c r="P877" t="s">
        <v>24</v>
      </c>
      <c r="Q877" t="str">
        <f>TEXT(clean_data[[#This Row],[Date]],"mmm")</f>
        <v>Oct</v>
      </c>
      <c r="R877">
        <f>YEAR(clean_data[[#This Row],[Date]])</f>
        <v>2022</v>
      </c>
      <c r="S877" s="2">
        <f>clean_data[[#This Row],[Profit]]/clean_data[[#This Row],[Revenue]]</f>
        <v>0.5</v>
      </c>
      <c r="T877" t="str" cm="1">
        <f t="array" ref="T877">_xlfn.IFS(clean_data[[#This Row],[Revenue]]&lt;300000,"Small",
     clean_data[[#This Row],[Revenue]]&lt;700000,"Medium",
     TRUE,"Large")</f>
        <v>Small</v>
      </c>
      <c r="U877" t="str" cm="1">
        <f t="array" ref="U877">_xlfn.IFS(clean_data[[#This Row],[profit margin%]]&lt;0.5,"Low Profit",
     clean_data[[#This Row],[profit margin%]]&lt;0.6,"Medium Profit",
     TRUE,"High Profit")</f>
        <v>Medium Profit</v>
      </c>
      <c r="V877" t="str">
        <f>TEXT(clean_data[[#This Row],[Date]],"mmm-yyyy")</f>
        <v>Oct-2022</v>
      </c>
      <c r="W877" s="8">
        <f>EOMONTH(clean_data[[#This Row],[Date]],-1)+1</f>
        <v>44835</v>
      </c>
    </row>
    <row r="878" spans="1:23" x14ac:dyDescent="0.3">
      <c r="A878" t="s">
        <v>950</v>
      </c>
      <c r="B878" s="1">
        <v>45374</v>
      </c>
      <c r="C878" t="s">
        <v>58</v>
      </c>
      <c r="D878" t="s">
        <v>84</v>
      </c>
      <c r="E878" t="s">
        <v>60</v>
      </c>
      <c r="F878" t="s">
        <v>33</v>
      </c>
      <c r="G878" t="s">
        <v>48</v>
      </c>
      <c r="H878">
        <v>33</v>
      </c>
      <c r="I878">
        <v>1500</v>
      </c>
      <c r="J878">
        <v>10</v>
      </c>
      <c r="K878">
        <v>44550</v>
      </c>
      <c r="L878">
        <v>22275</v>
      </c>
      <c r="M878">
        <v>22275</v>
      </c>
      <c r="N878" t="s">
        <v>49</v>
      </c>
      <c r="O878" t="s">
        <v>67</v>
      </c>
      <c r="P878" t="s">
        <v>24</v>
      </c>
      <c r="Q878" t="str">
        <f>TEXT(clean_data[[#This Row],[Date]],"mmm")</f>
        <v>Mar</v>
      </c>
      <c r="R878">
        <f>YEAR(clean_data[[#This Row],[Date]])</f>
        <v>2024</v>
      </c>
      <c r="S878" s="2">
        <f>clean_data[[#This Row],[Profit]]/clean_data[[#This Row],[Revenue]]</f>
        <v>0.5</v>
      </c>
      <c r="T878" t="str" cm="1">
        <f t="array" ref="T878">_xlfn.IFS(clean_data[[#This Row],[Revenue]]&lt;300000,"Small",
     clean_data[[#This Row],[Revenue]]&lt;700000,"Medium",
     TRUE,"Large")</f>
        <v>Small</v>
      </c>
      <c r="U878" t="str" cm="1">
        <f t="array" ref="U878">_xlfn.IFS(clean_data[[#This Row],[profit margin%]]&lt;0.5,"Low Profit",
     clean_data[[#This Row],[profit margin%]]&lt;0.6,"Medium Profit",
     TRUE,"High Profit")</f>
        <v>Medium Profit</v>
      </c>
      <c r="V878" t="str">
        <f>TEXT(clean_data[[#This Row],[Date]],"mmm-yyyy")</f>
        <v>Mar-2024</v>
      </c>
      <c r="W878" s="8">
        <f>EOMONTH(clean_data[[#This Row],[Date]],-1)+1</f>
        <v>45352</v>
      </c>
    </row>
    <row r="879" spans="1:23" x14ac:dyDescent="0.3">
      <c r="A879" t="s">
        <v>951</v>
      </c>
      <c r="B879" s="1">
        <v>44995</v>
      </c>
      <c r="C879" t="s">
        <v>26</v>
      </c>
      <c r="D879" t="s">
        <v>69</v>
      </c>
      <c r="E879" t="s">
        <v>32</v>
      </c>
      <c r="F879" t="s">
        <v>33</v>
      </c>
      <c r="G879" t="s">
        <v>39</v>
      </c>
      <c r="H879">
        <v>41</v>
      </c>
      <c r="I879">
        <v>5000</v>
      </c>
      <c r="J879">
        <v>0</v>
      </c>
      <c r="K879">
        <v>205000</v>
      </c>
      <c r="L879">
        <v>102500</v>
      </c>
      <c r="M879">
        <v>102500</v>
      </c>
      <c r="N879" t="s">
        <v>22</v>
      </c>
      <c r="O879" t="s">
        <v>44</v>
      </c>
      <c r="P879" t="s">
        <v>24</v>
      </c>
      <c r="Q879" t="str">
        <f>TEXT(clean_data[[#This Row],[Date]],"mmm")</f>
        <v>Mar</v>
      </c>
      <c r="R879">
        <f>YEAR(clean_data[[#This Row],[Date]])</f>
        <v>2023</v>
      </c>
      <c r="S879" s="2">
        <f>clean_data[[#This Row],[Profit]]/clean_data[[#This Row],[Revenue]]</f>
        <v>0.5</v>
      </c>
      <c r="T879" t="str" cm="1">
        <f t="array" ref="T879">_xlfn.IFS(clean_data[[#This Row],[Revenue]]&lt;300000,"Small",
     clean_data[[#This Row],[Revenue]]&lt;700000,"Medium",
     TRUE,"Large")</f>
        <v>Small</v>
      </c>
      <c r="U879" t="str" cm="1">
        <f t="array" ref="U879">_xlfn.IFS(clean_data[[#This Row],[profit margin%]]&lt;0.5,"Low Profit",
     clean_data[[#This Row],[profit margin%]]&lt;0.6,"Medium Profit",
     TRUE,"High Profit")</f>
        <v>Medium Profit</v>
      </c>
      <c r="V879" t="str">
        <f>TEXT(clean_data[[#This Row],[Date]],"mmm-yyyy")</f>
        <v>Mar-2023</v>
      </c>
      <c r="W879" s="8">
        <f>EOMONTH(clean_data[[#This Row],[Date]],-1)+1</f>
        <v>44986</v>
      </c>
    </row>
    <row r="880" spans="1:23" x14ac:dyDescent="0.3">
      <c r="A880" t="s">
        <v>952</v>
      </c>
      <c r="B880" s="1">
        <v>44718</v>
      </c>
      <c r="C880" t="s">
        <v>26</v>
      </c>
      <c r="D880" t="s">
        <v>27</v>
      </c>
      <c r="E880" t="s">
        <v>73</v>
      </c>
      <c r="F880" t="s">
        <v>65</v>
      </c>
      <c r="G880" t="s">
        <v>117</v>
      </c>
      <c r="H880">
        <v>28</v>
      </c>
      <c r="I880">
        <v>1200</v>
      </c>
      <c r="J880">
        <v>20</v>
      </c>
      <c r="K880">
        <v>26880</v>
      </c>
      <c r="L880">
        <v>12096</v>
      </c>
      <c r="M880">
        <v>14784</v>
      </c>
      <c r="N880" t="s">
        <v>49</v>
      </c>
      <c r="O880" t="s">
        <v>23</v>
      </c>
      <c r="P880" t="s">
        <v>24</v>
      </c>
      <c r="Q880" t="str">
        <f>TEXT(clean_data[[#This Row],[Date]],"mmm")</f>
        <v>Jun</v>
      </c>
      <c r="R880">
        <f>YEAR(clean_data[[#This Row],[Date]])</f>
        <v>2022</v>
      </c>
      <c r="S880" s="2">
        <f>clean_data[[#This Row],[Profit]]/clean_data[[#This Row],[Revenue]]</f>
        <v>0.55000000000000004</v>
      </c>
      <c r="T880" t="str" cm="1">
        <f t="array" ref="T880">_xlfn.IFS(clean_data[[#This Row],[Revenue]]&lt;300000,"Small",
     clean_data[[#This Row],[Revenue]]&lt;700000,"Medium",
     TRUE,"Large")</f>
        <v>Small</v>
      </c>
      <c r="U880" t="str" cm="1">
        <f t="array" ref="U880">_xlfn.IFS(clean_data[[#This Row],[profit margin%]]&lt;0.5,"Low Profit",
     clean_data[[#This Row],[profit margin%]]&lt;0.6,"Medium Profit",
     TRUE,"High Profit")</f>
        <v>Medium Profit</v>
      </c>
      <c r="V880" t="str">
        <f>TEXT(clean_data[[#This Row],[Date]],"mmm-yyyy")</f>
        <v>Jun-2022</v>
      </c>
      <c r="W880" s="8">
        <f>EOMONTH(clean_data[[#This Row],[Date]],-1)+1</f>
        <v>44713</v>
      </c>
    </row>
    <row r="881" spans="1:23" x14ac:dyDescent="0.3">
      <c r="A881" t="s">
        <v>953</v>
      </c>
      <c r="B881" s="1">
        <v>45557</v>
      </c>
      <c r="C881" t="s">
        <v>26</v>
      </c>
      <c r="D881" t="s">
        <v>69</v>
      </c>
      <c r="E881" t="s">
        <v>56</v>
      </c>
      <c r="F881" t="s">
        <v>20</v>
      </c>
      <c r="G881" t="s">
        <v>21</v>
      </c>
      <c r="H881">
        <v>46</v>
      </c>
      <c r="I881">
        <v>3500</v>
      </c>
      <c r="J881">
        <v>15</v>
      </c>
      <c r="K881">
        <v>136850</v>
      </c>
      <c r="L881">
        <v>54740</v>
      </c>
      <c r="M881">
        <v>82110</v>
      </c>
      <c r="N881" t="s">
        <v>22</v>
      </c>
      <c r="O881" t="s">
        <v>50</v>
      </c>
      <c r="P881" t="s">
        <v>40</v>
      </c>
      <c r="Q881" t="str">
        <f>TEXT(clean_data[[#This Row],[Date]],"mmm")</f>
        <v>Sep</v>
      </c>
      <c r="R881">
        <f>YEAR(clean_data[[#This Row],[Date]])</f>
        <v>2024</v>
      </c>
      <c r="S881" s="2">
        <f>clean_data[[#This Row],[Profit]]/clean_data[[#This Row],[Revenue]]</f>
        <v>0.6</v>
      </c>
      <c r="T881" t="str" cm="1">
        <f t="array" ref="T881">_xlfn.IFS(clean_data[[#This Row],[Revenue]]&lt;300000,"Small",
     clean_data[[#This Row],[Revenue]]&lt;700000,"Medium",
     TRUE,"Large")</f>
        <v>Small</v>
      </c>
      <c r="U881" t="str" cm="1">
        <f t="array" ref="U881">_xlfn.IFS(clean_data[[#This Row],[profit margin%]]&lt;0.5,"Low Profit",
     clean_data[[#This Row],[profit margin%]]&lt;0.6,"Medium Profit",
     TRUE,"High Profit")</f>
        <v>High Profit</v>
      </c>
      <c r="V881" t="str">
        <f>TEXT(clean_data[[#This Row],[Date]],"mmm-yyyy")</f>
        <v>Sep-2024</v>
      </c>
      <c r="W881" s="8">
        <f>EOMONTH(clean_data[[#This Row],[Date]],-1)+1</f>
        <v>45536</v>
      </c>
    </row>
    <row r="882" spans="1:23" x14ac:dyDescent="0.3">
      <c r="A882" t="s">
        <v>954</v>
      </c>
      <c r="B882" s="1">
        <v>45040</v>
      </c>
      <c r="C882" t="s">
        <v>26</v>
      </c>
      <c r="D882" t="s">
        <v>69</v>
      </c>
      <c r="E882" t="s">
        <v>78</v>
      </c>
      <c r="F882" t="s">
        <v>20</v>
      </c>
      <c r="G882" t="s">
        <v>74</v>
      </c>
      <c r="H882">
        <v>5</v>
      </c>
      <c r="I882">
        <v>4200</v>
      </c>
      <c r="J882">
        <v>10</v>
      </c>
      <c r="K882">
        <v>18900</v>
      </c>
      <c r="L882">
        <v>7560</v>
      </c>
      <c r="M882">
        <v>11340</v>
      </c>
      <c r="N882" t="s">
        <v>22</v>
      </c>
      <c r="O882" t="s">
        <v>50</v>
      </c>
      <c r="P882" t="s">
        <v>24</v>
      </c>
      <c r="Q882" t="str">
        <f>TEXT(clean_data[[#This Row],[Date]],"mmm")</f>
        <v>Apr</v>
      </c>
      <c r="R882">
        <f>YEAR(clean_data[[#This Row],[Date]])</f>
        <v>2023</v>
      </c>
      <c r="S882" s="2">
        <f>clean_data[[#This Row],[Profit]]/clean_data[[#This Row],[Revenue]]</f>
        <v>0.6</v>
      </c>
      <c r="T882" t="str" cm="1">
        <f t="array" ref="T882">_xlfn.IFS(clean_data[[#This Row],[Revenue]]&lt;300000,"Small",
     clean_data[[#This Row],[Revenue]]&lt;700000,"Medium",
     TRUE,"Large")</f>
        <v>Small</v>
      </c>
      <c r="U882" t="str" cm="1">
        <f t="array" ref="U882">_xlfn.IFS(clean_data[[#This Row],[profit margin%]]&lt;0.5,"Low Profit",
     clean_data[[#This Row],[profit margin%]]&lt;0.6,"Medium Profit",
     TRUE,"High Profit")</f>
        <v>High Profit</v>
      </c>
      <c r="V882" t="str">
        <f>TEXT(clean_data[[#This Row],[Date]],"mmm-yyyy")</f>
        <v>Apr-2023</v>
      </c>
      <c r="W882" s="8">
        <f>EOMONTH(clean_data[[#This Row],[Date]],-1)+1</f>
        <v>45017</v>
      </c>
    </row>
    <row r="883" spans="1:23" x14ac:dyDescent="0.3">
      <c r="A883" t="s">
        <v>955</v>
      </c>
      <c r="B883" s="1">
        <v>44665</v>
      </c>
      <c r="C883" t="s">
        <v>58</v>
      </c>
      <c r="D883" t="s">
        <v>59</v>
      </c>
      <c r="E883" t="s">
        <v>78</v>
      </c>
      <c r="F883" t="s">
        <v>33</v>
      </c>
      <c r="G883" t="s">
        <v>39</v>
      </c>
      <c r="H883">
        <v>22</v>
      </c>
      <c r="I883">
        <v>5000</v>
      </c>
      <c r="J883">
        <v>5</v>
      </c>
      <c r="K883">
        <v>104500</v>
      </c>
      <c r="L883">
        <v>52250</v>
      </c>
      <c r="M883">
        <v>52250</v>
      </c>
      <c r="N883" t="s">
        <v>30</v>
      </c>
      <c r="O883" t="s">
        <v>50</v>
      </c>
      <c r="P883" t="s">
        <v>40</v>
      </c>
      <c r="Q883" t="str">
        <f>TEXT(clean_data[[#This Row],[Date]],"mmm")</f>
        <v>Apr</v>
      </c>
      <c r="R883">
        <f>YEAR(clean_data[[#This Row],[Date]])</f>
        <v>2022</v>
      </c>
      <c r="S883" s="2">
        <f>clean_data[[#This Row],[Profit]]/clean_data[[#This Row],[Revenue]]</f>
        <v>0.5</v>
      </c>
      <c r="T883" t="str" cm="1">
        <f t="array" ref="T883">_xlfn.IFS(clean_data[[#This Row],[Revenue]]&lt;300000,"Small",
     clean_data[[#This Row],[Revenue]]&lt;700000,"Medium",
     TRUE,"Large")</f>
        <v>Small</v>
      </c>
      <c r="U883" t="str" cm="1">
        <f t="array" ref="U883">_xlfn.IFS(clean_data[[#This Row],[profit margin%]]&lt;0.5,"Low Profit",
     clean_data[[#This Row],[profit margin%]]&lt;0.6,"Medium Profit",
     TRUE,"High Profit")</f>
        <v>Medium Profit</v>
      </c>
      <c r="V883" t="str">
        <f>TEXT(clean_data[[#This Row],[Date]],"mmm-yyyy")</f>
        <v>Apr-2022</v>
      </c>
      <c r="W883" s="8">
        <f>EOMONTH(clean_data[[#This Row],[Date]],-1)+1</f>
        <v>44652</v>
      </c>
    </row>
    <row r="884" spans="1:23" x14ac:dyDescent="0.3">
      <c r="A884" t="s">
        <v>956</v>
      </c>
      <c r="B884" s="1">
        <v>45154</v>
      </c>
      <c r="C884" t="s">
        <v>17</v>
      </c>
      <c r="D884" t="s">
        <v>37</v>
      </c>
      <c r="E884" t="s">
        <v>19</v>
      </c>
      <c r="F884" t="s">
        <v>28</v>
      </c>
      <c r="G884" t="s">
        <v>29</v>
      </c>
      <c r="H884">
        <v>26</v>
      </c>
      <c r="I884">
        <v>15000</v>
      </c>
      <c r="J884">
        <v>5</v>
      </c>
      <c r="K884">
        <v>370500</v>
      </c>
      <c r="L884">
        <v>203775</v>
      </c>
      <c r="M884">
        <v>166725</v>
      </c>
      <c r="N884" t="s">
        <v>22</v>
      </c>
      <c r="O884" t="s">
        <v>67</v>
      </c>
      <c r="P884" t="s">
        <v>24</v>
      </c>
      <c r="Q884" t="str">
        <f>TEXT(clean_data[[#This Row],[Date]],"mmm")</f>
        <v>Aug</v>
      </c>
      <c r="R884">
        <f>YEAR(clean_data[[#This Row],[Date]])</f>
        <v>2023</v>
      </c>
      <c r="S884" s="2">
        <f>clean_data[[#This Row],[Profit]]/clean_data[[#This Row],[Revenue]]</f>
        <v>0.45</v>
      </c>
      <c r="T884" t="str" cm="1">
        <f t="array" ref="T884">_xlfn.IFS(clean_data[[#This Row],[Revenue]]&lt;300000,"Small",
     clean_data[[#This Row],[Revenue]]&lt;700000,"Medium",
     TRUE,"Large")</f>
        <v>Medium</v>
      </c>
      <c r="U884" t="str" cm="1">
        <f t="array" ref="U884">_xlfn.IFS(clean_data[[#This Row],[profit margin%]]&lt;0.5,"Low Profit",
     clean_data[[#This Row],[profit margin%]]&lt;0.6,"Medium Profit",
     TRUE,"High Profit")</f>
        <v>Low Profit</v>
      </c>
      <c r="V884" t="str">
        <f>TEXT(clean_data[[#This Row],[Date]],"mmm-yyyy")</f>
        <v>Aug-2023</v>
      </c>
      <c r="W884" s="8">
        <f>EOMONTH(clean_data[[#This Row],[Date]],-1)+1</f>
        <v>45139</v>
      </c>
    </row>
    <row r="885" spans="1:23" x14ac:dyDescent="0.3">
      <c r="A885" t="s">
        <v>957</v>
      </c>
      <c r="B885" s="1">
        <v>44635</v>
      </c>
      <c r="C885" t="s">
        <v>58</v>
      </c>
      <c r="D885" t="s">
        <v>84</v>
      </c>
      <c r="E885" t="s">
        <v>70</v>
      </c>
      <c r="F885" t="s">
        <v>28</v>
      </c>
      <c r="G885" t="s">
        <v>29</v>
      </c>
      <c r="H885">
        <v>30</v>
      </c>
      <c r="I885">
        <v>15000</v>
      </c>
      <c r="J885">
        <v>10</v>
      </c>
      <c r="K885">
        <v>405000</v>
      </c>
      <c r="L885">
        <v>222750</v>
      </c>
      <c r="M885">
        <v>182250</v>
      </c>
      <c r="N885" t="s">
        <v>49</v>
      </c>
      <c r="O885" t="s">
        <v>35</v>
      </c>
      <c r="P885" t="s">
        <v>24</v>
      </c>
      <c r="Q885" t="str">
        <f>TEXT(clean_data[[#This Row],[Date]],"mmm")</f>
        <v>Mar</v>
      </c>
      <c r="R885">
        <f>YEAR(clean_data[[#This Row],[Date]])</f>
        <v>2022</v>
      </c>
      <c r="S885" s="2">
        <f>clean_data[[#This Row],[Profit]]/clean_data[[#This Row],[Revenue]]</f>
        <v>0.45</v>
      </c>
      <c r="T885" t="str" cm="1">
        <f t="array" ref="T885">_xlfn.IFS(clean_data[[#This Row],[Revenue]]&lt;300000,"Small",
     clean_data[[#This Row],[Revenue]]&lt;700000,"Medium",
     TRUE,"Large")</f>
        <v>Medium</v>
      </c>
      <c r="U885" t="str" cm="1">
        <f t="array" ref="U885">_xlfn.IFS(clean_data[[#This Row],[profit margin%]]&lt;0.5,"Low Profit",
     clean_data[[#This Row],[profit margin%]]&lt;0.6,"Medium Profit",
     TRUE,"High Profit")</f>
        <v>Low Profit</v>
      </c>
      <c r="V885" t="str">
        <f>TEXT(clean_data[[#This Row],[Date]],"mmm-yyyy")</f>
        <v>Mar-2022</v>
      </c>
      <c r="W885" s="8">
        <f>EOMONTH(clean_data[[#This Row],[Date]],-1)+1</f>
        <v>44621</v>
      </c>
    </row>
    <row r="886" spans="1:23" x14ac:dyDescent="0.3">
      <c r="A886" t="s">
        <v>958</v>
      </c>
      <c r="B886" s="1">
        <v>44573</v>
      </c>
      <c r="C886" t="s">
        <v>46</v>
      </c>
      <c r="D886" t="s">
        <v>55</v>
      </c>
      <c r="E886" t="s">
        <v>70</v>
      </c>
      <c r="F886" t="s">
        <v>28</v>
      </c>
      <c r="G886" t="s">
        <v>95</v>
      </c>
      <c r="H886">
        <v>28</v>
      </c>
      <c r="I886">
        <v>75000</v>
      </c>
      <c r="J886">
        <v>15</v>
      </c>
      <c r="K886">
        <v>1785000</v>
      </c>
      <c r="L886">
        <v>981750</v>
      </c>
      <c r="M886">
        <v>803250</v>
      </c>
      <c r="N886" t="s">
        <v>30</v>
      </c>
      <c r="O886" t="s">
        <v>67</v>
      </c>
      <c r="P886" t="s">
        <v>24</v>
      </c>
      <c r="Q886" t="str">
        <f>TEXT(clean_data[[#This Row],[Date]],"mmm")</f>
        <v>Jan</v>
      </c>
      <c r="R886">
        <f>YEAR(clean_data[[#This Row],[Date]])</f>
        <v>2022</v>
      </c>
      <c r="S886" s="2">
        <f>clean_data[[#This Row],[Profit]]/clean_data[[#This Row],[Revenue]]</f>
        <v>0.45</v>
      </c>
      <c r="T886" t="str" cm="1">
        <f t="array" ref="T886">_xlfn.IFS(clean_data[[#This Row],[Revenue]]&lt;300000,"Small",
     clean_data[[#This Row],[Revenue]]&lt;700000,"Medium",
     TRUE,"Large")</f>
        <v>Large</v>
      </c>
      <c r="U886" t="str" cm="1">
        <f t="array" ref="U886">_xlfn.IFS(clean_data[[#This Row],[profit margin%]]&lt;0.5,"Low Profit",
     clean_data[[#This Row],[profit margin%]]&lt;0.6,"Medium Profit",
     TRUE,"High Profit")</f>
        <v>Low Profit</v>
      </c>
      <c r="V886" t="str">
        <f>TEXT(clean_data[[#This Row],[Date]],"mmm-yyyy")</f>
        <v>Jan-2022</v>
      </c>
      <c r="W886" s="8">
        <f>EOMONTH(clean_data[[#This Row],[Date]],-1)+1</f>
        <v>44562</v>
      </c>
    </row>
    <row r="887" spans="1:23" x14ac:dyDescent="0.3">
      <c r="A887" t="s">
        <v>959</v>
      </c>
      <c r="B887" s="1">
        <v>45540</v>
      </c>
      <c r="C887" t="s">
        <v>58</v>
      </c>
      <c r="D887" t="s">
        <v>84</v>
      </c>
      <c r="E887" t="s">
        <v>60</v>
      </c>
      <c r="F887" t="s">
        <v>28</v>
      </c>
      <c r="G887" t="s">
        <v>87</v>
      </c>
      <c r="H887">
        <v>50</v>
      </c>
      <c r="I887">
        <v>45000</v>
      </c>
      <c r="J887">
        <v>10</v>
      </c>
      <c r="K887">
        <v>2025000</v>
      </c>
      <c r="L887">
        <v>1113750</v>
      </c>
      <c r="M887">
        <v>911250</v>
      </c>
      <c r="N887" t="s">
        <v>49</v>
      </c>
      <c r="O887" t="s">
        <v>23</v>
      </c>
      <c r="P887" t="s">
        <v>24</v>
      </c>
      <c r="Q887" t="str">
        <f>TEXT(clean_data[[#This Row],[Date]],"mmm")</f>
        <v>Sep</v>
      </c>
      <c r="R887">
        <f>YEAR(clean_data[[#This Row],[Date]])</f>
        <v>2024</v>
      </c>
      <c r="S887" s="2">
        <f>clean_data[[#This Row],[Profit]]/clean_data[[#This Row],[Revenue]]</f>
        <v>0.45</v>
      </c>
      <c r="T887" t="str" cm="1">
        <f t="array" ref="T887">_xlfn.IFS(clean_data[[#This Row],[Revenue]]&lt;300000,"Small",
     clean_data[[#This Row],[Revenue]]&lt;700000,"Medium",
     TRUE,"Large")</f>
        <v>Large</v>
      </c>
      <c r="U887" t="str" cm="1">
        <f t="array" ref="U887">_xlfn.IFS(clean_data[[#This Row],[profit margin%]]&lt;0.5,"Low Profit",
     clean_data[[#This Row],[profit margin%]]&lt;0.6,"Medium Profit",
     TRUE,"High Profit")</f>
        <v>Low Profit</v>
      </c>
      <c r="V887" t="str">
        <f>TEXT(clean_data[[#This Row],[Date]],"mmm-yyyy")</f>
        <v>Sep-2024</v>
      </c>
      <c r="W887" s="8">
        <f>EOMONTH(clean_data[[#This Row],[Date]],-1)+1</f>
        <v>45536</v>
      </c>
    </row>
    <row r="888" spans="1:23" x14ac:dyDescent="0.3">
      <c r="A888" t="s">
        <v>960</v>
      </c>
      <c r="B888" s="1">
        <v>45270</v>
      </c>
      <c r="C888" t="s">
        <v>17</v>
      </c>
      <c r="D888" t="s">
        <v>37</v>
      </c>
      <c r="E888" t="s">
        <v>78</v>
      </c>
      <c r="F888" t="s">
        <v>33</v>
      </c>
      <c r="G888" t="s">
        <v>39</v>
      </c>
      <c r="H888">
        <v>29</v>
      </c>
      <c r="I888">
        <v>5000</v>
      </c>
      <c r="J888">
        <v>15</v>
      </c>
      <c r="K888">
        <v>123250</v>
      </c>
      <c r="L888">
        <v>61625</v>
      </c>
      <c r="M888">
        <v>61625</v>
      </c>
      <c r="N888" t="s">
        <v>30</v>
      </c>
      <c r="O888" t="s">
        <v>50</v>
      </c>
      <c r="P888" t="s">
        <v>24</v>
      </c>
      <c r="Q888" t="str">
        <f>TEXT(clean_data[[#This Row],[Date]],"mmm")</f>
        <v>Dec</v>
      </c>
      <c r="R888">
        <f>YEAR(clean_data[[#This Row],[Date]])</f>
        <v>2023</v>
      </c>
      <c r="S888" s="2">
        <f>clean_data[[#This Row],[Profit]]/clean_data[[#This Row],[Revenue]]</f>
        <v>0.5</v>
      </c>
      <c r="T888" t="str" cm="1">
        <f t="array" ref="T888">_xlfn.IFS(clean_data[[#This Row],[Revenue]]&lt;300000,"Small",
     clean_data[[#This Row],[Revenue]]&lt;700000,"Medium",
     TRUE,"Large")</f>
        <v>Small</v>
      </c>
      <c r="U888" t="str" cm="1">
        <f t="array" ref="U888">_xlfn.IFS(clean_data[[#This Row],[profit margin%]]&lt;0.5,"Low Profit",
     clean_data[[#This Row],[profit margin%]]&lt;0.6,"Medium Profit",
     TRUE,"High Profit")</f>
        <v>Medium Profit</v>
      </c>
      <c r="V888" t="str">
        <f>TEXT(clean_data[[#This Row],[Date]],"mmm-yyyy")</f>
        <v>Dec-2023</v>
      </c>
      <c r="W888" s="8">
        <f>EOMONTH(clean_data[[#This Row],[Date]],-1)+1</f>
        <v>45261</v>
      </c>
    </row>
    <row r="889" spans="1:23" x14ac:dyDescent="0.3">
      <c r="A889" t="s">
        <v>961</v>
      </c>
      <c r="B889" s="1">
        <v>45383</v>
      </c>
      <c r="C889" t="s">
        <v>17</v>
      </c>
      <c r="D889" t="s">
        <v>42</v>
      </c>
      <c r="E889" t="s">
        <v>19</v>
      </c>
      <c r="F889" t="s">
        <v>28</v>
      </c>
      <c r="G889" t="s">
        <v>87</v>
      </c>
      <c r="H889">
        <v>19</v>
      </c>
      <c r="I889">
        <v>45000</v>
      </c>
      <c r="J889">
        <v>0</v>
      </c>
      <c r="K889">
        <v>855000</v>
      </c>
      <c r="L889">
        <v>470250</v>
      </c>
      <c r="M889">
        <v>384750</v>
      </c>
      <c r="N889" t="s">
        <v>49</v>
      </c>
      <c r="O889" t="s">
        <v>23</v>
      </c>
      <c r="P889" t="s">
        <v>24</v>
      </c>
      <c r="Q889" t="str">
        <f>TEXT(clean_data[[#This Row],[Date]],"mmm")</f>
        <v>Apr</v>
      </c>
      <c r="R889">
        <f>YEAR(clean_data[[#This Row],[Date]])</f>
        <v>2024</v>
      </c>
      <c r="S889" s="2">
        <f>clean_data[[#This Row],[Profit]]/clean_data[[#This Row],[Revenue]]</f>
        <v>0.45</v>
      </c>
      <c r="T889" t="str" cm="1">
        <f t="array" ref="T889">_xlfn.IFS(clean_data[[#This Row],[Revenue]]&lt;300000,"Small",
     clean_data[[#This Row],[Revenue]]&lt;700000,"Medium",
     TRUE,"Large")</f>
        <v>Large</v>
      </c>
      <c r="U889" t="str" cm="1">
        <f t="array" ref="U889">_xlfn.IFS(clean_data[[#This Row],[profit margin%]]&lt;0.5,"Low Profit",
     clean_data[[#This Row],[profit margin%]]&lt;0.6,"Medium Profit",
     TRUE,"High Profit")</f>
        <v>Low Profit</v>
      </c>
      <c r="V889" t="str">
        <f>TEXT(clean_data[[#This Row],[Date]],"mmm-yyyy")</f>
        <v>Apr-2024</v>
      </c>
      <c r="W889" s="8">
        <f>EOMONTH(clean_data[[#This Row],[Date]],-1)+1</f>
        <v>45383</v>
      </c>
    </row>
    <row r="890" spans="1:23" x14ac:dyDescent="0.3">
      <c r="A890" t="s">
        <v>962</v>
      </c>
      <c r="B890" s="1">
        <v>45201</v>
      </c>
      <c r="C890" t="s">
        <v>46</v>
      </c>
      <c r="D890" t="s">
        <v>47</v>
      </c>
      <c r="E890" t="s">
        <v>60</v>
      </c>
      <c r="F890" t="s">
        <v>33</v>
      </c>
      <c r="G890" t="s">
        <v>39</v>
      </c>
      <c r="H890">
        <v>27</v>
      </c>
      <c r="I890">
        <v>5000</v>
      </c>
      <c r="J890">
        <v>15</v>
      </c>
      <c r="K890">
        <v>114750</v>
      </c>
      <c r="L890">
        <v>57375</v>
      </c>
      <c r="M890">
        <v>57375</v>
      </c>
      <c r="N890" t="s">
        <v>49</v>
      </c>
      <c r="O890" t="s">
        <v>44</v>
      </c>
      <c r="P890" t="s">
        <v>40</v>
      </c>
      <c r="Q890" t="str">
        <f>TEXT(clean_data[[#This Row],[Date]],"mmm")</f>
        <v>Oct</v>
      </c>
      <c r="R890">
        <f>YEAR(clean_data[[#This Row],[Date]])</f>
        <v>2023</v>
      </c>
      <c r="S890" s="2">
        <f>clean_data[[#This Row],[Profit]]/clean_data[[#This Row],[Revenue]]</f>
        <v>0.5</v>
      </c>
      <c r="T890" t="str" cm="1">
        <f t="array" ref="T890">_xlfn.IFS(clean_data[[#This Row],[Revenue]]&lt;300000,"Small",
     clean_data[[#This Row],[Revenue]]&lt;700000,"Medium",
     TRUE,"Large")</f>
        <v>Small</v>
      </c>
      <c r="U890" t="str" cm="1">
        <f t="array" ref="U890">_xlfn.IFS(clean_data[[#This Row],[profit margin%]]&lt;0.5,"Low Profit",
     clean_data[[#This Row],[profit margin%]]&lt;0.6,"Medium Profit",
     TRUE,"High Profit")</f>
        <v>Medium Profit</v>
      </c>
      <c r="V890" t="str">
        <f>TEXT(clean_data[[#This Row],[Date]],"mmm-yyyy")</f>
        <v>Oct-2023</v>
      </c>
      <c r="W890" s="8">
        <f>EOMONTH(clean_data[[#This Row],[Date]],-1)+1</f>
        <v>45200</v>
      </c>
    </row>
    <row r="891" spans="1:23" x14ac:dyDescent="0.3">
      <c r="A891" t="s">
        <v>963</v>
      </c>
      <c r="B891" s="1">
        <v>45194</v>
      </c>
      <c r="C891" t="s">
        <v>58</v>
      </c>
      <c r="D891" t="s">
        <v>64</v>
      </c>
      <c r="E891" t="s">
        <v>32</v>
      </c>
      <c r="F891" t="s">
        <v>20</v>
      </c>
      <c r="G891" t="s">
        <v>21</v>
      </c>
      <c r="H891">
        <v>7</v>
      </c>
      <c r="I891">
        <v>3500</v>
      </c>
      <c r="J891">
        <v>0</v>
      </c>
      <c r="K891">
        <v>24500</v>
      </c>
      <c r="L891">
        <v>9800</v>
      </c>
      <c r="M891">
        <v>14700</v>
      </c>
      <c r="N891" t="s">
        <v>30</v>
      </c>
      <c r="O891" t="s">
        <v>50</v>
      </c>
      <c r="P891" t="s">
        <v>24</v>
      </c>
      <c r="Q891" t="str">
        <f>TEXT(clean_data[[#This Row],[Date]],"mmm")</f>
        <v>Sep</v>
      </c>
      <c r="R891">
        <f>YEAR(clean_data[[#This Row],[Date]])</f>
        <v>2023</v>
      </c>
      <c r="S891" s="2">
        <f>clean_data[[#This Row],[Profit]]/clean_data[[#This Row],[Revenue]]</f>
        <v>0.6</v>
      </c>
      <c r="T891" t="str" cm="1">
        <f t="array" ref="T891">_xlfn.IFS(clean_data[[#This Row],[Revenue]]&lt;300000,"Small",
     clean_data[[#This Row],[Revenue]]&lt;700000,"Medium",
     TRUE,"Large")</f>
        <v>Small</v>
      </c>
      <c r="U891" t="str" cm="1">
        <f t="array" ref="U891">_xlfn.IFS(clean_data[[#This Row],[profit margin%]]&lt;0.5,"Low Profit",
     clean_data[[#This Row],[profit margin%]]&lt;0.6,"Medium Profit",
     TRUE,"High Profit")</f>
        <v>High Profit</v>
      </c>
      <c r="V891" t="str">
        <f>TEXT(clean_data[[#This Row],[Date]],"mmm-yyyy")</f>
        <v>Sep-2023</v>
      </c>
      <c r="W891" s="8">
        <f>EOMONTH(clean_data[[#This Row],[Date]],-1)+1</f>
        <v>45170</v>
      </c>
    </row>
    <row r="892" spans="1:23" x14ac:dyDescent="0.3">
      <c r="A892" t="s">
        <v>964</v>
      </c>
      <c r="B892" s="1">
        <v>45536</v>
      </c>
      <c r="C892" t="s">
        <v>46</v>
      </c>
      <c r="D892" t="s">
        <v>47</v>
      </c>
      <c r="E892" t="s">
        <v>70</v>
      </c>
      <c r="F892" t="s">
        <v>65</v>
      </c>
      <c r="G892" t="s">
        <v>79</v>
      </c>
      <c r="H892">
        <v>48</v>
      </c>
      <c r="I892">
        <v>900</v>
      </c>
      <c r="J892">
        <v>0</v>
      </c>
      <c r="K892">
        <v>43200</v>
      </c>
      <c r="L892">
        <v>19440</v>
      </c>
      <c r="M892">
        <v>23760</v>
      </c>
      <c r="N892" t="s">
        <v>49</v>
      </c>
      <c r="O892" t="s">
        <v>50</v>
      </c>
      <c r="P892" t="s">
        <v>24</v>
      </c>
      <c r="Q892" t="str">
        <f>TEXT(clean_data[[#This Row],[Date]],"mmm")</f>
        <v>Sep</v>
      </c>
      <c r="R892">
        <f>YEAR(clean_data[[#This Row],[Date]])</f>
        <v>2024</v>
      </c>
      <c r="S892" s="2">
        <f>clean_data[[#This Row],[Profit]]/clean_data[[#This Row],[Revenue]]</f>
        <v>0.55000000000000004</v>
      </c>
      <c r="T892" t="str" cm="1">
        <f t="array" ref="T892">_xlfn.IFS(clean_data[[#This Row],[Revenue]]&lt;300000,"Small",
     clean_data[[#This Row],[Revenue]]&lt;700000,"Medium",
     TRUE,"Large")</f>
        <v>Small</v>
      </c>
      <c r="U892" t="str" cm="1">
        <f t="array" ref="U892">_xlfn.IFS(clean_data[[#This Row],[profit margin%]]&lt;0.5,"Low Profit",
     clean_data[[#This Row],[profit margin%]]&lt;0.6,"Medium Profit",
     TRUE,"High Profit")</f>
        <v>Medium Profit</v>
      </c>
      <c r="V892" t="str">
        <f>TEXT(clean_data[[#This Row],[Date]],"mmm-yyyy")</f>
        <v>Sep-2024</v>
      </c>
      <c r="W892" s="8">
        <f>EOMONTH(clean_data[[#This Row],[Date]],-1)+1</f>
        <v>45536</v>
      </c>
    </row>
    <row r="893" spans="1:23" x14ac:dyDescent="0.3">
      <c r="A893" t="s">
        <v>965</v>
      </c>
      <c r="B893" s="1">
        <v>45123</v>
      </c>
      <c r="C893" t="s">
        <v>26</v>
      </c>
      <c r="D893" t="s">
        <v>69</v>
      </c>
      <c r="E893" t="s">
        <v>19</v>
      </c>
      <c r="F893" t="s">
        <v>20</v>
      </c>
      <c r="G893" t="s">
        <v>53</v>
      </c>
      <c r="H893">
        <v>12</v>
      </c>
      <c r="I893">
        <v>600</v>
      </c>
      <c r="J893">
        <v>5</v>
      </c>
      <c r="K893">
        <v>6840</v>
      </c>
      <c r="L893">
        <v>2736</v>
      </c>
      <c r="M893">
        <v>4104</v>
      </c>
      <c r="N893" t="s">
        <v>30</v>
      </c>
      <c r="O893" t="s">
        <v>50</v>
      </c>
      <c r="P893" t="s">
        <v>24</v>
      </c>
      <c r="Q893" t="str">
        <f>TEXT(clean_data[[#This Row],[Date]],"mmm")</f>
        <v>Jul</v>
      </c>
      <c r="R893">
        <f>YEAR(clean_data[[#This Row],[Date]])</f>
        <v>2023</v>
      </c>
      <c r="S893" s="2">
        <f>clean_data[[#This Row],[Profit]]/clean_data[[#This Row],[Revenue]]</f>
        <v>0.6</v>
      </c>
      <c r="T893" t="str" cm="1">
        <f t="array" ref="T893">_xlfn.IFS(clean_data[[#This Row],[Revenue]]&lt;300000,"Small",
     clean_data[[#This Row],[Revenue]]&lt;700000,"Medium",
     TRUE,"Large")</f>
        <v>Small</v>
      </c>
      <c r="U893" t="str" cm="1">
        <f t="array" ref="U893">_xlfn.IFS(clean_data[[#This Row],[profit margin%]]&lt;0.5,"Low Profit",
     clean_data[[#This Row],[profit margin%]]&lt;0.6,"Medium Profit",
     TRUE,"High Profit")</f>
        <v>High Profit</v>
      </c>
      <c r="V893" t="str">
        <f>TEXT(clean_data[[#This Row],[Date]],"mmm-yyyy")</f>
        <v>Jul-2023</v>
      </c>
      <c r="W893" s="8">
        <f>EOMONTH(clean_data[[#This Row],[Date]],-1)+1</f>
        <v>45108</v>
      </c>
    </row>
    <row r="894" spans="1:23" x14ac:dyDescent="0.3">
      <c r="A894" t="s">
        <v>966</v>
      </c>
      <c r="B894" s="1">
        <v>45038</v>
      </c>
      <c r="C894" t="s">
        <v>58</v>
      </c>
      <c r="D894" t="s">
        <v>84</v>
      </c>
      <c r="E894" t="s">
        <v>60</v>
      </c>
      <c r="F894" t="s">
        <v>28</v>
      </c>
      <c r="G894" t="s">
        <v>29</v>
      </c>
      <c r="H894">
        <v>40</v>
      </c>
      <c r="I894">
        <v>15000</v>
      </c>
      <c r="J894">
        <v>5</v>
      </c>
      <c r="K894">
        <v>570000</v>
      </c>
      <c r="L894">
        <v>313500</v>
      </c>
      <c r="M894">
        <v>256500</v>
      </c>
      <c r="N894" t="s">
        <v>22</v>
      </c>
      <c r="O894" t="s">
        <v>44</v>
      </c>
      <c r="P894" t="s">
        <v>24</v>
      </c>
      <c r="Q894" t="str">
        <f>TEXT(clean_data[[#This Row],[Date]],"mmm")</f>
        <v>Apr</v>
      </c>
      <c r="R894">
        <f>YEAR(clean_data[[#This Row],[Date]])</f>
        <v>2023</v>
      </c>
      <c r="S894" s="2">
        <f>clean_data[[#This Row],[Profit]]/clean_data[[#This Row],[Revenue]]</f>
        <v>0.45</v>
      </c>
      <c r="T894" t="str" cm="1">
        <f t="array" ref="T894">_xlfn.IFS(clean_data[[#This Row],[Revenue]]&lt;300000,"Small",
     clean_data[[#This Row],[Revenue]]&lt;700000,"Medium",
     TRUE,"Large")</f>
        <v>Medium</v>
      </c>
      <c r="U894" t="str" cm="1">
        <f t="array" ref="U894">_xlfn.IFS(clean_data[[#This Row],[profit margin%]]&lt;0.5,"Low Profit",
     clean_data[[#This Row],[profit margin%]]&lt;0.6,"Medium Profit",
     TRUE,"High Profit")</f>
        <v>Low Profit</v>
      </c>
      <c r="V894" t="str">
        <f>TEXT(clean_data[[#This Row],[Date]],"mmm-yyyy")</f>
        <v>Apr-2023</v>
      </c>
      <c r="W894" s="8">
        <f>EOMONTH(clean_data[[#This Row],[Date]],-1)+1</f>
        <v>45017</v>
      </c>
    </row>
    <row r="895" spans="1:23" x14ac:dyDescent="0.3">
      <c r="A895" t="s">
        <v>967</v>
      </c>
      <c r="B895" s="1">
        <v>44989</v>
      </c>
      <c r="C895" t="s">
        <v>46</v>
      </c>
      <c r="D895" t="s">
        <v>55</v>
      </c>
      <c r="E895" t="s">
        <v>56</v>
      </c>
      <c r="F895" t="s">
        <v>33</v>
      </c>
      <c r="G895" t="s">
        <v>76</v>
      </c>
      <c r="H895">
        <v>10</v>
      </c>
      <c r="I895">
        <v>8500</v>
      </c>
      <c r="J895">
        <v>15</v>
      </c>
      <c r="K895">
        <v>72250</v>
      </c>
      <c r="L895">
        <v>36125</v>
      </c>
      <c r="M895">
        <v>36125</v>
      </c>
      <c r="N895" t="s">
        <v>22</v>
      </c>
      <c r="O895" t="s">
        <v>44</v>
      </c>
      <c r="P895" t="s">
        <v>24</v>
      </c>
      <c r="Q895" t="str">
        <f>TEXT(clean_data[[#This Row],[Date]],"mmm")</f>
        <v>Mar</v>
      </c>
      <c r="R895">
        <f>YEAR(clean_data[[#This Row],[Date]])</f>
        <v>2023</v>
      </c>
      <c r="S895" s="2">
        <f>clean_data[[#This Row],[Profit]]/clean_data[[#This Row],[Revenue]]</f>
        <v>0.5</v>
      </c>
      <c r="T895" t="str" cm="1">
        <f t="array" ref="T895">_xlfn.IFS(clean_data[[#This Row],[Revenue]]&lt;300000,"Small",
     clean_data[[#This Row],[Revenue]]&lt;700000,"Medium",
     TRUE,"Large")</f>
        <v>Small</v>
      </c>
      <c r="U895" t="str" cm="1">
        <f t="array" ref="U895">_xlfn.IFS(clean_data[[#This Row],[profit margin%]]&lt;0.5,"Low Profit",
     clean_data[[#This Row],[profit margin%]]&lt;0.6,"Medium Profit",
     TRUE,"High Profit")</f>
        <v>Medium Profit</v>
      </c>
      <c r="V895" t="str">
        <f>TEXT(clean_data[[#This Row],[Date]],"mmm-yyyy")</f>
        <v>Mar-2023</v>
      </c>
      <c r="W895" s="8">
        <f>EOMONTH(clean_data[[#This Row],[Date]],-1)+1</f>
        <v>44986</v>
      </c>
    </row>
    <row r="896" spans="1:23" x14ac:dyDescent="0.3">
      <c r="A896" t="s">
        <v>968</v>
      </c>
      <c r="B896" s="1">
        <v>44740</v>
      </c>
      <c r="C896" t="s">
        <v>26</v>
      </c>
      <c r="D896" t="s">
        <v>69</v>
      </c>
      <c r="E896" t="s">
        <v>32</v>
      </c>
      <c r="F896" t="s">
        <v>33</v>
      </c>
      <c r="G896" t="s">
        <v>76</v>
      </c>
      <c r="H896">
        <v>15</v>
      </c>
      <c r="I896">
        <v>8500</v>
      </c>
      <c r="J896">
        <v>10</v>
      </c>
      <c r="K896">
        <v>114750</v>
      </c>
      <c r="L896">
        <v>57375</v>
      </c>
      <c r="M896">
        <v>57375</v>
      </c>
      <c r="N896" t="s">
        <v>49</v>
      </c>
      <c r="O896" t="s">
        <v>35</v>
      </c>
      <c r="P896" t="s">
        <v>24</v>
      </c>
      <c r="Q896" t="str">
        <f>TEXT(clean_data[[#This Row],[Date]],"mmm")</f>
        <v>Jun</v>
      </c>
      <c r="R896">
        <f>YEAR(clean_data[[#This Row],[Date]])</f>
        <v>2022</v>
      </c>
      <c r="S896" s="2">
        <f>clean_data[[#This Row],[Profit]]/clean_data[[#This Row],[Revenue]]</f>
        <v>0.5</v>
      </c>
      <c r="T896" t="str" cm="1">
        <f t="array" ref="T896">_xlfn.IFS(clean_data[[#This Row],[Revenue]]&lt;300000,"Small",
     clean_data[[#This Row],[Revenue]]&lt;700000,"Medium",
     TRUE,"Large")</f>
        <v>Small</v>
      </c>
      <c r="U896" t="str" cm="1">
        <f t="array" ref="U896">_xlfn.IFS(clean_data[[#This Row],[profit margin%]]&lt;0.5,"Low Profit",
     clean_data[[#This Row],[profit margin%]]&lt;0.6,"Medium Profit",
     TRUE,"High Profit")</f>
        <v>Medium Profit</v>
      </c>
      <c r="V896" t="str">
        <f>TEXT(clean_data[[#This Row],[Date]],"mmm-yyyy")</f>
        <v>Jun-2022</v>
      </c>
      <c r="W896" s="8">
        <f>EOMONTH(clean_data[[#This Row],[Date]],-1)+1</f>
        <v>44713</v>
      </c>
    </row>
    <row r="897" spans="1:23" x14ac:dyDescent="0.3">
      <c r="A897" t="s">
        <v>969</v>
      </c>
      <c r="B897" s="1">
        <v>45549</v>
      </c>
      <c r="C897" t="s">
        <v>26</v>
      </c>
      <c r="D897" t="s">
        <v>69</v>
      </c>
      <c r="E897" t="s">
        <v>52</v>
      </c>
      <c r="F897" t="s">
        <v>33</v>
      </c>
      <c r="G897" t="s">
        <v>34</v>
      </c>
      <c r="H897">
        <v>18</v>
      </c>
      <c r="I897">
        <v>25000</v>
      </c>
      <c r="J897">
        <v>10</v>
      </c>
      <c r="K897">
        <v>405000</v>
      </c>
      <c r="L897">
        <v>202500</v>
      </c>
      <c r="M897">
        <v>202500</v>
      </c>
      <c r="N897" t="s">
        <v>30</v>
      </c>
      <c r="O897" t="s">
        <v>50</v>
      </c>
      <c r="P897" t="s">
        <v>24</v>
      </c>
      <c r="Q897" t="str">
        <f>TEXT(clean_data[[#This Row],[Date]],"mmm")</f>
        <v>Sep</v>
      </c>
      <c r="R897">
        <f>YEAR(clean_data[[#This Row],[Date]])</f>
        <v>2024</v>
      </c>
      <c r="S897" s="2">
        <f>clean_data[[#This Row],[Profit]]/clean_data[[#This Row],[Revenue]]</f>
        <v>0.5</v>
      </c>
      <c r="T897" t="str" cm="1">
        <f t="array" ref="T897">_xlfn.IFS(clean_data[[#This Row],[Revenue]]&lt;300000,"Small",
     clean_data[[#This Row],[Revenue]]&lt;700000,"Medium",
     TRUE,"Large")</f>
        <v>Medium</v>
      </c>
      <c r="U897" t="str" cm="1">
        <f t="array" ref="U897">_xlfn.IFS(clean_data[[#This Row],[profit margin%]]&lt;0.5,"Low Profit",
     clean_data[[#This Row],[profit margin%]]&lt;0.6,"Medium Profit",
     TRUE,"High Profit")</f>
        <v>Medium Profit</v>
      </c>
      <c r="V897" t="str">
        <f>TEXT(clean_data[[#This Row],[Date]],"mmm-yyyy")</f>
        <v>Sep-2024</v>
      </c>
      <c r="W897" s="8">
        <f>EOMONTH(clean_data[[#This Row],[Date]],-1)+1</f>
        <v>45536</v>
      </c>
    </row>
    <row r="898" spans="1:23" x14ac:dyDescent="0.3">
      <c r="A898" t="s">
        <v>970</v>
      </c>
      <c r="B898" s="1">
        <v>44657</v>
      </c>
      <c r="C898" t="s">
        <v>26</v>
      </c>
      <c r="D898" t="s">
        <v>27</v>
      </c>
      <c r="E898" t="s">
        <v>56</v>
      </c>
      <c r="F898" t="s">
        <v>33</v>
      </c>
      <c r="G898" t="s">
        <v>76</v>
      </c>
      <c r="H898">
        <v>19</v>
      </c>
      <c r="I898">
        <v>8500</v>
      </c>
      <c r="J898">
        <v>15</v>
      </c>
      <c r="K898">
        <v>137275</v>
      </c>
      <c r="L898">
        <v>68637.5</v>
      </c>
      <c r="M898">
        <v>68637.5</v>
      </c>
      <c r="N898" t="s">
        <v>22</v>
      </c>
      <c r="O898" t="s">
        <v>35</v>
      </c>
      <c r="P898" t="s">
        <v>24</v>
      </c>
      <c r="Q898" t="str">
        <f>TEXT(clean_data[[#This Row],[Date]],"mmm")</f>
        <v>Apr</v>
      </c>
      <c r="R898">
        <f>YEAR(clean_data[[#This Row],[Date]])</f>
        <v>2022</v>
      </c>
      <c r="S898" s="2">
        <f>clean_data[[#This Row],[Profit]]/clean_data[[#This Row],[Revenue]]</f>
        <v>0.5</v>
      </c>
      <c r="T898" t="str" cm="1">
        <f t="array" ref="T898">_xlfn.IFS(clean_data[[#This Row],[Revenue]]&lt;300000,"Small",
     clean_data[[#This Row],[Revenue]]&lt;700000,"Medium",
     TRUE,"Large")</f>
        <v>Small</v>
      </c>
      <c r="U898" t="str" cm="1">
        <f t="array" ref="U898">_xlfn.IFS(clean_data[[#This Row],[profit margin%]]&lt;0.5,"Low Profit",
     clean_data[[#This Row],[profit margin%]]&lt;0.6,"Medium Profit",
     TRUE,"High Profit")</f>
        <v>Medium Profit</v>
      </c>
      <c r="V898" t="str">
        <f>TEXT(clean_data[[#This Row],[Date]],"mmm-yyyy")</f>
        <v>Apr-2022</v>
      </c>
      <c r="W898" s="8">
        <f>EOMONTH(clean_data[[#This Row],[Date]],-1)+1</f>
        <v>44652</v>
      </c>
    </row>
    <row r="899" spans="1:23" x14ac:dyDescent="0.3">
      <c r="A899" t="s">
        <v>971</v>
      </c>
      <c r="B899" s="1">
        <v>45388</v>
      </c>
      <c r="C899" t="s">
        <v>17</v>
      </c>
      <c r="D899" t="s">
        <v>37</v>
      </c>
      <c r="E899" t="s">
        <v>70</v>
      </c>
      <c r="F899" t="s">
        <v>33</v>
      </c>
      <c r="G899" t="s">
        <v>34</v>
      </c>
      <c r="H899">
        <v>8</v>
      </c>
      <c r="I899">
        <v>25000</v>
      </c>
      <c r="J899">
        <v>0</v>
      </c>
      <c r="K899">
        <v>200000</v>
      </c>
      <c r="L899">
        <v>100000</v>
      </c>
      <c r="M899">
        <v>100000</v>
      </c>
      <c r="N899" t="s">
        <v>22</v>
      </c>
      <c r="O899" t="s">
        <v>67</v>
      </c>
      <c r="P899" t="s">
        <v>24</v>
      </c>
      <c r="Q899" t="str">
        <f>TEXT(clean_data[[#This Row],[Date]],"mmm")</f>
        <v>Apr</v>
      </c>
      <c r="R899">
        <f>YEAR(clean_data[[#This Row],[Date]])</f>
        <v>2024</v>
      </c>
      <c r="S899" s="2">
        <f>clean_data[[#This Row],[Profit]]/clean_data[[#This Row],[Revenue]]</f>
        <v>0.5</v>
      </c>
      <c r="T899" t="str" cm="1">
        <f t="array" ref="T899">_xlfn.IFS(clean_data[[#This Row],[Revenue]]&lt;300000,"Small",
     clean_data[[#This Row],[Revenue]]&lt;700000,"Medium",
     TRUE,"Large")</f>
        <v>Small</v>
      </c>
      <c r="U899" t="str" cm="1">
        <f t="array" ref="U899">_xlfn.IFS(clean_data[[#This Row],[profit margin%]]&lt;0.5,"Low Profit",
     clean_data[[#This Row],[profit margin%]]&lt;0.6,"Medium Profit",
     TRUE,"High Profit")</f>
        <v>Medium Profit</v>
      </c>
      <c r="V899" t="str">
        <f>TEXT(clean_data[[#This Row],[Date]],"mmm-yyyy")</f>
        <v>Apr-2024</v>
      </c>
      <c r="W899" s="8">
        <f>EOMONTH(clean_data[[#This Row],[Date]],-1)+1</f>
        <v>45383</v>
      </c>
    </row>
    <row r="900" spans="1:23" x14ac:dyDescent="0.3">
      <c r="A900" t="s">
        <v>972</v>
      </c>
      <c r="B900" s="1">
        <v>44815</v>
      </c>
      <c r="C900" t="s">
        <v>17</v>
      </c>
      <c r="D900" t="s">
        <v>42</v>
      </c>
      <c r="E900" t="s">
        <v>70</v>
      </c>
      <c r="F900" t="s">
        <v>33</v>
      </c>
      <c r="G900" t="s">
        <v>76</v>
      </c>
      <c r="H900">
        <v>42</v>
      </c>
      <c r="I900">
        <v>8500</v>
      </c>
      <c r="J900">
        <v>10</v>
      </c>
      <c r="K900">
        <v>321300</v>
      </c>
      <c r="L900">
        <v>160650</v>
      </c>
      <c r="M900">
        <v>160650</v>
      </c>
      <c r="N900" t="s">
        <v>22</v>
      </c>
      <c r="O900" t="s">
        <v>23</v>
      </c>
      <c r="P900" t="s">
        <v>24</v>
      </c>
      <c r="Q900" t="str">
        <f>TEXT(clean_data[[#This Row],[Date]],"mmm")</f>
        <v>Sep</v>
      </c>
      <c r="R900">
        <f>YEAR(clean_data[[#This Row],[Date]])</f>
        <v>2022</v>
      </c>
      <c r="S900" s="2">
        <f>clean_data[[#This Row],[Profit]]/clean_data[[#This Row],[Revenue]]</f>
        <v>0.5</v>
      </c>
      <c r="T900" t="str" cm="1">
        <f t="array" ref="T900">_xlfn.IFS(clean_data[[#This Row],[Revenue]]&lt;300000,"Small",
     clean_data[[#This Row],[Revenue]]&lt;700000,"Medium",
     TRUE,"Large")</f>
        <v>Medium</v>
      </c>
      <c r="U900" t="str" cm="1">
        <f t="array" ref="U900">_xlfn.IFS(clean_data[[#This Row],[profit margin%]]&lt;0.5,"Low Profit",
     clean_data[[#This Row],[profit margin%]]&lt;0.6,"Medium Profit",
     TRUE,"High Profit")</f>
        <v>Medium Profit</v>
      </c>
      <c r="V900" t="str">
        <f>TEXT(clean_data[[#This Row],[Date]],"mmm-yyyy")</f>
        <v>Sep-2022</v>
      </c>
      <c r="W900" s="8">
        <f>EOMONTH(clean_data[[#This Row],[Date]],-1)+1</f>
        <v>44805</v>
      </c>
    </row>
    <row r="901" spans="1:23" x14ac:dyDescent="0.3">
      <c r="A901" t="s">
        <v>973</v>
      </c>
      <c r="B901" s="1">
        <v>44716</v>
      </c>
      <c r="C901" t="s">
        <v>46</v>
      </c>
      <c r="D901" t="s">
        <v>47</v>
      </c>
      <c r="E901" t="s">
        <v>56</v>
      </c>
      <c r="F901" t="s">
        <v>20</v>
      </c>
      <c r="G901" t="s">
        <v>74</v>
      </c>
      <c r="H901">
        <v>46</v>
      </c>
      <c r="I901">
        <v>4200</v>
      </c>
      <c r="J901">
        <v>15</v>
      </c>
      <c r="K901">
        <v>164220</v>
      </c>
      <c r="L901">
        <v>65688</v>
      </c>
      <c r="M901">
        <v>98532</v>
      </c>
      <c r="N901" t="s">
        <v>30</v>
      </c>
      <c r="O901" t="s">
        <v>67</v>
      </c>
      <c r="P901" t="s">
        <v>24</v>
      </c>
      <c r="Q901" t="str">
        <f>TEXT(clean_data[[#This Row],[Date]],"mmm")</f>
        <v>Jun</v>
      </c>
      <c r="R901">
        <f>YEAR(clean_data[[#This Row],[Date]])</f>
        <v>2022</v>
      </c>
      <c r="S901" s="2">
        <f>clean_data[[#This Row],[Profit]]/clean_data[[#This Row],[Revenue]]</f>
        <v>0.6</v>
      </c>
      <c r="T901" t="str" cm="1">
        <f t="array" ref="T901">_xlfn.IFS(clean_data[[#This Row],[Revenue]]&lt;300000,"Small",
     clean_data[[#This Row],[Revenue]]&lt;700000,"Medium",
     TRUE,"Large")</f>
        <v>Small</v>
      </c>
      <c r="U901" t="str" cm="1">
        <f t="array" ref="U901">_xlfn.IFS(clean_data[[#This Row],[profit margin%]]&lt;0.5,"Low Profit",
     clean_data[[#This Row],[profit margin%]]&lt;0.6,"Medium Profit",
     TRUE,"High Profit")</f>
        <v>High Profit</v>
      </c>
      <c r="V901" t="str">
        <f>TEXT(clean_data[[#This Row],[Date]],"mmm-yyyy")</f>
        <v>Jun-2022</v>
      </c>
      <c r="W901" s="8">
        <f>EOMONTH(clean_data[[#This Row],[Date]],-1)+1</f>
        <v>44713</v>
      </c>
    </row>
    <row r="902" spans="1:23" x14ac:dyDescent="0.3">
      <c r="A902" t="s">
        <v>974</v>
      </c>
      <c r="B902" s="1">
        <v>45209</v>
      </c>
      <c r="C902" t="s">
        <v>58</v>
      </c>
      <c r="D902" t="s">
        <v>84</v>
      </c>
      <c r="E902" t="s">
        <v>111</v>
      </c>
      <c r="F902" t="s">
        <v>20</v>
      </c>
      <c r="G902" t="s">
        <v>21</v>
      </c>
      <c r="H902">
        <v>9</v>
      </c>
      <c r="I902">
        <v>3500</v>
      </c>
      <c r="J902">
        <v>5</v>
      </c>
      <c r="K902">
        <v>29925</v>
      </c>
      <c r="L902">
        <v>11970</v>
      </c>
      <c r="M902">
        <v>17955</v>
      </c>
      <c r="N902" t="s">
        <v>22</v>
      </c>
      <c r="O902" t="s">
        <v>50</v>
      </c>
      <c r="P902" t="s">
        <v>24</v>
      </c>
      <c r="Q902" t="str">
        <f>TEXT(clean_data[[#This Row],[Date]],"mmm")</f>
        <v>Oct</v>
      </c>
      <c r="R902">
        <f>YEAR(clean_data[[#This Row],[Date]])</f>
        <v>2023</v>
      </c>
      <c r="S902" s="2">
        <f>clean_data[[#This Row],[Profit]]/clean_data[[#This Row],[Revenue]]</f>
        <v>0.6</v>
      </c>
      <c r="T902" t="str" cm="1">
        <f t="array" ref="T902">_xlfn.IFS(clean_data[[#This Row],[Revenue]]&lt;300000,"Small",
     clean_data[[#This Row],[Revenue]]&lt;700000,"Medium",
     TRUE,"Large")</f>
        <v>Small</v>
      </c>
      <c r="U902" t="str" cm="1">
        <f t="array" ref="U902">_xlfn.IFS(clean_data[[#This Row],[profit margin%]]&lt;0.5,"Low Profit",
     clean_data[[#This Row],[profit margin%]]&lt;0.6,"Medium Profit",
     TRUE,"High Profit")</f>
        <v>High Profit</v>
      </c>
      <c r="V902" t="str">
        <f>TEXT(clean_data[[#This Row],[Date]],"mmm-yyyy")</f>
        <v>Oct-2023</v>
      </c>
      <c r="W902" s="8">
        <f>EOMONTH(clean_data[[#This Row],[Date]],-1)+1</f>
        <v>45200</v>
      </c>
    </row>
    <row r="903" spans="1:23" x14ac:dyDescent="0.3">
      <c r="A903" t="s">
        <v>975</v>
      </c>
      <c r="B903" s="1">
        <v>45638</v>
      </c>
      <c r="C903" t="s">
        <v>17</v>
      </c>
      <c r="D903" t="s">
        <v>37</v>
      </c>
      <c r="E903" t="s">
        <v>52</v>
      </c>
      <c r="F903" t="s">
        <v>65</v>
      </c>
      <c r="G903" t="s">
        <v>117</v>
      </c>
      <c r="H903">
        <v>31</v>
      </c>
      <c r="I903">
        <v>1200</v>
      </c>
      <c r="J903">
        <v>15</v>
      </c>
      <c r="K903">
        <v>31620</v>
      </c>
      <c r="L903">
        <v>14229</v>
      </c>
      <c r="M903">
        <v>17391</v>
      </c>
      <c r="N903" t="s">
        <v>22</v>
      </c>
      <c r="O903" t="s">
        <v>35</v>
      </c>
      <c r="P903" t="s">
        <v>40</v>
      </c>
      <c r="Q903" t="str">
        <f>TEXT(clean_data[[#This Row],[Date]],"mmm")</f>
        <v>Dec</v>
      </c>
      <c r="R903">
        <f>YEAR(clean_data[[#This Row],[Date]])</f>
        <v>2024</v>
      </c>
      <c r="S903" s="2">
        <f>clean_data[[#This Row],[Profit]]/clean_data[[#This Row],[Revenue]]</f>
        <v>0.55000000000000004</v>
      </c>
      <c r="T903" t="str" cm="1">
        <f t="array" ref="T903">_xlfn.IFS(clean_data[[#This Row],[Revenue]]&lt;300000,"Small",
     clean_data[[#This Row],[Revenue]]&lt;700000,"Medium",
     TRUE,"Large")</f>
        <v>Small</v>
      </c>
      <c r="U903" t="str" cm="1">
        <f t="array" ref="U903">_xlfn.IFS(clean_data[[#This Row],[profit margin%]]&lt;0.5,"Low Profit",
     clean_data[[#This Row],[profit margin%]]&lt;0.6,"Medium Profit",
     TRUE,"High Profit")</f>
        <v>Medium Profit</v>
      </c>
      <c r="V903" t="str">
        <f>TEXT(clean_data[[#This Row],[Date]],"mmm-yyyy")</f>
        <v>Dec-2024</v>
      </c>
      <c r="W903" s="8">
        <f>EOMONTH(clean_data[[#This Row],[Date]],-1)+1</f>
        <v>45627</v>
      </c>
    </row>
    <row r="904" spans="1:23" x14ac:dyDescent="0.3">
      <c r="A904" t="s">
        <v>976</v>
      </c>
      <c r="B904" s="1">
        <v>44885</v>
      </c>
      <c r="C904" t="s">
        <v>17</v>
      </c>
      <c r="D904" t="s">
        <v>42</v>
      </c>
      <c r="E904" t="s">
        <v>78</v>
      </c>
      <c r="F904" t="s">
        <v>33</v>
      </c>
      <c r="G904" t="s">
        <v>39</v>
      </c>
      <c r="H904">
        <v>37</v>
      </c>
      <c r="I904">
        <v>5000</v>
      </c>
      <c r="J904">
        <v>0</v>
      </c>
      <c r="K904">
        <v>185000</v>
      </c>
      <c r="L904">
        <v>92500</v>
      </c>
      <c r="M904">
        <v>92500</v>
      </c>
      <c r="N904" t="s">
        <v>22</v>
      </c>
      <c r="O904" t="s">
        <v>23</v>
      </c>
      <c r="P904" t="s">
        <v>24</v>
      </c>
      <c r="Q904" t="str">
        <f>TEXT(clean_data[[#This Row],[Date]],"mmm")</f>
        <v>Nov</v>
      </c>
      <c r="R904">
        <f>YEAR(clean_data[[#This Row],[Date]])</f>
        <v>2022</v>
      </c>
      <c r="S904" s="2">
        <f>clean_data[[#This Row],[Profit]]/clean_data[[#This Row],[Revenue]]</f>
        <v>0.5</v>
      </c>
      <c r="T904" t="str" cm="1">
        <f t="array" ref="T904">_xlfn.IFS(clean_data[[#This Row],[Revenue]]&lt;300000,"Small",
     clean_data[[#This Row],[Revenue]]&lt;700000,"Medium",
     TRUE,"Large")</f>
        <v>Small</v>
      </c>
      <c r="U904" t="str" cm="1">
        <f t="array" ref="U904">_xlfn.IFS(clean_data[[#This Row],[profit margin%]]&lt;0.5,"Low Profit",
     clean_data[[#This Row],[profit margin%]]&lt;0.6,"Medium Profit",
     TRUE,"High Profit")</f>
        <v>Medium Profit</v>
      </c>
      <c r="V904" t="str">
        <f>TEXT(clean_data[[#This Row],[Date]],"mmm-yyyy")</f>
        <v>Nov-2022</v>
      </c>
      <c r="W904" s="8">
        <f>EOMONTH(clean_data[[#This Row],[Date]],-1)+1</f>
        <v>44866</v>
      </c>
    </row>
    <row r="905" spans="1:23" x14ac:dyDescent="0.3">
      <c r="A905" t="s">
        <v>977</v>
      </c>
      <c r="B905" s="1">
        <v>45526</v>
      </c>
      <c r="C905" t="s">
        <v>26</v>
      </c>
      <c r="D905" t="s">
        <v>27</v>
      </c>
      <c r="E905" t="s">
        <v>60</v>
      </c>
      <c r="F905" t="s">
        <v>65</v>
      </c>
      <c r="G905" t="s">
        <v>79</v>
      </c>
      <c r="H905">
        <v>50</v>
      </c>
      <c r="I905">
        <v>900</v>
      </c>
      <c r="J905">
        <v>15</v>
      </c>
      <c r="K905">
        <v>38250</v>
      </c>
      <c r="L905">
        <v>17212.5</v>
      </c>
      <c r="M905">
        <v>21037.5</v>
      </c>
      <c r="N905" t="s">
        <v>22</v>
      </c>
      <c r="O905" t="s">
        <v>50</v>
      </c>
      <c r="P905" t="s">
        <v>24</v>
      </c>
      <c r="Q905" t="str">
        <f>TEXT(clean_data[[#This Row],[Date]],"mmm")</f>
        <v>Aug</v>
      </c>
      <c r="R905">
        <f>YEAR(clean_data[[#This Row],[Date]])</f>
        <v>2024</v>
      </c>
      <c r="S905" s="2">
        <f>clean_data[[#This Row],[Profit]]/clean_data[[#This Row],[Revenue]]</f>
        <v>0.55000000000000004</v>
      </c>
      <c r="T905" t="str" cm="1">
        <f t="array" ref="T905">_xlfn.IFS(clean_data[[#This Row],[Revenue]]&lt;300000,"Small",
     clean_data[[#This Row],[Revenue]]&lt;700000,"Medium",
     TRUE,"Large")</f>
        <v>Small</v>
      </c>
      <c r="U905" t="str" cm="1">
        <f t="array" ref="U905">_xlfn.IFS(clean_data[[#This Row],[profit margin%]]&lt;0.5,"Low Profit",
     clean_data[[#This Row],[profit margin%]]&lt;0.6,"Medium Profit",
     TRUE,"High Profit")</f>
        <v>Medium Profit</v>
      </c>
      <c r="V905" t="str">
        <f>TEXT(clean_data[[#This Row],[Date]],"mmm-yyyy")</f>
        <v>Aug-2024</v>
      </c>
      <c r="W905" s="8">
        <f>EOMONTH(clean_data[[#This Row],[Date]],-1)+1</f>
        <v>45505</v>
      </c>
    </row>
    <row r="906" spans="1:23" x14ac:dyDescent="0.3">
      <c r="A906" t="s">
        <v>978</v>
      </c>
      <c r="B906" s="1">
        <v>44963</v>
      </c>
      <c r="C906" t="s">
        <v>26</v>
      </c>
      <c r="D906" t="s">
        <v>27</v>
      </c>
      <c r="E906" t="s">
        <v>38</v>
      </c>
      <c r="F906" t="s">
        <v>20</v>
      </c>
      <c r="G906" t="s">
        <v>53</v>
      </c>
      <c r="H906">
        <v>45</v>
      </c>
      <c r="I906">
        <v>600</v>
      </c>
      <c r="J906">
        <v>0</v>
      </c>
      <c r="K906">
        <v>27000</v>
      </c>
      <c r="L906">
        <v>10800</v>
      </c>
      <c r="M906">
        <v>16200</v>
      </c>
      <c r="N906" t="s">
        <v>49</v>
      </c>
      <c r="O906" t="s">
        <v>67</v>
      </c>
      <c r="P906" t="s">
        <v>40</v>
      </c>
      <c r="Q906" t="str">
        <f>TEXT(clean_data[[#This Row],[Date]],"mmm")</f>
        <v>Feb</v>
      </c>
      <c r="R906">
        <f>YEAR(clean_data[[#This Row],[Date]])</f>
        <v>2023</v>
      </c>
      <c r="S906" s="2">
        <f>clean_data[[#This Row],[Profit]]/clean_data[[#This Row],[Revenue]]</f>
        <v>0.6</v>
      </c>
      <c r="T906" t="str" cm="1">
        <f t="array" ref="T906">_xlfn.IFS(clean_data[[#This Row],[Revenue]]&lt;300000,"Small",
     clean_data[[#This Row],[Revenue]]&lt;700000,"Medium",
     TRUE,"Large")</f>
        <v>Small</v>
      </c>
      <c r="U906" t="str" cm="1">
        <f t="array" ref="U906">_xlfn.IFS(clean_data[[#This Row],[profit margin%]]&lt;0.5,"Low Profit",
     clean_data[[#This Row],[profit margin%]]&lt;0.6,"Medium Profit",
     TRUE,"High Profit")</f>
        <v>High Profit</v>
      </c>
      <c r="V906" t="str">
        <f>TEXT(clean_data[[#This Row],[Date]],"mmm-yyyy")</f>
        <v>Feb-2023</v>
      </c>
      <c r="W906" s="8">
        <f>EOMONTH(clean_data[[#This Row],[Date]],-1)+1</f>
        <v>44958</v>
      </c>
    </row>
    <row r="907" spans="1:23" x14ac:dyDescent="0.3">
      <c r="A907" t="s">
        <v>979</v>
      </c>
      <c r="B907" s="1">
        <v>45574</v>
      </c>
      <c r="C907" t="s">
        <v>17</v>
      </c>
      <c r="D907" t="s">
        <v>18</v>
      </c>
      <c r="E907" t="s">
        <v>73</v>
      </c>
      <c r="F907" t="s">
        <v>33</v>
      </c>
      <c r="G907" t="s">
        <v>43</v>
      </c>
      <c r="H907">
        <v>8</v>
      </c>
      <c r="I907">
        <v>4000</v>
      </c>
      <c r="J907">
        <v>5</v>
      </c>
      <c r="K907">
        <v>30400</v>
      </c>
      <c r="L907">
        <v>15200</v>
      </c>
      <c r="M907">
        <v>15200</v>
      </c>
      <c r="N907" t="s">
        <v>30</v>
      </c>
      <c r="O907" t="s">
        <v>67</v>
      </c>
      <c r="P907" t="s">
        <v>24</v>
      </c>
      <c r="Q907" t="str">
        <f>TEXT(clean_data[[#This Row],[Date]],"mmm")</f>
        <v>Oct</v>
      </c>
      <c r="R907">
        <f>YEAR(clean_data[[#This Row],[Date]])</f>
        <v>2024</v>
      </c>
      <c r="S907" s="2">
        <f>clean_data[[#This Row],[Profit]]/clean_data[[#This Row],[Revenue]]</f>
        <v>0.5</v>
      </c>
      <c r="T907" t="str" cm="1">
        <f t="array" ref="T907">_xlfn.IFS(clean_data[[#This Row],[Revenue]]&lt;300000,"Small",
     clean_data[[#This Row],[Revenue]]&lt;700000,"Medium",
     TRUE,"Large")</f>
        <v>Small</v>
      </c>
      <c r="U907" t="str" cm="1">
        <f t="array" ref="U907">_xlfn.IFS(clean_data[[#This Row],[profit margin%]]&lt;0.5,"Low Profit",
     clean_data[[#This Row],[profit margin%]]&lt;0.6,"Medium Profit",
     TRUE,"High Profit")</f>
        <v>Medium Profit</v>
      </c>
      <c r="V907" t="str">
        <f>TEXT(clean_data[[#This Row],[Date]],"mmm-yyyy")</f>
        <v>Oct-2024</v>
      </c>
      <c r="W907" s="8">
        <f>EOMONTH(clean_data[[#This Row],[Date]],-1)+1</f>
        <v>45566</v>
      </c>
    </row>
    <row r="908" spans="1:23" x14ac:dyDescent="0.3">
      <c r="A908" t="s">
        <v>980</v>
      </c>
      <c r="B908" s="1">
        <v>45026</v>
      </c>
      <c r="C908" t="s">
        <v>26</v>
      </c>
      <c r="D908" t="s">
        <v>27</v>
      </c>
      <c r="E908" t="s">
        <v>73</v>
      </c>
      <c r="F908" t="s">
        <v>20</v>
      </c>
      <c r="G908" t="s">
        <v>61</v>
      </c>
      <c r="H908">
        <v>4</v>
      </c>
      <c r="I908">
        <v>800</v>
      </c>
      <c r="J908">
        <v>5</v>
      </c>
      <c r="K908">
        <v>3040</v>
      </c>
      <c r="L908">
        <v>1216</v>
      </c>
      <c r="M908">
        <v>1824</v>
      </c>
      <c r="N908" t="s">
        <v>22</v>
      </c>
      <c r="O908" t="s">
        <v>35</v>
      </c>
      <c r="P908" t="s">
        <v>24</v>
      </c>
      <c r="Q908" t="str">
        <f>TEXT(clean_data[[#This Row],[Date]],"mmm")</f>
        <v>Apr</v>
      </c>
      <c r="R908">
        <f>YEAR(clean_data[[#This Row],[Date]])</f>
        <v>2023</v>
      </c>
      <c r="S908" s="2">
        <f>clean_data[[#This Row],[Profit]]/clean_data[[#This Row],[Revenue]]</f>
        <v>0.6</v>
      </c>
      <c r="T908" t="str" cm="1">
        <f t="array" ref="T908">_xlfn.IFS(clean_data[[#This Row],[Revenue]]&lt;300000,"Small",
     clean_data[[#This Row],[Revenue]]&lt;700000,"Medium",
     TRUE,"Large")</f>
        <v>Small</v>
      </c>
      <c r="U908" t="str" cm="1">
        <f t="array" ref="U908">_xlfn.IFS(clean_data[[#This Row],[profit margin%]]&lt;0.5,"Low Profit",
     clean_data[[#This Row],[profit margin%]]&lt;0.6,"Medium Profit",
     TRUE,"High Profit")</f>
        <v>High Profit</v>
      </c>
      <c r="V908" t="str">
        <f>TEXT(clean_data[[#This Row],[Date]],"mmm-yyyy")</f>
        <v>Apr-2023</v>
      </c>
      <c r="W908" s="8">
        <f>EOMONTH(clean_data[[#This Row],[Date]],-1)+1</f>
        <v>45017</v>
      </c>
    </row>
    <row r="909" spans="1:23" x14ac:dyDescent="0.3">
      <c r="A909" t="s">
        <v>981</v>
      </c>
      <c r="B909" s="1">
        <v>44582</v>
      </c>
      <c r="C909" t="s">
        <v>17</v>
      </c>
      <c r="D909" t="s">
        <v>42</v>
      </c>
      <c r="E909" t="s">
        <v>38</v>
      </c>
      <c r="F909" t="s">
        <v>33</v>
      </c>
      <c r="G909" t="s">
        <v>34</v>
      </c>
      <c r="H909">
        <v>6</v>
      </c>
      <c r="I909">
        <v>25000</v>
      </c>
      <c r="J909">
        <v>20</v>
      </c>
      <c r="K909">
        <v>120000</v>
      </c>
      <c r="L909">
        <v>60000</v>
      </c>
      <c r="M909">
        <v>60000</v>
      </c>
      <c r="N909" t="s">
        <v>22</v>
      </c>
      <c r="O909" t="s">
        <v>44</v>
      </c>
      <c r="P909" t="s">
        <v>24</v>
      </c>
      <c r="Q909" t="str">
        <f>TEXT(clean_data[[#This Row],[Date]],"mmm")</f>
        <v>Jan</v>
      </c>
      <c r="R909">
        <f>YEAR(clean_data[[#This Row],[Date]])</f>
        <v>2022</v>
      </c>
      <c r="S909" s="2">
        <f>clean_data[[#This Row],[Profit]]/clean_data[[#This Row],[Revenue]]</f>
        <v>0.5</v>
      </c>
      <c r="T909" t="str" cm="1">
        <f t="array" ref="T909">_xlfn.IFS(clean_data[[#This Row],[Revenue]]&lt;300000,"Small",
     clean_data[[#This Row],[Revenue]]&lt;700000,"Medium",
     TRUE,"Large")</f>
        <v>Small</v>
      </c>
      <c r="U909" t="str" cm="1">
        <f t="array" ref="U909">_xlfn.IFS(clean_data[[#This Row],[profit margin%]]&lt;0.5,"Low Profit",
     clean_data[[#This Row],[profit margin%]]&lt;0.6,"Medium Profit",
     TRUE,"High Profit")</f>
        <v>Medium Profit</v>
      </c>
      <c r="V909" t="str">
        <f>TEXT(clean_data[[#This Row],[Date]],"mmm-yyyy")</f>
        <v>Jan-2022</v>
      </c>
      <c r="W909" s="8">
        <f>EOMONTH(clean_data[[#This Row],[Date]],-1)+1</f>
        <v>44562</v>
      </c>
    </row>
    <row r="910" spans="1:23" x14ac:dyDescent="0.3">
      <c r="A910" t="s">
        <v>982</v>
      </c>
      <c r="B910" s="1">
        <v>45371</v>
      </c>
      <c r="C910" t="s">
        <v>17</v>
      </c>
      <c r="D910" t="s">
        <v>37</v>
      </c>
      <c r="E910" t="s">
        <v>56</v>
      </c>
      <c r="F910" t="s">
        <v>28</v>
      </c>
      <c r="G910" t="s">
        <v>71</v>
      </c>
      <c r="H910">
        <v>15</v>
      </c>
      <c r="I910">
        <v>35000</v>
      </c>
      <c r="J910">
        <v>10</v>
      </c>
      <c r="K910">
        <v>472500</v>
      </c>
      <c r="L910">
        <v>259875</v>
      </c>
      <c r="M910">
        <v>212625</v>
      </c>
      <c r="N910" t="s">
        <v>49</v>
      </c>
      <c r="O910" t="s">
        <v>35</v>
      </c>
      <c r="P910" t="s">
        <v>24</v>
      </c>
      <c r="Q910" t="str">
        <f>TEXT(clean_data[[#This Row],[Date]],"mmm")</f>
        <v>Mar</v>
      </c>
      <c r="R910">
        <f>YEAR(clean_data[[#This Row],[Date]])</f>
        <v>2024</v>
      </c>
      <c r="S910" s="2">
        <f>clean_data[[#This Row],[Profit]]/clean_data[[#This Row],[Revenue]]</f>
        <v>0.45</v>
      </c>
      <c r="T910" t="str" cm="1">
        <f t="array" ref="T910">_xlfn.IFS(clean_data[[#This Row],[Revenue]]&lt;300000,"Small",
     clean_data[[#This Row],[Revenue]]&lt;700000,"Medium",
     TRUE,"Large")</f>
        <v>Medium</v>
      </c>
      <c r="U910" t="str" cm="1">
        <f t="array" ref="U910">_xlfn.IFS(clean_data[[#This Row],[profit margin%]]&lt;0.5,"Low Profit",
     clean_data[[#This Row],[profit margin%]]&lt;0.6,"Medium Profit",
     TRUE,"High Profit")</f>
        <v>Low Profit</v>
      </c>
      <c r="V910" t="str">
        <f>TEXT(clean_data[[#This Row],[Date]],"mmm-yyyy")</f>
        <v>Mar-2024</v>
      </c>
      <c r="W910" s="8">
        <f>EOMONTH(clean_data[[#This Row],[Date]],-1)+1</f>
        <v>45352</v>
      </c>
    </row>
    <row r="911" spans="1:23" x14ac:dyDescent="0.3">
      <c r="A911" t="s">
        <v>983</v>
      </c>
      <c r="B911" s="1">
        <v>45618</v>
      </c>
      <c r="C911" t="s">
        <v>26</v>
      </c>
      <c r="D911" t="s">
        <v>69</v>
      </c>
      <c r="E911" t="s">
        <v>73</v>
      </c>
      <c r="F911" t="s">
        <v>20</v>
      </c>
      <c r="G911" t="s">
        <v>115</v>
      </c>
      <c r="H911">
        <v>15</v>
      </c>
      <c r="I911">
        <v>2500</v>
      </c>
      <c r="J911">
        <v>10</v>
      </c>
      <c r="K911">
        <v>33750</v>
      </c>
      <c r="L911">
        <v>13500</v>
      </c>
      <c r="M911">
        <v>20250</v>
      </c>
      <c r="N911" t="s">
        <v>30</v>
      </c>
      <c r="O911" t="s">
        <v>67</v>
      </c>
      <c r="P911" t="s">
        <v>24</v>
      </c>
      <c r="Q911" t="str">
        <f>TEXT(clean_data[[#This Row],[Date]],"mmm")</f>
        <v>Nov</v>
      </c>
      <c r="R911">
        <f>YEAR(clean_data[[#This Row],[Date]])</f>
        <v>2024</v>
      </c>
      <c r="S911" s="2">
        <f>clean_data[[#This Row],[Profit]]/clean_data[[#This Row],[Revenue]]</f>
        <v>0.6</v>
      </c>
      <c r="T911" t="str" cm="1">
        <f t="array" ref="T911">_xlfn.IFS(clean_data[[#This Row],[Revenue]]&lt;300000,"Small",
     clean_data[[#This Row],[Revenue]]&lt;700000,"Medium",
     TRUE,"Large")</f>
        <v>Small</v>
      </c>
      <c r="U911" t="str" cm="1">
        <f t="array" ref="U911">_xlfn.IFS(clean_data[[#This Row],[profit margin%]]&lt;0.5,"Low Profit",
     clean_data[[#This Row],[profit margin%]]&lt;0.6,"Medium Profit",
     TRUE,"High Profit")</f>
        <v>High Profit</v>
      </c>
      <c r="V911" t="str">
        <f>TEXT(clean_data[[#This Row],[Date]],"mmm-yyyy")</f>
        <v>Nov-2024</v>
      </c>
      <c r="W911" s="8">
        <f>EOMONTH(clean_data[[#This Row],[Date]],-1)+1</f>
        <v>45597</v>
      </c>
    </row>
    <row r="912" spans="1:23" x14ac:dyDescent="0.3">
      <c r="A912" t="s">
        <v>984</v>
      </c>
      <c r="B912" s="1">
        <v>45327</v>
      </c>
      <c r="C912" t="s">
        <v>58</v>
      </c>
      <c r="D912" t="s">
        <v>84</v>
      </c>
      <c r="E912" t="s">
        <v>32</v>
      </c>
      <c r="F912" t="s">
        <v>33</v>
      </c>
      <c r="G912" t="s">
        <v>76</v>
      </c>
      <c r="H912">
        <v>31</v>
      </c>
      <c r="I912">
        <v>8500</v>
      </c>
      <c r="J912">
        <v>0</v>
      </c>
      <c r="K912">
        <v>263500</v>
      </c>
      <c r="L912">
        <v>131750</v>
      </c>
      <c r="M912">
        <v>131750</v>
      </c>
      <c r="N912" t="s">
        <v>30</v>
      </c>
      <c r="O912" t="s">
        <v>23</v>
      </c>
      <c r="P912" t="s">
        <v>24</v>
      </c>
      <c r="Q912" t="str">
        <f>TEXT(clean_data[[#This Row],[Date]],"mmm")</f>
        <v>Feb</v>
      </c>
      <c r="R912">
        <f>YEAR(clean_data[[#This Row],[Date]])</f>
        <v>2024</v>
      </c>
      <c r="S912" s="2">
        <f>clean_data[[#This Row],[Profit]]/clean_data[[#This Row],[Revenue]]</f>
        <v>0.5</v>
      </c>
      <c r="T912" t="str" cm="1">
        <f t="array" ref="T912">_xlfn.IFS(clean_data[[#This Row],[Revenue]]&lt;300000,"Small",
     clean_data[[#This Row],[Revenue]]&lt;700000,"Medium",
     TRUE,"Large")</f>
        <v>Small</v>
      </c>
      <c r="U912" t="str" cm="1">
        <f t="array" ref="U912">_xlfn.IFS(clean_data[[#This Row],[profit margin%]]&lt;0.5,"Low Profit",
     clean_data[[#This Row],[profit margin%]]&lt;0.6,"Medium Profit",
     TRUE,"High Profit")</f>
        <v>Medium Profit</v>
      </c>
      <c r="V912" t="str">
        <f>TEXT(clean_data[[#This Row],[Date]],"mmm-yyyy")</f>
        <v>Feb-2024</v>
      </c>
      <c r="W912" s="8">
        <f>EOMONTH(clean_data[[#This Row],[Date]],-1)+1</f>
        <v>45323</v>
      </c>
    </row>
    <row r="913" spans="1:23" x14ac:dyDescent="0.3">
      <c r="A913" t="s">
        <v>985</v>
      </c>
      <c r="B913" s="1">
        <v>44922</v>
      </c>
      <c r="C913" t="s">
        <v>46</v>
      </c>
      <c r="D913" t="s">
        <v>47</v>
      </c>
      <c r="E913" t="s">
        <v>38</v>
      </c>
      <c r="F913" t="s">
        <v>65</v>
      </c>
      <c r="G913" t="s">
        <v>104</v>
      </c>
      <c r="H913">
        <v>42</v>
      </c>
      <c r="I913">
        <v>3000</v>
      </c>
      <c r="J913">
        <v>10</v>
      </c>
      <c r="K913">
        <v>113400</v>
      </c>
      <c r="L913">
        <v>51030</v>
      </c>
      <c r="M913">
        <v>62370</v>
      </c>
      <c r="N913" t="s">
        <v>49</v>
      </c>
      <c r="O913" t="s">
        <v>44</v>
      </c>
      <c r="P913" t="s">
        <v>24</v>
      </c>
      <c r="Q913" t="str">
        <f>TEXT(clean_data[[#This Row],[Date]],"mmm")</f>
        <v>Dec</v>
      </c>
      <c r="R913">
        <f>YEAR(clean_data[[#This Row],[Date]])</f>
        <v>2022</v>
      </c>
      <c r="S913" s="2">
        <f>clean_data[[#This Row],[Profit]]/clean_data[[#This Row],[Revenue]]</f>
        <v>0.55000000000000004</v>
      </c>
      <c r="T913" t="str" cm="1">
        <f t="array" ref="T913">_xlfn.IFS(clean_data[[#This Row],[Revenue]]&lt;300000,"Small",
     clean_data[[#This Row],[Revenue]]&lt;700000,"Medium",
     TRUE,"Large")</f>
        <v>Small</v>
      </c>
      <c r="U913" t="str" cm="1">
        <f t="array" ref="U913">_xlfn.IFS(clean_data[[#This Row],[profit margin%]]&lt;0.5,"Low Profit",
     clean_data[[#This Row],[profit margin%]]&lt;0.6,"Medium Profit",
     TRUE,"High Profit")</f>
        <v>Medium Profit</v>
      </c>
      <c r="V913" t="str">
        <f>TEXT(clean_data[[#This Row],[Date]],"mmm-yyyy")</f>
        <v>Dec-2022</v>
      </c>
      <c r="W913" s="8">
        <f>EOMONTH(clean_data[[#This Row],[Date]],-1)+1</f>
        <v>44896</v>
      </c>
    </row>
    <row r="914" spans="1:23" x14ac:dyDescent="0.3">
      <c r="A914" t="s">
        <v>986</v>
      </c>
      <c r="B914" s="1">
        <v>44922</v>
      </c>
      <c r="C914" t="s">
        <v>58</v>
      </c>
      <c r="D914" t="s">
        <v>64</v>
      </c>
      <c r="E914" t="s">
        <v>38</v>
      </c>
      <c r="F914" t="s">
        <v>20</v>
      </c>
      <c r="G914" t="s">
        <v>21</v>
      </c>
      <c r="H914">
        <v>10</v>
      </c>
      <c r="I914">
        <v>3500</v>
      </c>
      <c r="J914">
        <v>0</v>
      </c>
      <c r="K914">
        <v>35000</v>
      </c>
      <c r="L914">
        <v>14000</v>
      </c>
      <c r="M914">
        <v>21000</v>
      </c>
      <c r="N914" t="s">
        <v>30</v>
      </c>
      <c r="O914" t="s">
        <v>23</v>
      </c>
      <c r="P914" t="s">
        <v>24</v>
      </c>
      <c r="Q914" t="str">
        <f>TEXT(clean_data[[#This Row],[Date]],"mmm")</f>
        <v>Dec</v>
      </c>
      <c r="R914">
        <f>YEAR(clean_data[[#This Row],[Date]])</f>
        <v>2022</v>
      </c>
      <c r="S914" s="2">
        <f>clean_data[[#This Row],[Profit]]/clean_data[[#This Row],[Revenue]]</f>
        <v>0.6</v>
      </c>
      <c r="T914" t="str" cm="1">
        <f t="array" ref="T914">_xlfn.IFS(clean_data[[#This Row],[Revenue]]&lt;300000,"Small",
     clean_data[[#This Row],[Revenue]]&lt;700000,"Medium",
     TRUE,"Large")</f>
        <v>Small</v>
      </c>
      <c r="U914" t="str" cm="1">
        <f t="array" ref="U914">_xlfn.IFS(clean_data[[#This Row],[profit margin%]]&lt;0.5,"Low Profit",
     clean_data[[#This Row],[profit margin%]]&lt;0.6,"Medium Profit",
     TRUE,"High Profit")</f>
        <v>High Profit</v>
      </c>
      <c r="V914" t="str">
        <f>TEXT(clean_data[[#This Row],[Date]],"mmm-yyyy")</f>
        <v>Dec-2022</v>
      </c>
      <c r="W914" s="8">
        <f>EOMONTH(clean_data[[#This Row],[Date]],-1)+1</f>
        <v>44896</v>
      </c>
    </row>
    <row r="915" spans="1:23" x14ac:dyDescent="0.3">
      <c r="A915" t="s">
        <v>987</v>
      </c>
      <c r="B915" s="1">
        <v>45326</v>
      </c>
      <c r="C915" t="s">
        <v>46</v>
      </c>
      <c r="D915" t="s">
        <v>47</v>
      </c>
      <c r="E915" t="s">
        <v>38</v>
      </c>
      <c r="F915" t="s">
        <v>28</v>
      </c>
      <c r="G915" t="s">
        <v>85</v>
      </c>
      <c r="H915">
        <v>25</v>
      </c>
      <c r="I915">
        <v>8000</v>
      </c>
      <c r="J915">
        <v>0</v>
      </c>
      <c r="K915">
        <v>200000</v>
      </c>
      <c r="L915">
        <v>110000</v>
      </c>
      <c r="M915">
        <v>90000</v>
      </c>
      <c r="N915" t="s">
        <v>30</v>
      </c>
      <c r="O915" t="s">
        <v>35</v>
      </c>
      <c r="P915" t="s">
        <v>24</v>
      </c>
      <c r="Q915" t="str">
        <f>TEXT(clean_data[[#This Row],[Date]],"mmm")</f>
        <v>Feb</v>
      </c>
      <c r="R915">
        <f>YEAR(clean_data[[#This Row],[Date]])</f>
        <v>2024</v>
      </c>
      <c r="S915" s="2">
        <f>clean_data[[#This Row],[Profit]]/clean_data[[#This Row],[Revenue]]</f>
        <v>0.45</v>
      </c>
      <c r="T915" t="str" cm="1">
        <f t="array" ref="T915">_xlfn.IFS(clean_data[[#This Row],[Revenue]]&lt;300000,"Small",
     clean_data[[#This Row],[Revenue]]&lt;700000,"Medium",
     TRUE,"Large")</f>
        <v>Small</v>
      </c>
      <c r="U915" t="str" cm="1">
        <f t="array" ref="U915">_xlfn.IFS(clean_data[[#This Row],[profit margin%]]&lt;0.5,"Low Profit",
     clean_data[[#This Row],[profit margin%]]&lt;0.6,"Medium Profit",
     TRUE,"High Profit")</f>
        <v>Low Profit</v>
      </c>
      <c r="V915" t="str">
        <f>TEXT(clean_data[[#This Row],[Date]],"mmm-yyyy")</f>
        <v>Feb-2024</v>
      </c>
      <c r="W915" s="8">
        <f>EOMONTH(clean_data[[#This Row],[Date]],-1)+1</f>
        <v>45323</v>
      </c>
    </row>
    <row r="916" spans="1:23" x14ac:dyDescent="0.3">
      <c r="A916" t="s">
        <v>988</v>
      </c>
      <c r="B916" s="1">
        <v>44812</v>
      </c>
      <c r="C916" t="s">
        <v>26</v>
      </c>
      <c r="D916" t="s">
        <v>69</v>
      </c>
      <c r="E916" t="s">
        <v>78</v>
      </c>
      <c r="F916" t="s">
        <v>28</v>
      </c>
      <c r="G916" t="s">
        <v>95</v>
      </c>
      <c r="H916">
        <v>7</v>
      </c>
      <c r="I916">
        <v>75000</v>
      </c>
      <c r="J916">
        <v>20</v>
      </c>
      <c r="K916">
        <v>420000</v>
      </c>
      <c r="L916">
        <v>231000</v>
      </c>
      <c r="M916">
        <v>189000</v>
      </c>
      <c r="N916" t="s">
        <v>22</v>
      </c>
      <c r="O916" t="s">
        <v>35</v>
      </c>
      <c r="P916" t="s">
        <v>24</v>
      </c>
      <c r="Q916" t="str">
        <f>TEXT(clean_data[[#This Row],[Date]],"mmm")</f>
        <v>Sep</v>
      </c>
      <c r="R916">
        <f>YEAR(clean_data[[#This Row],[Date]])</f>
        <v>2022</v>
      </c>
      <c r="S916" s="2">
        <f>clean_data[[#This Row],[Profit]]/clean_data[[#This Row],[Revenue]]</f>
        <v>0.45</v>
      </c>
      <c r="T916" t="str" cm="1">
        <f t="array" ref="T916">_xlfn.IFS(clean_data[[#This Row],[Revenue]]&lt;300000,"Small",
     clean_data[[#This Row],[Revenue]]&lt;700000,"Medium",
     TRUE,"Large")</f>
        <v>Medium</v>
      </c>
      <c r="U916" t="str" cm="1">
        <f t="array" ref="U916">_xlfn.IFS(clean_data[[#This Row],[profit margin%]]&lt;0.5,"Low Profit",
     clean_data[[#This Row],[profit margin%]]&lt;0.6,"Medium Profit",
     TRUE,"High Profit")</f>
        <v>Low Profit</v>
      </c>
      <c r="V916" t="str">
        <f>TEXT(clean_data[[#This Row],[Date]],"mmm-yyyy")</f>
        <v>Sep-2022</v>
      </c>
      <c r="W916" s="8">
        <f>EOMONTH(clean_data[[#This Row],[Date]],-1)+1</f>
        <v>44805</v>
      </c>
    </row>
    <row r="917" spans="1:23" x14ac:dyDescent="0.3">
      <c r="A917" t="s">
        <v>989</v>
      </c>
      <c r="B917" s="1">
        <v>44931</v>
      </c>
      <c r="C917" t="s">
        <v>58</v>
      </c>
      <c r="D917" t="s">
        <v>64</v>
      </c>
      <c r="E917" t="s">
        <v>60</v>
      </c>
      <c r="F917" t="s">
        <v>20</v>
      </c>
      <c r="G917" t="s">
        <v>61</v>
      </c>
      <c r="H917">
        <v>22</v>
      </c>
      <c r="I917">
        <v>800</v>
      </c>
      <c r="J917">
        <v>15</v>
      </c>
      <c r="K917">
        <v>14960</v>
      </c>
      <c r="L917">
        <v>5984</v>
      </c>
      <c r="M917">
        <v>8976</v>
      </c>
      <c r="N917" t="s">
        <v>30</v>
      </c>
      <c r="O917" t="s">
        <v>35</v>
      </c>
      <c r="P917" t="s">
        <v>24</v>
      </c>
      <c r="Q917" t="str">
        <f>TEXT(clean_data[[#This Row],[Date]],"mmm")</f>
        <v>Jan</v>
      </c>
      <c r="R917">
        <f>YEAR(clean_data[[#This Row],[Date]])</f>
        <v>2023</v>
      </c>
      <c r="S917" s="2">
        <f>clean_data[[#This Row],[Profit]]/clean_data[[#This Row],[Revenue]]</f>
        <v>0.6</v>
      </c>
      <c r="T917" t="str" cm="1">
        <f t="array" ref="T917">_xlfn.IFS(clean_data[[#This Row],[Revenue]]&lt;300000,"Small",
     clean_data[[#This Row],[Revenue]]&lt;700000,"Medium",
     TRUE,"Large")</f>
        <v>Small</v>
      </c>
      <c r="U917" t="str" cm="1">
        <f t="array" ref="U917">_xlfn.IFS(clean_data[[#This Row],[profit margin%]]&lt;0.5,"Low Profit",
     clean_data[[#This Row],[profit margin%]]&lt;0.6,"Medium Profit",
     TRUE,"High Profit")</f>
        <v>High Profit</v>
      </c>
      <c r="V917" t="str">
        <f>TEXT(clean_data[[#This Row],[Date]],"mmm-yyyy")</f>
        <v>Jan-2023</v>
      </c>
      <c r="W917" s="8">
        <f>EOMONTH(clean_data[[#This Row],[Date]],-1)+1</f>
        <v>44927</v>
      </c>
    </row>
    <row r="918" spans="1:23" x14ac:dyDescent="0.3">
      <c r="A918" t="s">
        <v>990</v>
      </c>
      <c r="B918" s="1">
        <v>45619</v>
      </c>
      <c r="C918" t="s">
        <v>17</v>
      </c>
      <c r="D918" t="s">
        <v>42</v>
      </c>
      <c r="E918" t="s">
        <v>111</v>
      </c>
      <c r="F918" t="s">
        <v>28</v>
      </c>
      <c r="G918" t="s">
        <v>95</v>
      </c>
      <c r="H918">
        <v>3</v>
      </c>
      <c r="I918">
        <v>75000</v>
      </c>
      <c r="J918">
        <v>0</v>
      </c>
      <c r="K918">
        <v>225000</v>
      </c>
      <c r="L918">
        <v>123750</v>
      </c>
      <c r="M918">
        <v>101250</v>
      </c>
      <c r="N918" t="s">
        <v>49</v>
      </c>
      <c r="O918" t="s">
        <v>35</v>
      </c>
      <c r="P918" t="s">
        <v>40</v>
      </c>
      <c r="Q918" t="str">
        <f>TEXT(clean_data[[#This Row],[Date]],"mmm")</f>
        <v>Nov</v>
      </c>
      <c r="R918">
        <f>YEAR(clean_data[[#This Row],[Date]])</f>
        <v>2024</v>
      </c>
      <c r="S918" s="2">
        <f>clean_data[[#This Row],[Profit]]/clean_data[[#This Row],[Revenue]]</f>
        <v>0.45</v>
      </c>
      <c r="T918" t="str" cm="1">
        <f t="array" ref="T918">_xlfn.IFS(clean_data[[#This Row],[Revenue]]&lt;300000,"Small",
     clean_data[[#This Row],[Revenue]]&lt;700000,"Medium",
     TRUE,"Large")</f>
        <v>Small</v>
      </c>
      <c r="U918" t="str" cm="1">
        <f t="array" ref="U918">_xlfn.IFS(clean_data[[#This Row],[profit margin%]]&lt;0.5,"Low Profit",
     clean_data[[#This Row],[profit margin%]]&lt;0.6,"Medium Profit",
     TRUE,"High Profit")</f>
        <v>Low Profit</v>
      </c>
      <c r="V918" t="str">
        <f>TEXT(clean_data[[#This Row],[Date]],"mmm-yyyy")</f>
        <v>Nov-2024</v>
      </c>
      <c r="W918" s="8">
        <f>EOMONTH(clean_data[[#This Row],[Date]],-1)+1</f>
        <v>45597</v>
      </c>
    </row>
    <row r="919" spans="1:23" x14ac:dyDescent="0.3">
      <c r="A919" t="s">
        <v>991</v>
      </c>
      <c r="B919" s="1">
        <v>45562</v>
      </c>
      <c r="C919" t="s">
        <v>58</v>
      </c>
      <c r="D919" t="s">
        <v>84</v>
      </c>
      <c r="E919" t="s">
        <v>56</v>
      </c>
      <c r="F919" t="s">
        <v>20</v>
      </c>
      <c r="G919" t="s">
        <v>21</v>
      </c>
      <c r="H919">
        <v>15</v>
      </c>
      <c r="I919">
        <v>3500</v>
      </c>
      <c r="J919">
        <v>15</v>
      </c>
      <c r="K919">
        <v>44625</v>
      </c>
      <c r="L919">
        <v>17850</v>
      </c>
      <c r="M919">
        <v>26775</v>
      </c>
      <c r="N919" t="s">
        <v>30</v>
      </c>
      <c r="O919" t="s">
        <v>50</v>
      </c>
      <c r="P919" t="s">
        <v>24</v>
      </c>
      <c r="Q919" t="str">
        <f>TEXT(clean_data[[#This Row],[Date]],"mmm")</f>
        <v>Sep</v>
      </c>
      <c r="R919">
        <f>YEAR(clean_data[[#This Row],[Date]])</f>
        <v>2024</v>
      </c>
      <c r="S919" s="2">
        <f>clean_data[[#This Row],[Profit]]/clean_data[[#This Row],[Revenue]]</f>
        <v>0.6</v>
      </c>
      <c r="T919" t="str" cm="1">
        <f t="array" ref="T919">_xlfn.IFS(clean_data[[#This Row],[Revenue]]&lt;300000,"Small",
     clean_data[[#This Row],[Revenue]]&lt;700000,"Medium",
     TRUE,"Large")</f>
        <v>Small</v>
      </c>
      <c r="U919" t="str" cm="1">
        <f t="array" ref="U919">_xlfn.IFS(clean_data[[#This Row],[profit margin%]]&lt;0.5,"Low Profit",
     clean_data[[#This Row],[profit margin%]]&lt;0.6,"Medium Profit",
     TRUE,"High Profit")</f>
        <v>High Profit</v>
      </c>
      <c r="V919" t="str">
        <f>TEXT(clean_data[[#This Row],[Date]],"mmm-yyyy")</f>
        <v>Sep-2024</v>
      </c>
      <c r="W919" s="8">
        <f>EOMONTH(clean_data[[#This Row],[Date]],-1)+1</f>
        <v>45536</v>
      </c>
    </row>
    <row r="920" spans="1:23" x14ac:dyDescent="0.3">
      <c r="A920" t="s">
        <v>992</v>
      </c>
      <c r="B920" s="1">
        <v>45115</v>
      </c>
      <c r="C920" t="s">
        <v>58</v>
      </c>
      <c r="D920" t="s">
        <v>64</v>
      </c>
      <c r="E920" t="s">
        <v>52</v>
      </c>
      <c r="F920" t="s">
        <v>65</v>
      </c>
      <c r="G920" t="s">
        <v>104</v>
      </c>
      <c r="H920">
        <v>8</v>
      </c>
      <c r="I920">
        <v>3000</v>
      </c>
      <c r="J920">
        <v>5</v>
      </c>
      <c r="K920">
        <v>22800</v>
      </c>
      <c r="L920">
        <v>10260</v>
      </c>
      <c r="M920">
        <v>12540</v>
      </c>
      <c r="N920" t="s">
        <v>49</v>
      </c>
      <c r="O920" t="s">
        <v>50</v>
      </c>
      <c r="P920" t="s">
        <v>24</v>
      </c>
      <c r="Q920" t="str">
        <f>TEXT(clean_data[[#This Row],[Date]],"mmm")</f>
        <v>Jul</v>
      </c>
      <c r="R920">
        <f>YEAR(clean_data[[#This Row],[Date]])</f>
        <v>2023</v>
      </c>
      <c r="S920" s="2">
        <f>clean_data[[#This Row],[Profit]]/clean_data[[#This Row],[Revenue]]</f>
        <v>0.55000000000000004</v>
      </c>
      <c r="T920" t="str" cm="1">
        <f t="array" ref="T920">_xlfn.IFS(clean_data[[#This Row],[Revenue]]&lt;300000,"Small",
     clean_data[[#This Row],[Revenue]]&lt;700000,"Medium",
     TRUE,"Large")</f>
        <v>Small</v>
      </c>
      <c r="U920" t="str" cm="1">
        <f t="array" ref="U920">_xlfn.IFS(clean_data[[#This Row],[profit margin%]]&lt;0.5,"Low Profit",
     clean_data[[#This Row],[profit margin%]]&lt;0.6,"Medium Profit",
     TRUE,"High Profit")</f>
        <v>Medium Profit</v>
      </c>
      <c r="V920" t="str">
        <f>TEXT(clean_data[[#This Row],[Date]],"mmm-yyyy")</f>
        <v>Jul-2023</v>
      </c>
      <c r="W920" s="8">
        <f>EOMONTH(clean_data[[#This Row],[Date]],-1)+1</f>
        <v>45108</v>
      </c>
    </row>
    <row r="921" spans="1:23" x14ac:dyDescent="0.3">
      <c r="A921" t="s">
        <v>993</v>
      </c>
      <c r="B921" s="1">
        <v>44701</v>
      </c>
      <c r="C921" t="s">
        <v>17</v>
      </c>
      <c r="D921" t="s">
        <v>18</v>
      </c>
      <c r="E921" t="s">
        <v>70</v>
      </c>
      <c r="F921" t="s">
        <v>28</v>
      </c>
      <c r="G921" t="s">
        <v>95</v>
      </c>
      <c r="H921">
        <v>39</v>
      </c>
      <c r="I921">
        <v>75000</v>
      </c>
      <c r="J921">
        <v>5</v>
      </c>
      <c r="K921">
        <v>2778750</v>
      </c>
      <c r="L921">
        <v>1528312.5</v>
      </c>
      <c r="M921">
        <v>1250437.5</v>
      </c>
      <c r="N921" t="s">
        <v>49</v>
      </c>
      <c r="O921" t="s">
        <v>67</v>
      </c>
      <c r="P921" t="s">
        <v>24</v>
      </c>
      <c r="Q921" t="str">
        <f>TEXT(clean_data[[#This Row],[Date]],"mmm")</f>
        <v>May</v>
      </c>
      <c r="R921">
        <f>YEAR(clean_data[[#This Row],[Date]])</f>
        <v>2022</v>
      </c>
      <c r="S921" s="2">
        <f>clean_data[[#This Row],[Profit]]/clean_data[[#This Row],[Revenue]]</f>
        <v>0.45</v>
      </c>
      <c r="T921" t="str" cm="1">
        <f t="array" ref="T921">_xlfn.IFS(clean_data[[#This Row],[Revenue]]&lt;300000,"Small",
     clean_data[[#This Row],[Revenue]]&lt;700000,"Medium",
     TRUE,"Large")</f>
        <v>Large</v>
      </c>
      <c r="U921" t="str" cm="1">
        <f t="array" ref="U921">_xlfn.IFS(clean_data[[#This Row],[profit margin%]]&lt;0.5,"Low Profit",
     clean_data[[#This Row],[profit margin%]]&lt;0.6,"Medium Profit",
     TRUE,"High Profit")</f>
        <v>Low Profit</v>
      </c>
      <c r="V921" t="str">
        <f>TEXT(clean_data[[#This Row],[Date]],"mmm-yyyy")</f>
        <v>May-2022</v>
      </c>
      <c r="W921" s="8">
        <f>EOMONTH(clean_data[[#This Row],[Date]],-1)+1</f>
        <v>44682</v>
      </c>
    </row>
    <row r="922" spans="1:23" x14ac:dyDescent="0.3">
      <c r="A922" t="s">
        <v>994</v>
      </c>
      <c r="B922" s="1">
        <v>45219</v>
      </c>
      <c r="C922" t="s">
        <v>46</v>
      </c>
      <c r="D922" t="s">
        <v>55</v>
      </c>
      <c r="E922" t="s">
        <v>78</v>
      </c>
      <c r="F922" t="s">
        <v>33</v>
      </c>
      <c r="G922" t="s">
        <v>43</v>
      </c>
      <c r="H922">
        <v>19</v>
      </c>
      <c r="I922">
        <v>4000</v>
      </c>
      <c r="J922">
        <v>10</v>
      </c>
      <c r="K922">
        <v>68400</v>
      </c>
      <c r="L922">
        <v>34200</v>
      </c>
      <c r="M922">
        <v>34200</v>
      </c>
      <c r="N922" t="s">
        <v>49</v>
      </c>
      <c r="O922" t="s">
        <v>23</v>
      </c>
      <c r="P922" t="s">
        <v>24</v>
      </c>
      <c r="Q922" t="str">
        <f>TEXT(clean_data[[#This Row],[Date]],"mmm")</f>
        <v>Oct</v>
      </c>
      <c r="R922">
        <f>YEAR(clean_data[[#This Row],[Date]])</f>
        <v>2023</v>
      </c>
      <c r="S922" s="2">
        <f>clean_data[[#This Row],[Profit]]/clean_data[[#This Row],[Revenue]]</f>
        <v>0.5</v>
      </c>
      <c r="T922" t="str" cm="1">
        <f t="array" ref="T922">_xlfn.IFS(clean_data[[#This Row],[Revenue]]&lt;300000,"Small",
     clean_data[[#This Row],[Revenue]]&lt;700000,"Medium",
     TRUE,"Large")</f>
        <v>Small</v>
      </c>
      <c r="U922" t="str" cm="1">
        <f t="array" ref="U922">_xlfn.IFS(clean_data[[#This Row],[profit margin%]]&lt;0.5,"Low Profit",
     clean_data[[#This Row],[profit margin%]]&lt;0.6,"Medium Profit",
     TRUE,"High Profit")</f>
        <v>Medium Profit</v>
      </c>
      <c r="V922" t="str">
        <f>TEXT(clean_data[[#This Row],[Date]],"mmm-yyyy")</f>
        <v>Oct-2023</v>
      </c>
      <c r="W922" s="8">
        <f>EOMONTH(clean_data[[#This Row],[Date]],-1)+1</f>
        <v>45200</v>
      </c>
    </row>
    <row r="923" spans="1:23" x14ac:dyDescent="0.3">
      <c r="A923" t="s">
        <v>995</v>
      </c>
      <c r="B923" s="1">
        <v>45269</v>
      </c>
      <c r="C923" t="s">
        <v>26</v>
      </c>
      <c r="D923" t="s">
        <v>27</v>
      </c>
      <c r="E923" t="s">
        <v>78</v>
      </c>
      <c r="F923" t="s">
        <v>20</v>
      </c>
      <c r="G923" t="s">
        <v>61</v>
      </c>
      <c r="H923">
        <v>10</v>
      </c>
      <c r="I923">
        <v>800</v>
      </c>
      <c r="J923">
        <v>15</v>
      </c>
      <c r="K923">
        <v>6800</v>
      </c>
      <c r="L923">
        <v>2720</v>
      </c>
      <c r="M923">
        <v>4080</v>
      </c>
      <c r="N923" t="s">
        <v>22</v>
      </c>
      <c r="O923" t="s">
        <v>23</v>
      </c>
      <c r="P923" t="s">
        <v>24</v>
      </c>
      <c r="Q923" t="str">
        <f>TEXT(clean_data[[#This Row],[Date]],"mmm")</f>
        <v>Dec</v>
      </c>
      <c r="R923">
        <f>YEAR(clean_data[[#This Row],[Date]])</f>
        <v>2023</v>
      </c>
      <c r="S923" s="2">
        <f>clean_data[[#This Row],[Profit]]/clean_data[[#This Row],[Revenue]]</f>
        <v>0.6</v>
      </c>
      <c r="T923" t="str" cm="1">
        <f t="array" ref="T923">_xlfn.IFS(clean_data[[#This Row],[Revenue]]&lt;300000,"Small",
     clean_data[[#This Row],[Revenue]]&lt;700000,"Medium",
     TRUE,"Large")</f>
        <v>Small</v>
      </c>
      <c r="U923" t="str" cm="1">
        <f t="array" ref="U923">_xlfn.IFS(clean_data[[#This Row],[profit margin%]]&lt;0.5,"Low Profit",
     clean_data[[#This Row],[profit margin%]]&lt;0.6,"Medium Profit",
     TRUE,"High Profit")</f>
        <v>High Profit</v>
      </c>
      <c r="V923" t="str">
        <f>TEXT(clean_data[[#This Row],[Date]],"mmm-yyyy")</f>
        <v>Dec-2023</v>
      </c>
      <c r="W923" s="8">
        <f>EOMONTH(clean_data[[#This Row],[Date]],-1)+1</f>
        <v>45261</v>
      </c>
    </row>
    <row r="924" spans="1:23" x14ac:dyDescent="0.3">
      <c r="A924" t="s">
        <v>996</v>
      </c>
      <c r="B924" s="1">
        <v>44685</v>
      </c>
      <c r="C924" t="s">
        <v>58</v>
      </c>
      <c r="D924" t="s">
        <v>64</v>
      </c>
      <c r="E924" t="s">
        <v>73</v>
      </c>
      <c r="F924" t="s">
        <v>20</v>
      </c>
      <c r="G924" t="s">
        <v>21</v>
      </c>
      <c r="H924">
        <v>21</v>
      </c>
      <c r="I924">
        <v>3500</v>
      </c>
      <c r="J924">
        <v>5</v>
      </c>
      <c r="K924">
        <v>69825</v>
      </c>
      <c r="L924">
        <v>27930</v>
      </c>
      <c r="M924">
        <v>41895</v>
      </c>
      <c r="N924" t="s">
        <v>49</v>
      </c>
      <c r="O924" t="s">
        <v>50</v>
      </c>
      <c r="P924" t="s">
        <v>24</v>
      </c>
      <c r="Q924" t="str">
        <f>TEXT(clean_data[[#This Row],[Date]],"mmm")</f>
        <v>May</v>
      </c>
      <c r="R924">
        <f>YEAR(clean_data[[#This Row],[Date]])</f>
        <v>2022</v>
      </c>
      <c r="S924" s="2">
        <f>clean_data[[#This Row],[Profit]]/clean_data[[#This Row],[Revenue]]</f>
        <v>0.6</v>
      </c>
      <c r="T924" t="str" cm="1">
        <f t="array" ref="T924">_xlfn.IFS(clean_data[[#This Row],[Revenue]]&lt;300000,"Small",
     clean_data[[#This Row],[Revenue]]&lt;700000,"Medium",
     TRUE,"Large")</f>
        <v>Small</v>
      </c>
      <c r="U924" t="str" cm="1">
        <f t="array" ref="U924">_xlfn.IFS(clean_data[[#This Row],[profit margin%]]&lt;0.5,"Low Profit",
     clean_data[[#This Row],[profit margin%]]&lt;0.6,"Medium Profit",
     TRUE,"High Profit")</f>
        <v>High Profit</v>
      </c>
      <c r="V924" t="str">
        <f>TEXT(clean_data[[#This Row],[Date]],"mmm-yyyy")</f>
        <v>May-2022</v>
      </c>
      <c r="W924" s="8">
        <f>EOMONTH(clean_data[[#This Row],[Date]],-1)+1</f>
        <v>44682</v>
      </c>
    </row>
    <row r="925" spans="1:23" x14ac:dyDescent="0.3">
      <c r="A925" t="s">
        <v>997</v>
      </c>
      <c r="B925" s="1">
        <v>45185</v>
      </c>
      <c r="C925" t="s">
        <v>58</v>
      </c>
      <c r="D925" t="s">
        <v>59</v>
      </c>
      <c r="E925" t="s">
        <v>32</v>
      </c>
      <c r="F925" t="s">
        <v>33</v>
      </c>
      <c r="G925" t="s">
        <v>76</v>
      </c>
      <c r="H925">
        <v>42</v>
      </c>
      <c r="I925">
        <v>8500</v>
      </c>
      <c r="J925">
        <v>5</v>
      </c>
      <c r="K925">
        <v>339150</v>
      </c>
      <c r="L925">
        <v>169575</v>
      </c>
      <c r="M925">
        <v>169575</v>
      </c>
      <c r="N925" t="s">
        <v>49</v>
      </c>
      <c r="O925" t="s">
        <v>67</v>
      </c>
      <c r="P925" t="s">
        <v>24</v>
      </c>
      <c r="Q925" t="str">
        <f>TEXT(clean_data[[#This Row],[Date]],"mmm")</f>
        <v>Sep</v>
      </c>
      <c r="R925">
        <f>YEAR(clean_data[[#This Row],[Date]])</f>
        <v>2023</v>
      </c>
      <c r="S925" s="2">
        <f>clean_data[[#This Row],[Profit]]/clean_data[[#This Row],[Revenue]]</f>
        <v>0.5</v>
      </c>
      <c r="T925" t="str" cm="1">
        <f t="array" ref="T925">_xlfn.IFS(clean_data[[#This Row],[Revenue]]&lt;300000,"Small",
     clean_data[[#This Row],[Revenue]]&lt;700000,"Medium",
     TRUE,"Large")</f>
        <v>Medium</v>
      </c>
      <c r="U925" t="str" cm="1">
        <f t="array" ref="U925">_xlfn.IFS(clean_data[[#This Row],[profit margin%]]&lt;0.5,"Low Profit",
     clean_data[[#This Row],[profit margin%]]&lt;0.6,"Medium Profit",
     TRUE,"High Profit")</f>
        <v>Medium Profit</v>
      </c>
      <c r="V925" t="str">
        <f>TEXT(clean_data[[#This Row],[Date]],"mmm-yyyy")</f>
        <v>Sep-2023</v>
      </c>
      <c r="W925" s="8">
        <f>EOMONTH(clean_data[[#This Row],[Date]],-1)+1</f>
        <v>45170</v>
      </c>
    </row>
    <row r="926" spans="1:23" x14ac:dyDescent="0.3">
      <c r="A926" t="s">
        <v>998</v>
      </c>
      <c r="B926" s="1">
        <v>45522</v>
      </c>
      <c r="C926" t="s">
        <v>58</v>
      </c>
      <c r="D926" t="s">
        <v>64</v>
      </c>
      <c r="E926" t="s">
        <v>111</v>
      </c>
      <c r="F926" t="s">
        <v>20</v>
      </c>
      <c r="G926" t="s">
        <v>115</v>
      </c>
      <c r="H926">
        <v>6</v>
      </c>
      <c r="I926">
        <v>2500</v>
      </c>
      <c r="J926">
        <v>20</v>
      </c>
      <c r="K926">
        <v>12000</v>
      </c>
      <c r="L926">
        <v>4800</v>
      </c>
      <c r="M926">
        <v>7200</v>
      </c>
      <c r="N926" t="s">
        <v>22</v>
      </c>
      <c r="O926" t="s">
        <v>67</v>
      </c>
      <c r="P926" t="s">
        <v>24</v>
      </c>
      <c r="Q926" t="str">
        <f>TEXT(clean_data[[#This Row],[Date]],"mmm")</f>
        <v>Aug</v>
      </c>
      <c r="R926">
        <f>YEAR(clean_data[[#This Row],[Date]])</f>
        <v>2024</v>
      </c>
      <c r="S926" s="2">
        <f>clean_data[[#This Row],[Profit]]/clean_data[[#This Row],[Revenue]]</f>
        <v>0.6</v>
      </c>
      <c r="T926" t="str" cm="1">
        <f t="array" ref="T926">_xlfn.IFS(clean_data[[#This Row],[Revenue]]&lt;300000,"Small",
     clean_data[[#This Row],[Revenue]]&lt;700000,"Medium",
     TRUE,"Large")</f>
        <v>Small</v>
      </c>
      <c r="U926" t="str" cm="1">
        <f t="array" ref="U926">_xlfn.IFS(clean_data[[#This Row],[profit margin%]]&lt;0.5,"Low Profit",
     clean_data[[#This Row],[profit margin%]]&lt;0.6,"Medium Profit",
     TRUE,"High Profit")</f>
        <v>High Profit</v>
      </c>
      <c r="V926" t="str">
        <f>TEXT(clean_data[[#This Row],[Date]],"mmm-yyyy")</f>
        <v>Aug-2024</v>
      </c>
      <c r="W926" s="8">
        <f>EOMONTH(clean_data[[#This Row],[Date]],-1)+1</f>
        <v>45505</v>
      </c>
    </row>
    <row r="927" spans="1:23" x14ac:dyDescent="0.3">
      <c r="A927" t="s">
        <v>999</v>
      </c>
      <c r="B927" s="1">
        <v>45008</v>
      </c>
      <c r="C927" t="s">
        <v>26</v>
      </c>
      <c r="D927" t="s">
        <v>27</v>
      </c>
      <c r="E927" t="s">
        <v>70</v>
      </c>
      <c r="F927" t="s">
        <v>28</v>
      </c>
      <c r="G927" t="s">
        <v>87</v>
      </c>
      <c r="H927">
        <v>2</v>
      </c>
      <c r="I927">
        <v>45000</v>
      </c>
      <c r="J927">
        <v>10</v>
      </c>
      <c r="K927">
        <v>81000</v>
      </c>
      <c r="L927">
        <v>44550</v>
      </c>
      <c r="M927">
        <v>36450</v>
      </c>
      <c r="N927" t="s">
        <v>49</v>
      </c>
      <c r="O927" t="s">
        <v>44</v>
      </c>
      <c r="P927" t="s">
        <v>40</v>
      </c>
      <c r="Q927" t="str">
        <f>TEXT(clean_data[[#This Row],[Date]],"mmm")</f>
        <v>Mar</v>
      </c>
      <c r="R927">
        <f>YEAR(clean_data[[#This Row],[Date]])</f>
        <v>2023</v>
      </c>
      <c r="S927" s="2">
        <f>clean_data[[#This Row],[Profit]]/clean_data[[#This Row],[Revenue]]</f>
        <v>0.45</v>
      </c>
      <c r="T927" t="str" cm="1">
        <f t="array" ref="T927">_xlfn.IFS(clean_data[[#This Row],[Revenue]]&lt;300000,"Small",
     clean_data[[#This Row],[Revenue]]&lt;700000,"Medium",
     TRUE,"Large")</f>
        <v>Small</v>
      </c>
      <c r="U927" t="str" cm="1">
        <f t="array" ref="U927">_xlfn.IFS(clean_data[[#This Row],[profit margin%]]&lt;0.5,"Low Profit",
     clean_data[[#This Row],[profit margin%]]&lt;0.6,"Medium Profit",
     TRUE,"High Profit")</f>
        <v>Low Profit</v>
      </c>
      <c r="V927" t="str">
        <f>TEXT(clean_data[[#This Row],[Date]],"mmm-yyyy")</f>
        <v>Mar-2023</v>
      </c>
      <c r="W927" s="8">
        <f>EOMONTH(clean_data[[#This Row],[Date]],-1)+1</f>
        <v>44986</v>
      </c>
    </row>
    <row r="928" spans="1:23" x14ac:dyDescent="0.3">
      <c r="A928" t="s">
        <v>1000</v>
      </c>
      <c r="B928" s="1">
        <v>44775</v>
      </c>
      <c r="C928" t="s">
        <v>17</v>
      </c>
      <c r="D928" t="s">
        <v>37</v>
      </c>
      <c r="E928" t="s">
        <v>78</v>
      </c>
      <c r="F928" t="s">
        <v>33</v>
      </c>
      <c r="G928" t="s">
        <v>48</v>
      </c>
      <c r="H928">
        <v>10</v>
      </c>
      <c r="I928">
        <v>1500</v>
      </c>
      <c r="J928">
        <v>20</v>
      </c>
      <c r="K928">
        <v>12000</v>
      </c>
      <c r="L928">
        <v>6000</v>
      </c>
      <c r="M928">
        <v>6000</v>
      </c>
      <c r="N928" t="s">
        <v>30</v>
      </c>
      <c r="O928" t="s">
        <v>44</v>
      </c>
      <c r="P928" t="s">
        <v>24</v>
      </c>
      <c r="Q928" t="str">
        <f>TEXT(clean_data[[#This Row],[Date]],"mmm")</f>
        <v>Aug</v>
      </c>
      <c r="R928">
        <f>YEAR(clean_data[[#This Row],[Date]])</f>
        <v>2022</v>
      </c>
      <c r="S928" s="2">
        <f>clean_data[[#This Row],[Profit]]/clean_data[[#This Row],[Revenue]]</f>
        <v>0.5</v>
      </c>
      <c r="T928" t="str" cm="1">
        <f t="array" ref="T928">_xlfn.IFS(clean_data[[#This Row],[Revenue]]&lt;300000,"Small",
     clean_data[[#This Row],[Revenue]]&lt;700000,"Medium",
     TRUE,"Large")</f>
        <v>Small</v>
      </c>
      <c r="U928" t="str" cm="1">
        <f t="array" ref="U928">_xlfn.IFS(clean_data[[#This Row],[profit margin%]]&lt;0.5,"Low Profit",
     clean_data[[#This Row],[profit margin%]]&lt;0.6,"Medium Profit",
     TRUE,"High Profit")</f>
        <v>Medium Profit</v>
      </c>
      <c r="V928" t="str">
        <f>TEXT(clean_data[[#This Row],[Date]],"mmm-yyyy")</f>
        <v>Aug-2022</v>
      </c>
      <c r="W928" s="8">
        <f>EOMONTH(clean_data[[#This Row],[Date]],-1)+1</f>
        <v>44774</v>
      </c>
    </row>
    <row r="929" spans="1:23" x14ac:dyDescent="0.3">
      <c r="A929" t="s">
        <v>1001</v>
      </c>
      <c r="B929" s="1">
        <v>44987</v>
      </c>
      <c r="C929" t="s">
        <v>46</v>
      </c>
      <c r="D929" t="s">
        <v>47</v>
      </c>
      <c r="E929" t="s">
        <v>78</v>
      </c>
      <c r="F929" t="s">
        <v>65</v>
      </c>
      <c r="G929" t="s">
        <v>117</v>
      </c>
      <c r="H929">
        <v>45</v>
      </c>
      <c r="I929">
        <v>1200</v>
      </c>
      <c r="J929">
        <v>15</v>
      </c>
      <c r="K929">
        <v>45900</v>
      </c>
      <c r="L929">
        <v>20655</v>
      </c>
      <c r="M929">
        <v>25245</v>
      </c>
      <c r="N929" t="s">
        <v>30</v>
      </c>
      <c r="O929" t="s">
        <v>35</v>
      </c>
      <c r="P929" t="s">
        <v>24</v>
      </c>
      <c r="Q929" t="str">
        <f>TEXT(clean_data[[#This Row],[Date]],"mmm")</f>
        <v>Mar</v>
      </c>
      <c r="R929">
        <f>YEAR(clean_data[[#This Row],[Date]])</f>
        <v>2023</v>
      </c>
      <c r="S929" s="2">
        <f>clean_data[[#This Row],[Profit]]/clean_data[[#This Row],[Revenue]]</f>
        <v>0.55000000000000004</v>
      </c>
      <c r="T929" t="str" cm="1">
        <f t="array" ref="T929">_xlfn.IFS(clean_data[[#This Row],[Revenue]]&lt;300000,"Small",
     clean_data[[#This Row],[Revenue]]&lt;700000,"Medium",
     TRUE,"Large")</f>
        <v>Small</v>
      </c>
      <c r="U929" t="str" cm="1">
        <f t="array" ref="U929">_xlfn.IFS(clean_data[[#This Row],[profit margin%]]&lt;0.5,"Low Profit",
     clean_data[[#This Row],[profit margin%]]&lt;0.6,"Medium Profit",
     TRUE,"High Profit")</f>
        <v>Medium Profit</v>
      </c>
      <c r="V929" t="str">
        <f>TEXT(clean_data[[#This Row],[Date]],"mmm-yyyy")</f>
        <v>Mar-2023</v>
      </c>
      <c r="W929" s="8">
        <f>EOMONTH(clean_data[[#This Row],[Date]],-1)+1</f>
        <v>44986</v>
      </c>
    </row>
    <row r="930" spans="1:23" x14ac:dyDescent="0.3">
      <c r="A930" t="s">
        <v>1002</v>
      </c>
      <c r="B930" s="1">
        <v>44697</v>
      </c>
      <c r="C930" t="s">
        <v>46</v>
      </c>
      <c r="D930" t="s">
        <v>47</v>
      </c>
      <c r="E930" t="s">
        <v>78</v>
      </c>
      <c r="F930" t="s">
        <v>33</v>
      </c>
      <c r="G930" t="s">
        <v>76</v>
      </c>
      <c r="H930">
        <v>6</v>
      </c>
      <c r="I930">
        <v>8500</v>
      </c>
      <c r="J930">
        <v>5</v>
      </c>
      <c r="K930">
        <v>48450</v>
      </c>
      <c r="L930">
        <v>24225</v>
      </c>
      <c r="M930">
        <v>24225</v>
      </c>
      <c r="N930" t="s">
        <v>30</v>
      </c>
      <c r="O930" t="s">
        <v>67</v>
      </c>
      <c r="P930" t="s">
        <v>24</v>
      </c>
      <c r="Q930" t="str">
        <f>TEXT(clean_data[[#This Row],[Date]],"mmm")</f>
        <v>May</v>
      </c>
      <c r="R930">
        <f>YEAR(clean_data[[#This Row],[Date]])</f>
        <v>2022</v>
      </c>
      <c r="S930" s="2">
        <f>clean_data[[#This Row],[Profit]]/clean_data[[#This Row],[Revenue]]</f>
        <v>0.5</v>
      </c>
      <c r="T930" t="str" cm="1">
        <f t="array" ref="T930">_xlfn.IFS(clean_data[[#This Row],[Revenue]]&lt;300000,"Small",
     clean_data[[#This Row],[Revenue]]&lt;700000,"Medium",
     TRUE,"Large")</f>
        <v>Small</v>
      </c>
      <c r="U930" t="str" cm="1">
        <f t="array" ref="U930">_xlfn.IFS(clean_data[[#This Row],[profit margin%]]&lt;0.5,"Low Profit",
     clean_data[[#This Row],[profit margin%]]&lt;0.6,"Medium Profit",
     TRUE,"High Profit")</f>
        <v>Medium Profit</v>
      </c>
      <c r="V930" t="str">
        <f>TEXT(clean_data[[#This Row],[Date]],"mmm-yyyy")</f>
        <v>May-2022</v>
      </c>
      <c r="W930" s="8">
        <f>EOMONTH(clean_data[[#This Row],[Date]],-1)+1</f>
        <v>44682</v>
      </c>
    </row>
    <row r="931" spans="1:23" x14ac:dyDescent="0.3">
      <c r="A931" t="s">
        <v>1003</v>
      </c>
      <c r="B931" s="1">
        <v>45356</v>
      </c>
      <c r="C931" t="s">
        <v>46</v>
      </c>
      <c r="D931" t="s">
        <v>55</v>
      </c>
      <c r="E931" t="s">
        <v>78</v>
      </c>
      <c r="F931" t="s">
        <v>33</v>
      </c>
      <c r="G931" t="s">
        <v>48</v>
      </c>
      <c r="H931">
        <v>27</v>
      </c>
      <c r="I931">
        <v>1500</v>
      </c>
      <c r="J931">
        <v>10</v>
      </c>
      <c r="K931">
        <v>36450</v>
      </c>
      <c r="L931">
        <v>18225</v>
      </c>
      <c r="M931">
        <v>18225</v>
      </c>
      <c r="N931" t="s">
        <v>22</v>
      </c>
      <c r="O931" t="s">
        <v>35</v>
      </c>
      <c r="P931" t="s">
        <v>24</v>
      </c>
      <c r="Q931" t="str">
        <f>TEXT(clean_data[[#This Row],[Date]],"mmm")</f>
        <v>Mar</v>
      </c>
      <c r="R931">
        <f>YEAR(clean_data[[#This Row],[Date]])</f>
        <v>2024</v>
      </c>
      <c r="S931" s="2">
        <f>clean_data[[#This Row],[Profit]]/clean_data[[#This Row],[Revenue]]</f>
        <v>0.5</v>
      </c>
      <c r="T931" t="str" cm="1">
        <f t="array" ref="T931">_xlfn.IFS(clean_data[[#This Row],[Revenue]]&lt;300000,"Small",
     clean_data[[#This Row],[Revenue]]&lt;700000,"Medium",
     TRUE,"Large")</f>
        <v>Small</v>
      </c>
      <c r="U931" t="str" cm="1">
        <f t="array" ref="U931">_xlfn.IFS(clean_data[[#This Row],[profit margin%]]&lt;0.5,"Low Profit",
     clean_data[[#This Row],[profit margin%]]&lt;0.6,"Medium Profit",
     TRUE,"High Profit")</f>
        <v>Medium Profit</v>
      </c>
      <c r="V931" t="str">
        <f>TEXT(clean_data[[#This Row],[Date]],"mmm-yyyy")</f>
        <v>Mar-2024</v>
      </c>
      <c r="W931" s="8">
        <f>EOMONTH(clean_data[[#This Row],[Date]],-1)+1</f>
        <v>45352</v>
      </c>
    </row>
    <row r="932" spans="1:23" x14ac:dyDescent="0.3">
      <c r="A932" t="s">
        <v>1004</v>
      </c>
      <c r="B932" s="1">
        <v>45111</v>
      </c>
      <c r="C932" t="s">
        <v>46</v>
      </c>
      <c r="D932" t="s">
        <v>47</v>
      </c>
      <c r="E932" t="s">
        <v>56</v>
      </c>
      <c r="F932" t="s">
        <v>20</v>
      </c>
      <c r="G932" t="s">
        <v>53</v>
      </c>
      <c r="H932">
        <v>11</v>
      </c>
      <c r="I932">
        <v>600</v>
      </c>
      <c r="J932">
        <v>0</v>
      </c>
      <c r="K932">
        <v>6600</v>
      </c>
      <c r="L932">
        <v>2640</v>
      </c>
      <c r="M932">
        <v>3960</v>
      </c>
      <c r="N932" t="s">
        <v>49</v>
      </c>
      <c r="O932" t="s">
        <v>23</v>
      </c>
      <c r="P932" t="s">
        <v>24</v>
      </c>
      <c r="Q932" t="str">
        <f>TEXT(clean_data[[#This Row],[Date]],"mmm")</f>
        <v>Jul</v>
      </c>
      <c r="R932">
        <f>YEAR(clean_data[[#This Row],[Date]])</f>
        <v>2023</v>
      </c>
      <c r="S932" s="2">
        <f>clean_data[[#This Row],[Profit]]/clean_data[[#This Row],[Revenue]]</f>
        <v>0.6</v>
      </c>
      <c r="T932" t="str" cm="1">
        <f t="array" ref="T932">_xlfn.IFS(clean_data[[#This Row],[Revenue]]&lt;300000,"Small",
     clean_data[[#This Row],[Revenue]]&lt;700000,"Medium",
     TRUE,"Large")</f>
        <v>Small</v>
      </c>
      <c r="U932" t="str" cm="1">
        <f t="array" ref="U932">_xlfn.IFS(clean_data[[#This Row],[profit margin%]]&lt;0.5,"Low Profit",
     clean_data[[#This Row],[profit margin%]]&lt;0.6,"Medium Profit",
     TRUE,"High Profit")</f>
        <v>High Profit</v>
      </c>
      <c r="V932" t="str">
        <f>TEXT(clean_data[[#This Row],[Date]],"mmm-yyyy")</f>
        <v>Jul-2023</v>
      </c>
      <c r="W932" s="8">
        <f>EOMONTH(clean_data[[#This Row],[Date]],-1)+1</f>
        <v>45108</v>
      </c>
    </row>
    <row r="933" spans="1:23" x14ac:dyDescent="0.3">
      <c r="A933" t="s">
        <v>1005</v>
      </c>
      <c r="B933" s="1">
        <v>45649</v>
      </c>
      <c r="C933" t="s">
        <v>17</v>
      </c>
      <c r="D933" t="s">
        <v>42</v>
      </c>
      <c r="E933" t="s">
        <v>111</v>
      </c>
      <c r="F933" t="s">
        <v>33</v>
      </c>
      <c r="G933" t="s">
        <v>76</v>
      </c>
      <c r="H933">
        <v>28</v>
      </c>
      <c r="I933">
        <v>8500</v>
      </c>
      <c r="J933">
        <v>5</v>
      </c>
      <c r="K933">
        <v>226100</v>
      </c>
      <c r="L933">
        <v>113050</v>
      </c>
      <c r="M933">
        <v>113050</v>
      </c>
      <c r="N933" t="s">
        <v>30</v>
      </c>
      <c r="O933" t="s">
        <v>67</v>
      </c>
      <c r="P933" t="s">
        <v>24</v>
      </c>
      <c r="Q933" t="str">
        <f>TEXT(clean_data[[#This Row],[Date]],"mmm")</f>
        <v>Dec</v>
      </c>
      <c r="R933">
        <f>YEAR(clean_data[[#This Row],[Date]])</f>
        <v>2024</v>
      </c>
      <c r="S933" s="2">
        <f>clean_data[[#This Row],[Profit]]/clean_data[[#This Row],[Revenue]]</f>
        <v>0.5</v>
      </c>
      <c r="T933" t="str" cm="1">
        <f t="array" ref="T933">_xlfn.IFS(clean_data[[#This Row],[Revenue]]&lt;300000,"Small",
     clean_data[[#This Row],[Revenue]]&lt;700000,"Medium",
     TRUE,"Large")</f>
        <v>Small</v>
      </c>
      <c r="U933" t="str" cm="1">
        <f t="array" ref="U933">_xlfn.IFS(clean_data[[#This Row],[profit margin%]]&lt;0.5,"Low Profit",
     clean_data[[#This Row],[profit margin%]]&lt;0.6,"Medium Profit",
     TRUE,"High Profit")</f>
        <v>Medium Profit</v>
      </c>
      <c r="V933" t="str">
        <f>TEXT(clean_data[[#This Row],[Date]],"mmm-yyyy")</f>
        <v>Dec-2024</v>
      </c>
      <c r="W933" s="8">
        <f>EOMONTH(clean_data[[#This Row],[Date]],-1)+1</f>
        <v>45627</v>
      </c>
    </row>
    <row r="934" spans="1:23" x14ac:dyDescent="0.3">
      <c r="A934" t="s">
        <v>1006</v>
      </c>
      <c r="B934" s="1">
        <v>45296</v>
      </c>
      <c r="C934" t="s">
        <v>46</v>
      </c>
      <c r="D934" t="s">
        <v>55</v>
      </c>
      <c r="E934" t="s">
        <v>38</v>
      </c>
      <c r="F934" t="s">
        <v>28</v>
      </c>
      <c r="G934" t="s">
        <v>87</v>
      </c>
      <c r="H934">
        <v>26</v>
      </c>
      <c r="I934">
        <v>45000</v>
      </c>
      <c r="J934">
        <v>5</v>
      </c>
      <c r="K934">
        <v>1111500</v>
      </c>
      <c r="L934">
        <v>611325</v>
      </c>
      <c r="M934">
        <v>500175</v>
      </c>
      <c r="N934" t="s">
        <v>22</v>
      </c>
      <c r="O934" t="s">
        <v>35</v>
      </c>
      <c r="P934" t="s">
        <v>40</v>
      </c>
      <c r="Q934" t="str">
        <f>TEXT(clean_data[[#This Row],[Date]],"mmm")</f>
        <v>Jan</v>
      </c>
      <c r="R934">
        <f>YEAR(clean_data[[#This Row],[Date]])</f>
        <v>2024</v>
      </c>
      <c r="S934" s="2">
        <f>clean_data[[#This Row],[Profit]]/clean_data[[#This Row],[Revenue]]</f>
        <v>0.45</v>
      </c>
      <c r="T934" t="str" cm="1">
        <f t="array" ref="T934">_xlfn.IFS(clean_data[[#This Row],[Revenue]]&lt;300000,"Small",
     clean_data[[#This Row],[Revenue]]&lt;700000,"Medium",
     TRUE,"Large")</f>
        <v>Large</v>
      </c>
      <c r="U934" t="str" cm="1">
        <f t="array" ref="U934">_xlfn.IFS(clean_data[[#This Row],[profit margin%]]&lt;0.5,"Low Profit",
     clean_data[[#This Row],[profit margin%]]&lt;0.6,"Medium Profit",
     TRUE,"High Profit")</f>
        <v>Low Profit</v>
      </c>
      <c r="V934" t="str">
        <f>TEXT(clean_data[[#This Row],[Date]],"mmm-yyyy")</f>
        <v>Jan-2024</v>
      </c>
      <c r="W934" s="8">
        <f>EOMONTH(clean_data[[#This Row],[Date]],-1)+1</f>
        <v>45292</v>
      </c>
    </row>
    <row r="935" spans="1:23" x14ac:dyDescent="0.3">
      <c r="A935" t="s">
        <v>1007</v>
      </c>
      <c r="B935" s="1">
        <v>45459</v>
      </c>
      <c r="C935" t="s">
        <v>17</v>
      </c>
      <c r="D935" t="s">
        <v>42</v>
      </c>
      <c r="E935" t="s">
        <v>32</v>
      </c>
      <c r="F935" t="s">
        <v>65</v>
      </c>
      <c r="G935" t="s">
        <v>104</v>
      </c>
      <c r="H935">
        <v>4</v>
      </c>
      <c r="I935">
        <v>3000</v>
      </c>
      <c r="J935">
        <v>10</v>
      </c>
      <c r="K935">
        <v>10800</v>
      </c>
      <c r="L935">
        <v>4860</v>
      </c>
      <c r="M935">
        <v>5940</v>
      </c>
      <c r="N935" t="s">
        <v>30</v>
      </c>
      <c r="O935" t="s">
        <v>50</v>
      </c>
      <c r="P935" t="s">
        <v>24</v>
      </c>
      <c r="Q935" t="str">
        <f>TEXT(clean_data[[#This Row],[Date]],"mmm")</f>
        <v>Jun</v>
      </c>
      <c r="R935">
        <f>YEAR(clean_data[[#This Row],[Date]])</f>
        <v>2024</v>
      </c>
      <c r="S935" s="2">
        <f>clean_data[[#This Row],[Profit]]/clean_data[[#This Row],[Revenue]]</f>
        <v>0.55000000000000004</v>
      </c>
      <c r="T935" t="str" cm="1">
        <f t="array" ref="T935">_xlfn.IFS(clean_data[[#This Row],[Revenue]]&lt;300000,"Small",
     clean_data[[#This Row],[Revenue]]&lt;700000,"Medium",
     TRUE,"Large")</f>
        <v>Small</v>
      </c>
      <c r="U935" t="str" cm="1">
        <f t="array" ref="U935">_xlfn.IFS(clean_data[[#This Row],[profit margin%]]&lt;0.5,"Low Profit",
     clean_data[[#This Row],[profit margin%]]&lt;0.6,"Medium Profit",
     TRUE,"High Profit")</f>
        <v>Medium Profit</v>
      </c>
      <c r="V935" t="str">
        <f>TEXT(clean_data[[#This Row],[Date]],"mmm-yyyy")</f>
        <v>Jun-2024</v>
      </c>
      <c r="W935" s="8">
        <f>EOMONTH(clean_data[[#This Row],[Date]],-1)+1</f>
        <v>45444</v>
      </c>
    </row>
    <row r="936" spans="1:23" x14ac:dyDescent="0.3">
      <c r="A936" t="s">
        <v>1008</v>
      </c>
      <c r="B936" s="1">
        <v>44746</v>
      </c>
      <c r="C936" t="s">
        <v>26</v>
      </c>
      <c r="D936" t="s">
        <v>69</v>
      </c>
      <c r="E936" t="s">
        <v>38</v>
      </c>
      <c r="F936" t="s">
        <v>33</v>
      </c>
      <c r="G936" t="s">
        <v>39</v>
      </c>
      <c r="H936">
        <v>16</v>
      </c>
      <c r="I936">
        <v>5000</v>
      </c>
      <c r="J936">
        <v>10</v>
      </c>
      <c r="K936">
        <v>72000</v>
      </c>
      <c r="L936">
        <v>36000</v>
      </c>
      <c r="M936">
        <v>36000</v>
      </c>
      <c r="N936" t="s">
        <v>22</v>
      </c>
      <c r="O936" t="s">
        <v>35</v>
      </c>
      <c r="P936" t="s">
        <v>24</v>
      </c>
      <c r="Q936" t="str">
        <f>TEXT(clean_data[[#This Row],[Date]],"mmm")</f>
        <v>Jul</v>
      </c>
      <c r="R936">
        <f>YEAR(clean_data[[#This Row],[Date]])</f>
        <v>2022</v>
      </c>
      <c r="S936" s="2">
        <f>clean_data[[#This Row],[Profit]]/clean_data[[#This Row],[Revenue]]</f>
        <v>0.5</v>
      </c>
      <c r="T936" t="str" cm="1">
        <f t="array" ref="T936">_xlfn.IFS(clean_data[[#This Row],[Revenue]]&lt;300000,"Small",
     clean_data[[#This Row],[Revenue]]&lt;700000,"Medium",
     TRUE,"Large")</f>
        <v>Small</v>
      </c>
      <c r="U936" t="str" cm="1">
        <f t="array" ref="U936">_xlfn.IFS(clean_data[[#This Row],[profit margin%]]&lt;0.5,"Low Profit",
     clean_data[[#This Row],[profit margin%]]&lt;0.6,"Medium Profit",
     TRUE,"High Profit")</f>
        <v>Medium Profit</v>
      </c>
      <c r="V936" t="str">
        <f>TEXT(clean_data[[#This Row],[Date]],"mmm-yyyy")</f>
        <v>Jul-2022</v>
      </c>
      <c r="W936" s="8">
        <f>EOMONTH(clean_data[[#This Row],[Date]],-1)+1</f>
        <v>44743</v>
      </c>
    </row>
    <row r="937" spans="1:23" x14ac:dyDescent="0.3">
      <c r="A937" t="s">
        <v>1009</v>
      </c>
      <c r="B937" s="1">
        <v>44688</v>
      </c>
      <c r="C937" t="s">
        <v>26</v>
      </c>
      <c r="D937" t="s">
        <v>69</v>
      </c>
      <c r="E937" t="s">
        <v>19</v>
      </c>
      <c r="F937" t="s">
        <v>20</v>
      </c>
      <c r="G937" t="s">
        <v>21</v>
      </c>
      <c r="H937">
        <v>16</v>
      </c>
      <c r="I937">
        <v>3500</v>
      </c>
      <c r="J937">
        <v>10</v>
      </c>
      <c r="K937">
        <v>50400</v>
      </c>
      <c r="L937">
        <v>20160</v>
      </c>
      <c r="M937">
        <v>30240</v>
      </c>
      <c r="N937" t="s">
        <v>22</v>
      </c>
      <c r="O937" t="s">
        <v>67</v>
      </c>
      <c r="P937" t="s">
        <v>24</v>
      </c>
      <c r="Q937" t="str">
        <f>TEXT(clean_data[[#This Row],[Date]],"mmm")</f>
        <v>May</v>
      </c>
      <c r="R937">
        <f>YEAR(clean_data[[#This Row],[Date]])</f>
        <v>2022</v>
      </c>
      <c r="S937" s="2">
        <f>clean_data[[#This Row],[Profit]]/clean_data[[#This Row],[Revenue]]</f>
        <v>0.6</v>
      </c>
      <c r="T937" t="str" cm="1">
        <f t="array" ref="T937">_xlfn.IFS(clean_data[[#This Row],[Revenue]]&lt;300000,"Small",
     clean_data[[#This Row],[Revenue]]&lt;700000,"Medium",
     TRUE,"Large")</f>
        <v>Small</v>
      </c>
      <c r="U937" t="str" cm="1">
        <f t="array" ref="U937">_xlfn.IFS(clean_data[[#This Row],[profit margin%]]&lt;0.5,"Low Profit",
     clean_data[[#This Row],[profit margin%]]&lt;0.6,"Medium Profit",
     TRUE,"High Profit")</f>
        <v>High Profit</v>
      </c>
      <c r="V937" t="str">
        <f>TEXT(clean_data[[#This Row],[Date]],"mmm-yyyy")</f>
        <v>May-2022</v>
      </c>
      <c r="W937" s="8">
        <f>EOMONTH(clean_data[[#This Row],[Date]],-1)+1</f>
        <v>44682</v>
      </c>
    </row>
    <row r="938" spans="1:23" x14ac:dyDescent="0.3">
      <c r="A938" t="s">
        <v>1010</v>
      </c>
      <c r="B938" s="1">
        <v>44639</v>
      </c>
      <c r="C938" t="s">
        <v>58</v>
      </c>
      <c r="D938" t="s">
        <v>84</v>
      </c>
      <c r="E938" t="s">
        <v>56</v>
      </c>
      <c r="F938" t="s">
        <v>33</v>
      </c>
      <c r="G938" t="s">
        <v>39</v>
      </c>
      <c r="H938">
        <v>20</v>
      </c>
      <c r="I938">
        <v>5000</v>
      </c>
      <c r="J938">
        <v>0</v>
      </c>
      <c r="K938">
        <v>100000</v>
      </c>
      <c r="L938">
        <v>50000</v>
      </c>
      <c r="M938">
        <v>50000</v>
      </c>
      <c r="N938" t="s">
        <v>49</v>
      </c>
      <c r="O938" t="s">
        <v>23</v>
      </c>
      <c r="P938" t="s">
        <v>24</v>
      </c>
      <c r="Q938" t="str">
        <f>TEXT(clean_data[[#This Row],[Date]],"mmm")</f>
        <v>Mar</v>
      </c>
      <c r="R938">
        <f>YEAR(clean_data[[#This Row],[Date]])</f>
        <v>2022</v>
      </c>
      <c r="S938" s="2">
        <f>clean_data[[#This Row],[Profit]]/clean_data[[#This Row],[Revenue]]</f>
        <v>0.5</v>
      </c>
      <c r="T938" t="str" cm="1">
        <f t="array" ref="T938">_xlfn.IFS(clean_data[[#This Row],[Revenue]]&lt;300000,"Small",
     clean_data[[#This Row],[Revenue]]&lt;700000,"Medium",
     TRUE,"Large")</f>
        <v>Small</v>
      </c>
      <c r="U938" t="str" cm="1">
        <f t="array" ref="U938">_xlfn.IFS(clean_data[[#This Row],[profit margin%]]&lt;0.5,"Low Profit",
     clean_data[[#This Row],[profit margin%]]&lt;0.6,"Medium Profit",
     TRUE,"High Profit")</f>
        <v>Medium Profit</v>
      </c>
      <c r="V938" t="str">
        <f>TEXT(clean_data[[#This Row],[Date]],"mmm-yyyy")</f>
        <v>Mar-2022</v>
      </c>
      <c r="W938" s="8">
        <f>EOMONTH(clean_data[[#This Row],[Date]],-1)+1</f>
        <v>44621</v>
      </c>
    </row>
    <row r="939" spans="1:23" x14ac:dyDescent="0.3">
      <c r="A939" t="s">
        <v>1011</v>
      </c>
      <c r="B939" s="1">
        <v>45542</v>
      </c>
      <c r="C939" t="s">
        <v>17</v>
      </c>
      <c r="D939" t="s">
        <v>37</v>
      </c>
      <c r="E939" t="s">
        <v>70</v>
      </c>
      <c r="F939" t="s">
        <v>20</v>
      </c>
      <c r="G939" t="s">
        <v>21</v>
      </c>
      <c r="H939">
        <v>22</v>
      </c>
      <c r="I939">
        <v>3500</v>
      </c>
      <c r="J939">
        <v>15</v>
      </c>
      <c r="K939">
        <v>65450</v>
      </c>
      <c r="L939">
        <v>26180</v>
      </c>
      <c r="M939">
        <v>39270</v>
      </c>
      <c r="N939" t="s">
        <v>30</v>
      </c>
      <c r="O939" t="s">
        <v>67</v>
      </c>
      <c r="P939" t="s">
        <v>40</v>
      </c>
      <c r="Q939" t="str">
        <f>TEXT(clean_data[[#This Row],[Date]],"mmm")</f>
        <v>Sep</v>
      </c>
      <c r="R939">
        <f>YEAR(clean_data[[#This Row],[Date]])</f>
        <v>2024</v>
      </c>
      <c r="S939" s="2">
        <f>clean_data[[#This Row],[Profit]]/clean_data[[#This Row],[Revenue]]</f>
        <v>0.6</v>
      </c>
      <c r="T939" t="str" cm="1">
        <f t="array" ref="T939">_xlfn.IFS(clean_data[[#This Row],[Revenue]]&lt;300000,"Small",
     clean_data[[#This Row],[Revenue]]&lt;700000,"Medium",
     TRUE,"Large")</f>
        <v>Small</v>
      </c>
      <c r="U939" t="str" cm="1">
        <f t="array" ref="U939">_xlfn.IFS(clean_data[[#This Row],[profit margin%]]&lt;0.5,"Low Profit",
     clean_data[[#This Row],[profit margin%]]&lt;0.6,"Medium Profit",
     TRUE,"High Profit")</f>
        <v>High Profit</v>
      </c>
      <c r="V939" t="str">
        <f>TEXT(clean_data[[#This Row],[Date]],"mmm-yyyy")</f>
        <v>Sep-2024</v>
      </c>
      <c r="W939" s="8">
        <f>EOMONTH(clean_data[[#This Row],[Date]],-1)+1</f>
        <v>45536</v>
      </c>
    </row>
    <row r="940" spans="1:23" x14ac:dyDescent="0.3">
      <c r="A940" t="s">
        <v>1012</v>
      </c>
      <c r="B940" s="1">
        <v>44835</v>
      </c>
      <c r="C940" t="s">
        <v>58</v>
      </c>
      <c r="D940" t="s">
        <v>59</v>
      </c>
      <c r="E940" t="s">
        <v>38</v>
      </c>
      <c r="F940" t="s">
        <v>28</v>
      </c>
      <c r="G940" t="s">
        <v>71</v>
      </c>
      <c r="H940">
        <v>11</v>
      </c>
      <c r="I940">
        <v>35000</v>
      </c>
      <c r="J940">
        <v>5</v>
      </c>
      <c r="K940">
        <v>365750</v>
      </c>
      <c r="L940">
        <v>201162.5</v>
      </c>
      <c r="M940">
        <v>164587.5</v>
      </c>
      <c r="N940" t="s">
        <v>30</v>
      </c>
      <c r="O940" t="s">
        <v>35</v>
      </c>
      <c r="P940" t="s">
        <v>24</v>
      </c>
      <c r="Q940" t="str">
        <f>TEXT(clean_data[[#This Row],[Date]],"mmm")</f>
        <v>Oct</v>
      </c>
      <c r="R940">
        <f>YEAR(clean_data[[#This Row],[Date]])</f>
        <v>2022</v>
      </c>
      <c r="S940" s="2">
        <f>clean_data[[#This Row],[Profit]]/clean_data[[#This Row],[Revenue]]</f>
        <v>0.45</v>
      </c>
      <c r="T940" t="str" cm="1">
        <f t="array" ref="T940">_xlfn.IFS(clean_data[[#This Row],[Revenue]]&lt;300000,"Small",
     clean_data[[#This Row],[Revenue]]&lt;700000,"Medium",
     TRUE,"Large")</f>
        <v>Medium</v>
      </c>
      <c r="U940" t="str" cm="1">
        <f t="array" ref="U940">_xlfn.IFS(clean_data[[#This Row],[profit margin%]]&lt;0.5,"Low Profit",
     clean_data[[#This Row],[profit margin%]]&lt;0.6,"Medium Profit",
     TRUE,"High Profit")</f>
        <v>Low Profit</v>
      </c>
      <c r="V940" t="str">
        <f>TEXT(clean_data[[#This Row],[Date]],"mmm-yyyy")</f>
        <v>Oct-2022</v>
      </c>
      <c r="W940" s="8">
        <f>EOMONTH(clean_data[[#This Row],[Date]],-1)+1</f>
        <v>44835</v>
      </c>
    </row>
    <row r="941" spans="1:23" x14ac:dyDescent="0.3">
      <c r="A941" t="s">
        <v>1013</v>
      </c>
      <c r="B941" s="1">
        <v>44992</v>
      </c>
      <c r="C941" t="s">
        <v>46</v>
      </c>
      <c r="D941" t="s">
        <v>47</v>
      </c>
      <c r="E941" t="s">
        <v>111</v>
      </c>
      <c r="F941" t="s">
        <v>33</v>
      </c>
      <c r="G941" t="s">
        <v>48</v>
      </c>
      <c r="H941">
        <v>9</v>
      </c>
      <c r="I941">
        <v>1500</v>
      </c>
      <c r="J941">
        <v>10</v>
      </c>
      <c r="K941">
        <v>12150</v>
      </c>
      <c r="L941">
        <v>6075</v>
      </c>
      <c r="M941">
        <v>6075</v>
      </c>
      <c r="N941" t="s">
        <v>49</v>
      </c>
      <c r="O941" t="s">
        <v>67</v>
      </c>
      <c r="P941" t="s">
        <v>24</v>
      </c>
      <c r="Q941" t="str">
        <f>TEXT(clean_data[[#This Row],[Date]],"mmm")</f>
        <v>Mar</v>
      </c>
      <c r="R941">
        <f>YEAR(clean_data[[#This Row],[Date]])</f>
        <v>2023</v>
      </c>
      <c r="S941" s="2">
        <f>clean_data[[#This Row],[Profit]]/clean_data[[#This Row],[Revenue]]</f>
        <v>0.5</v>
      </c>
      <c r="T941" t="str" cm="1">
        <f t="array" ref="T941">_xlfn.IFS(clean_data[[#This Row],[Revenue]]&lt;300000,"Small",
     clean_data[[#This Row],[Revenue]]&lt;700000,"Medium",
     TRUE,"Large")</f>
        <v>Small</v>
      </c>
      <c r="U941" t="str" cm="1">
        <f t="array" ref="U941">_xlfn.IFS(clean_data[[#This Row],[profit margin%]]&lt;0.5,"Low Profit",
     clean_data[[#This Row],[profit margin%]]&lt;0.6,"Medium Profit",
     TRUE,"High Profit")</f>
        <v>Medium Profit</v>
      </c>
      <c r="V941" t="str">
        <f>TEXT(clean_data[[#This Row],[Date]],"mmm-yyyy")</f>
        <v>Mar-2023</v>
      </c>
      <c r="W941" s="8">
        <f>EOMONTH(clean_data[[#This Row],[Date]],-1)+1</f>
        <v>44986</v>
      </c>
    </row>
    <row r="942" spans="1:23" x14ac:dyDescent="0.3">
      <c r="A942" t="s">
        <v>1014</v>
      </c>
      <c r="B942" s="1">
        <v>45384</v>
      </c>
      <c r="C942" t="s">
        <v>58</v>
      </c>
      <c r="D942" t="s">
        <v>84</v>
      </c>
      <c r="E942" t="s">
        <v>19</v>
      </c>
      <c r="F942" t="s">
        <v>28</v>
      </c>
      <c r="G942" t="s">
        <v>87</v>
      </c>
      <c r="H942">
        <v>37</v>
      </c>
      <c r="I942">
        <v>45000</v>
      </c>
      <c r="J942">
        <v>15</v>
      </c>
      <c r="K942">
        <v>1415250</v>
      </c>
      <c r="L942">
        <v>778387.5</v>
      </c>
      <c r="M942">
        <v>636862.5</v>
      </c>
      <c r="N942" t="s">
        <v>30</v>
      </c>
      <c r="O942" t="s">
        <v>44</v>
      </c>
      <c r="P942" t="s">
        <v>24</v>
      </c>
      <c r="Q942" t="str">
        <f>TEXT(clean_data[[#This Row],[Date]],"mmm")</f>
        <v>Apr</v>
      </c>
      <c r="R942">
        <f>YEAR(clean_data[[#This Row],[Date]])</f>
        <v>2024</v>
      </c>
      <c r="S942" s="2">
        <f>clean_data[[#This Row],[Profit]]/clean_data[[#This Row],[Revenue]]</f>
        <v>0.45</v>
      </c>
      <c r="T942" t="str" cm="1">
        <f t="array" ref="T942">_xlfn.IFS(clean_data[[#This Row],[Revenue]]&lt;300000,"Small",
     clean_data[[#This Row],[Revenue]]&lt;700000,"Medium",
     TRUE,"Large")</f>
        <v>Large</v>
      </c>
      <c r="U942" t="str" cm="1">
        <f t="array" ref="U942">_xlfn.IFS(clean_data[[#This Row],[profit margin%]]&lt;0.5,"Low Profit",
     clean_data[[#This Row],[profit margin%]]&lt;0.6,"Medium Profit",
     TRUE,"High Profit")</f>
        <v>Low Profit</v>
      </c>
      <c r="V942" t="str">
        <f>TEXT(clean_data[[#This Row],[Date]],"mmm-yyyy")</f>
        <v>Apr-2024</v>
      </c>
      <c r="W942" s="8">
        <f>EOMONTH(clean_data[[#This Row],[Date]],-1)+1</f>
        <v>45383</v>
      </c>
    </row>
    <row r="943" spans="1:23" x14ac:dyDescent="0.3">
      <c r="A943" t="s">
        <v>1015</v>
      </c>
      <c r="B943" s="1">
        <v>45156</v>
      </c>
      <c r="C943" t="s">
        <v>26</v>
      </c>
      <c r="D943" t="s">
        <v>69</v>
      </c>
      <c r="E943" t="s">
        <v>52</v>
      </c>
      <c r="F943" t="s">
        <v>65</v>
      </c>
      <c r="G943" t="s">
        <v>124</v>
      </c>
      <c r="H943">
        <v>11</v>
      </c>
      <c r="I943">
        <v>18000</v>
      </c>
      <c r="J943">
        <v>10</v>
      </c>
      <c r="K943">
        <v>178200</v>
      </c>
      <c r="L943">
        <v>80190</v>
      </c>
      <c r="M943">
        <v>98010</v>
      </c>
      <c r="N943" t="s">
        <v>30</v>
      </c>
      <c r="O943" t="s">
        <v>50</v>
      </c>
      <c r="P943" t="s">
        <v>24</v>
      </c>
      <c r="Q943" t="str">
        <f>TEXT(clean_data[[#This Row],[Date]],"mmm")</f>
        <v>Aug</v>
      </c>
      <c r="R943">
        <f>YEAR(clean_data[[#This Row],[Date]])</f>
        <v>2023</v>
      </c>
      <c r="S943" s="2">
        <f>clean_data[[#This Row],[Profit]]/clean_data[[#This Row],[Revenue]]</f>
        <v>0.55000000000000004</v>
      </c>
      <c r="T943" t="str" cm="1">
        <f t="array" ref="T943">_xlfn.IFS(clean_data[[#This Row],[Revenue]]&lt;300000,"Small",
     clean_data[[#This Row],[Revenue]]&lt;700000,"Medium",
     TRUE,"Large")</f>
        <v>Small</v>
      </c>
      <c r="U943" t="str" cm="1">
        <f t="array" ref="U943">_xlfn.IFS(clean_data[[#This Row],[profit margin%]]&lt;0.5,"Low Profit",
     clean_data[[#This Row],[profit margin%]]&lt;0.6,"Medium Profit",
     TRUE,"High Profit")</f>
        <v>Medium Profit</v>
      </c>
      <c r="V943" t="str">
        <f>TEXT(clean_data[[#This Row],[Date]],"mmm-yyyy")</f>
        <v>Aug-2023</v>
      </c>
      <c r="W943" s="8">
        <f>EOMONTH(clean_data[[#This Row],[Date]],-1)+1</f>
        <v>45139</v>
      </c>
    </row>
    <row r="944" spans="1:23" x14ac:dyDescent="0.3">
      <c r="A944" t="s">
        <v>1016</v>
      </c>
      <c r="B944" s="1">
        <v>45272</v>
      </c>
      <c r="C944" t="s">
        <v>26</v>
      </c>
      <c r="D944" t="s">
        <v>27</v>
      </c>
      <c r="E944" t="s">
        <v>78</v>
      </c>
      <c r="F944" t="s">
        <v>65</v>
      </c>
      <c r="G944" t="s">
        <v>124</v>
      </c>
      <c r="H944">
        <v>31</v>
      </c>
      <c r="I944">
        <v>18000</v>
      </c>
      <c r="J944">
        <v>10</v>
      </c>
      <c r="K944">
        <v>502200</v>
      </c>
      <c r="L944">
        <v>225990</v>
      </c>
      <c r="M944">
        <v>276210</v>
      </c>
      <c r="N944" t="s">
        <v>22</v>
      </c>
      <c r="O944" t="s">
        <v>44</v>
      </c>
      <c r="P944" t="s">
        <v>24</v>
      </c>
      <c r="Q944" t="str">
        <f>TEXT(clean_data[[#This Row],[Date]],"mmm")</f>
        <v>Dec</v>
      </c>
      <c r="R944">
        <f>YEAR(clean_data[[#This Row],[Date]])</f>
        <v>2023</v>
      </c>
      <c r="S944" s="2">
        <f>clean_data[[#This Row],[Profit]]/clean_data[[#This Row],[Revenue]]</f>
        <v>0.55000000000000004</v>
      </c>
      <c r="T944" t="str" cm="1">
        <f t="array" ref="T944">_xlfn.IFS(clean_data[[#This Row],[Revenue]]&lt;300000,"Small",
     clean_data[[#This Row],[Revenue]]&lt;700000,"Medium",
     TRUE,"Large")</f>
        <v>Medium</v>
      </c>
      <c r="U944" t="str" cm="1">
        <f t="array" ref="U944">_xlfn.IFS(clean_data[[#This Row],[profit margin%]]&lt;0.5,"Low Profit",
     clean_data[[#This Row],[profit margin%]]&lt;0.6,"Medium Profit",
     TRUE,"High Profit")</f>
        <v>Medium Profit</v>
      </c>
      <c r="V944" t="str">
        <f>TEXT(clean_data[[#This Row],[Date]],"mmm-yyyy")</f>
        <v>Dec-2023</v>
      </c>
      <c r="W944" s="8">
        <f>EOMONTH(clean_data[[#This Row],[Date]],-1)+1</f>
        <v>45261</v>
      </c>
    </row>
    <row r="945" spans="1:23" x14ac:dyDescent="0.3">
      <c r="A945" t="s">
        <v>1017</v>
      </c>
      <c r="B945" s="1">
        <v>44792</v>
      </c>
      <c r="C945" t="s">
        <v>58</v>
      </c>
      <c r="D945" t="s">
        <v>84</v>
      </c>
      <c r="E945" t="s">
        <v>70</v>
      </c>
      <c r="F945" t="s">
        <v>33</v>
      </c>
      <c r="G945" t="s">
        <v>48</v>
      </c>
      <c r="H945">
        <v>27</v>
      </c>
      <c r="I945">
        <v>1500</v>
      </c>
      <c r="J945">
        <v>20</v>
      </c>
      <c r="K945">
        <v>32400</v>
      </c>
      <c r="L945">
        <v>16200</v>
      </c>
      <c r="M945">
        <v>16200</v>
      </c>
      <c r="N945" t="s">
        <v>49</v>
      </c>
      <c r="O945" t="s">
        <v>50</v>
      </c>
      <c r="P945" t="s">
        <v>24</v>
      </c>
      <c r="Q945" t="str">
        <f>TEXT(clean_data[[#This Row],[Date]],"mmm")</f>
        <v>Aug</v>
      </c>
      <c r="R945">
        <f>YEAR(clean_data[[#This Row],[Date]])</f>
        <v>2022</v>
      </c>
      <c r="S945" s="2">
        <f>clean_data[[#This Row],[Profit]]/clean_data[[#This Row],[Revenue]]</f>
        <v>0.5</v>
      </c>
      <c r="T945" t="str" cm="1">
        <f t="array" ref="T945">_xlfn.IFS(clean_data[[#This Row],[Revenue]]&lt;300000,"Small",
     clean_data[[#This Row],[Revenue]]&lt;700000,"Medium",
     TRUE,"Large")</f>
        <v>Small</v>
      </c>
      <c r="U945" t="str" cm="1">
        <f t="array" ref="U945">_xlfn.IFS(clean_data[[#This Row],[profit margin%]]&lt;0.5,"Low Profit",
     clean_data[[#This Row],[profit margin%]]&lt;0.6,"Medium Profit",
     TRUE,"High Profit")</f>
        <v>Medium Profit</v>
      </c>
      <c r="V945" t="str">
        <f>TEXT(clean_data[[#This Row],[Date]],"mmm-yyyy")</f>
        <v>Aug-2022</v>
      </c>
      <c r="W945" s="8">
        <f>EOMONTH(clean_data[[#This Row],[Date]],-1)+1</f>
        <v>44774</v>
      </c>
    </row>
    <row r="946" spans="1:23" x14ac:dyDescent="0.3">
      <c r="A946" t="s">
        <v>1018</v>
      </c>
      <c r="B946" s="1">
        <v>45563</v>
      </c>
      <c r="C946" t="s">
        <v>17</v>
      </c>
      <c r="D946" t="s">
        <v>37</v>
      </c>
      <c r="E946" t="s">
        <v>52</v>
      </c>
      <c r="F946" t="s">
        <v>65</v>
      </c>
      <c r="G946" t="s">
        <v>79</v>
      </c>
      <c r="H946">
        <v>29</v>
      </c>
      <c r="I946">
        <v>900</v>
      </c>
      <c r="J946">
        <v>10</v>
      </c>
      <c r="K946">
        <v>23490</v>
      </c>
      <c r="L946">
        <v>10570.5</v>
      </c>
      <c r="M946">
        <v>12919.5</v>
      </c>
      <c r="N946" t="s">
        <v>22</v>
      </c>
      <c r="O946" t="s">
        <v>35</v>
      </c>
      <c r="P946" t="s">
        <v>24</v>
      </c>
      <c r="Q946" t="str">
        <f>TEXT(clean_data[[#This Row],[Date]],"mmm")</f>
        <v>Sep</v>
      </c>
      <c r="R946">
        <f>YEAR(clean_data[[#This Row],[Date]])</f>
        <v>2024</v>
      </c>
      <c r="S946" s="2">
        <f>clean_data[[#This Row],[Profit]]/clean_data[[#This Row],[Revenue]]</f>
        <v>0.55000000000000004</v>
      </c>
      <c r="T946" t="str" cm="1">
        <f t="array" ref="T946">_xlfn.IFS(clean_data[[#This Row],[Revenue]]&lt;300000,"Small",
     clean_data[[#This Row],[Revenue]]&lt;700000,"Medium",
     TRUE,"Large")</f>
        <v>Small</v>
      </c>
      <c r="U946" t="str" cm="1">
        <f t="array" ref="U946">_xlfn.IFS(clean_data[[#This Row],[profit margin%]]&lt;0.5,"Low Profit",
     clean_data[[#This Row],[profit margin%]]&lt;0.6,"Medium Profit",
     TRUE,"High Profit")</f>
        <v>Medium Profit</v>
      </c>
      <c r="V946" t="str">
        <f>TEXT(clean_data[[#This Row],[Date]],"mmm-yyyy")</f>
        <v>Sep-2024</v>
      </c>
      <c r="W946" s="8">
        <f>EOMONTH(clean_data[[#This Row],[Date]],-1)+1</f>
        <v>45536</v>
      </c>
    </row>
    <row r="947" spans="1:23" x14ac:dyDescent="0.3">
      <c r="A947" t="s">
        <v>1019</v>
      </c>
      <c r="B947" s="1">
        <v>45039</v>
      </c>
      <c r="C947" t="s">
        <v>26</v>
      </c>
      <c r="D947" t="s">
        <v>27</v>
      </c>
      <c r="E947" t="s">
        <v>52</v>
      </c>
      <c r="F947" t="s">
        <v>33</v>
      </c>
      <c r="G947" t="s">
        <v>48</v>
      </c>
      <c r="H947">
        <v>11</v>
      </c>
      <c r="I947">
        <v>1500</v>
      </c>
      <c r="J947">
        <v>20</v>
      </c>
      <c r="K947">
        <v>13200</v>
      </c>
      <c r="L947">
        <v>6600</v>
      </c>
      <c r="M947">
        <v>6600</v>
      </c>
      <c r="N947" t="s">
        <v>30</v>
      </c>
      <c r="O947" t="s">
        <v>44</v>
      </c>
      <c r="P947" t="s">
        <v>24</v>
      </c>
      <c r="Q947" t="str">
        <f>TEXT(clean_data[[#This Row],[Date]],"mmm")</f>
        <v>Apr</v>
      </c>
      <c r="R947">
        <f>YEAR(clean_data[[#This Row],[Date]])</f>
        <v>2023</v>
      </c>
      <c r="S947" s="2">
        <f>clean_data[[#This Row],[Profit]]/clean_data[[#This Row],[Revenue]]</f>
        <v>0.5</v>
      </c>
      <c r="T947" t="str" cm="1">
        <f t="array" ref="T947">_xlfn.IFS(clean_data[[#This Row],[Revenue]]&lt;300000,"Small",
     clean_data[[#This Row],[Revenue]]&lt;700000,"Medium",
     TRUE,"Large")</f>
        <v>Small</v>
      </c>
      <c r="U947" t="str" cm="1">
        <f t="array" ref="U947">_xlfn.IFS(clean_data[[#This Row],[profit margin%]]&lt;0.5,"Low Profit",
     clean_data[[#This Row],[profit margin%]]&lt;0.6,"Medium Profit",
     TRUE,"High Profit")</f>
        <v>Medium Profit</v>
      </c>
      <c r="V947" t="str">
        <f>TEXT(clean_data[[#This Row],[Date]],"mmm-yyyy")</f>
        <v>Apr-2023</v>
      </c>
      <c r="W947" s="8">
        <f>EOMONTH(clean_data[[#This Row],[Date]],-1)+1</f>
        <v>45017</v>
      </c>
    </row>
    <row r="948" spans="1:23" x14ac:dyDescent="0.3">
      <c r="A948" t="s">
        <v>1020</v>
      </c>
      <c r="B948" s="1">
        <v>45319</v>
      </c>
      <c r="C948" t="s">
        <v>58</v>
      </c>
      <c r="D948" t="s">
        <v>64</v>
      </c>
      <c r="E948" t="s">
        <v>52</v>
      </c>
      <c r="F948" t="s">
        <v>33</v>
      </c>
      <c r="G948" t="s">
        <v>48</v>
      </c>
      <c r="H948">
        <v>30</v>
      </c>
      <c r="I948">
        <v>1500</v>
      </c>
      <c r="J948">
        <v>20</v>
      </c>
      <c r="K948">
        <v>36000</v>
      </c>
      <c r="L948">
        <v>18000</v>
      </c>
      <c r="M948">
        <v>18000</v>
      </c>
      <c r="N948" t="s">
        <v>30</v>
      </c>
      <c r="O948" t="s">
        <v>35</v>
      </c>
      <c r="P948" t="s">
        <v>24</v>
      </c>
      <c r="Q948" t="str">
        <f>TEXT(clean_data[[#This Row],[Date]],"mmm")</f>
        <v>Jan</v>
      </c>
      <c r="R948">
        <f>YEAR(clean_data[[#This Row],[Date]])</f>
        <v>2024</v>
      </c>
      <c r="S948" s="2">
        <f>clean_data[[#This Row],[Profit]]/clean_data[[#This Row],[Revenue]]</f>
        <v>0.5</v>
      </c>
      <c r="T948" t="str" cm="1">
        <f t="array" ref="T948">_xlfn.IFS(clean_data[[#This Row],[Revenue]]&lt;300000,"Small",
     clean_data[[#This Row],[Revenue]]&lt;700000,"Medium",
     TRUE,"Large")</f>
        <v>Small</v>
      </c>
      <c r="U948" t="str" cm="1">
        <f t="array" ref="U948">_xlfn.IFS(clean_data[[#This Row],[profit margin%]]&lt;0.5,"Low Profit",
     clean_data[[#This Row],[profit margin%]]&lt;0.6,"Medium Profit",
     TRUE,"High Profit")</f>
        <v>Medium Profit</v>
      </c>
      <c r="V948" t="str">
        <f>TEXT(clean_data[[#This Row],[Date]],"mmm-yyyy")</f>
        <v>Jan-2024</v>
      </c>
      <c r="W948" s="8">
        <f>EOMONTH(clean_data[[#This Row],[Date]],-1)+1</f>
        <v>45292</v>
      </c>
    </row>
    <row r="949" spans="1:23" x14ac:dyDescent="0.3">
      <c r="A949" t="s">
        <v>1021</v>
      </c>
      <c r="B949" s="1">
        <v>44919</v>
      </c>
      <c r="C949" t="s">
        <v>26</v>
      </c>
      <c r="D949" t="s">
        <v>69</v>
      </c>
      <c r="E949" t="s">
        <v>32</v>
      </c>
      <c r="F949" t="s">
        <v>20</v>
      </c>
      <c r="G949" t="s">
        <v>115</v>
      </c>
      <c r="H949">
        <v>22</v>
      </c>
      <c r="I949">
        <v>2500</v>
      </c>
      <c r="J949">
        <v>0</v>
      </c>
      <c r="K949">
        <v>55000</v>
      </c>
      <c r="L949">
        <v>22000</v>
      </c>
      <c r="M949">
        <v>33000</v>
      </c>
      <c r="N949" t="s">
        <v>49</v>
      </c>
      <c r="O949" t="s">
        <v>67</v>
      </c>
      <c r="P949" t="s">
        <v>24</v>
      </c>
      <c r="Q949" t="str">
        <f>TEXT(clean_data[[#This Row],[Date]],"mmm")</f>
        <v>Dec</v>
      </c>
      <c r="R949">
        <f>YEAR(clean_data[[#This Row],[Date]])</f>
        <v>2022</v>
      </c>
      <c r="S949" s="2">
        <f>clean_data[[#This Row],[Profit]]/clean_data[[#This Row],[Revenue]]</f>
        <v>0.6</v>
      </c>
      <c r="T949" t="str" cm="1">
        <f t="array" ref="T949">_xlfn.IFS(clean_data[[#This Row],[Revenue]]&lt;300000,"Small",
     clean_data[[#This Row],[Revenue]]&lt;700000,"Medium",
     TRUE,"Large")</f>
        <v>Small</v>
      </c>
      <c r="U949" t="str" cm="1">
        <f t="array" ref="U949">_xlfn.IFS(clean_data[[#This Row],[profit margin%]]&lt;0.5,"Low Profit",
     clean_data[[#This Row],[profit margin%]]&lt;0.6,"Medium Profit",
     TRUE,"High Profit")</f>
        <v>High Profit</v>
      </c>
      <c r="V949" t="str">
        <f>TEXT(clean_data[[#This Row],[Date]],"mmm-yyyy")</f>
        <v>Dec-2022</v>
      </c>
      <c r="W949" s="8">
        <f>EOMONTH(clean_data[[#This Row],[Date]],-1)+1</f>
        <v>44896</v>
      </c>
    </row>
    <row r="950" spans="1:23" x14ac:dyDescent="0.3">
      <c r="A950" t="s">
        <v>1022</v>
      </c>
      <c r="B950" s="1">
        <v>45511</v>
      </c>
      <c r="C950" t="s">
        <v>58</v>
      </c>
      <c r="D950" t="s">
        <v>84</v>
      </c>
      <c r="E950" t="s">
        <v>73</v>
      </c>
      <c r="F950" t="s">
        <v>65</v>
      </c>
      <c r="G950" t="s">
        <v>117</v>
      </c>
      <c r="H950">
        <v>35</v>
      </c>
      <c r="I950">
        <v>1200</v>
      </c>
      <c r="J950">
        <v>5</v>
      </c>
      <c r="K950">
        <v>39900</v>
      </c>
      <c r="L950">
        <v>17955</v>
      </c>
      <c r="M950">
        <v>21945</v>
      </c>
      <c r="N950" t="s">
        <v>30</v>
      </c>
      <c r="O950" t="s">
        <v>44</v>
      </c>
      <c r="P950" t="s">
        <v>24</v>
      </c>
      <c r="Q950" t="str">
        <f>TEXT(clean_data[[#This Row],[Date]],"mmm")</f>
        <v>Aug</v>
      </c>
      <c r="R950">
        <f>YEAR(clean_data[[#This Row],[Date]])</f>
        <v>2024</v>
      </c>
      <c r="S950" s="2">
        <f>clean_data[[#This Row],[Profit]]/clean_data[[#This Row],[Revenue]]</f>
        <v>0.55000000000000004</v>
      </c>
      <c r="T950" t="str" cm="1">
        <f t="array" ref="T950">_xlfn.IFS(clean_data[[#This Row],[Revenue]]&lt;300000,"Small",
     clean_data[[#This Row],[Revenue]]&lt;700000,"Medium",
     TRUE,"Large")</f>
        <v>Small</v>
      </c>
      <c r="U950" t="str" cm="1">
        <f t="array" ref="U950">_xlfn.IFS(clean_data[[#This Row],[profit margin%]]&lt;0.5,"Low Profit",
     clean_data[[#This Row],[profit margin%]]&lt;0.6,"Medium Profit",
     TRUE,"High Profit")</f>
        <v>Medium Profit</v>
      </c>
      <c r="V950" t="str">
        <f>TEXT(clean_data[[#This Row],[Date]],"mmm-yyyy")</f>
        <v>Aug-2024</v>
      </c>
      <c r="W950" s="8">
        <f>EOMONTH(clean_data[[#This Row],[Date]],-1)+1</f>
        <v>45505</v>
      </c>
    </row>
    <row r="951" spans="1:23" x14ac:dyDescent="0.3">
      <c r="A951" t="s">
        <v>1023</v>
      </c>
      <c r="B951" s="1">
        <v>45188</v>
      </c>
      <c r="C951" t="s">
        <v>26</v>
      </c>
      <c r="D951" t="s">
        <v>69</v>
      </c>
      <c r="E951" t="s">
        <v>56</v>
      </c>
      <c r="F951" t="s">
        <v>33</v>
      </c>
      <c r="G951" t="s">
        <v>48</v>
      </c>
      <c r="H951">
        <v>31</v>
      </c>
      <c r="I951">
        <v>1500</v>
      </c>
      <c r="J951">
        <v>5</v>
      </c>
      <c r="K951">
        <v>44175</v>
      </c>
      <c r="L951">
        <v>22087.5</v>
      </c>
      <c r="M951">
        <v>22087.5</v>
      </c>
      <c r="N951" t="s">
        <v>30</v>
      </c>
      <c r="O951" t="s">
        <v>35</v>
      </c>
      <c r="P951" t="s">
        <v>24</v>
      </c>
      <c r="Q951" t="str">
        <f>TEXT(clean_data[[#This Row],[Date]],"mmm")</f>
        <v>Sep</v>
      </c>
      <c r="R951">
        <f>YEAR(clean_data[[#This Row],[Date]])</f>
        <v>2023</v>
      </c>
      <c r="S951" s="2">
        <f>clean_data[[#This Row],[Profit]]/clean_data[[#This Row],[Revenue]]</f>
        <v>0.5</v>
      </c>
      <c r="T951" t="str" cm="1">
        <f t="array" ref="T951">_xlfn.IFS(clean_data[[#This Row],[Revenue]]&lt;300000,"Small",
     clean_data[[#This Row],[Revenue]]&lt;700000,"Medium",
     TRUE,"Large")</f>
        <v>Small</v>
      </c>
      <c r="U951" t="str" cm="1">
        <f t="array" ref="U951">_xlfn.IFS(clean_data[[#This Row],[profit margin%]]&lt;0.5,"Low Profit",
     clean_data[[#This Row],[profit margin%]]&lt;0.6,"Medium Profit",
     TRUE,"High Profit")</f>
        <v>Medium Profit</v>
      </c>
      <c r="V951" t="str">
        <f>TEXT(clean_data[[#This Row],[Date]],"mmm-yyyy")</f>
        <v>Sep-2023</v>
      </c>
      <c r="W951" s="8">
        <f>EOMONTH(clean_data[[#This Row],[Date]],-1)+1</f>
        <v>45170</v>
      </c>
    </row>
    <row r="952" spans="1:23" x14ac:dyDescent="0.3">
      <c r="A952" t="s">
        <v>1024</v>
      </c>
      <c r="B952" s="1">
        <v>45391</v>
      </c>
      <c r="C952" t="s">
        <v>17</v>
      </c>
      <c r="D952" t="s">
        <v>42</v>
      </c>
      <c r="E952" t="s">
        <v>78</v>
      </c>
      <c r="F952" t="s">
        <v>28</v>
      </c>
      <c r="G952" t="s">
        <v>87</v>
      </c>
      <c r="H952">
        <v>5</v>
      </c>
      <c r="I952">
        <v>45000</v>
      </c>
      <c r="J952">
        <v>10</v>
      </c>
      <c r="K952">
        <v>202500</v>
      </c>
      <c r="L952">
        <v>111375</v>
      </c>
      <c r="M952">
        <v>91125</v>
      </c>
      <c r="N952" t="s">
        <v>30</v>
      </c>
      <c r="O952" t="s">
        <v>50</v>
      </c>
      <c r="P952" t="s">
        <v>24</v>
      </c>
      <c r="Q952" t="str">
        <f>TEXT(clean_data[[#This Row],[Date]],"mmm")</f>
        <v>Apr</v>
      </c>
      <c r="R952">
        <f>YEAR(clean_data[[#This Row],[Date]])</f>
        <v>2024</v>
      </c>
      <c r="S952" s="2">
        <f>clean_data[[#This Row],[Profit]]/clean_data[[#This Row],[Revenue]]</f>
        <v>0.45</v>
      </c>
      <c r="T952" t="str" cm="1">
        <f t="array" ref="T952">_xlfn.IFS(clean_data[[#This Row],[Revenue]]&lt;300000,"Small",
     clean_data[[#This Row],[Revenue]]&lt;700000,"Medium",
     TRUE,"Large")</f>
        <v>Small</v>
      </c>
      <c r="U952" t="str" cm="1">
        <f t="array" ref="U952">_xlfn.IFS(clean_data[[#This Row],[profit margin%]]&lt;0.5,"Low Profit",
     clean_data[[#This Row],[profit margin%]]&lt;0.6,"Medium Profit",
     TRUE,"High Profit")</f>
        <v>Low Profit</v>
      </c>
      <c r="V952" t="str">
        <f>TEXT(clean_data[[#This Row],[Date]],"mmm-yyyy")</f>
        <v>Apr-2024</v>
      </c>
      <c r="W952" s="8">
        <f>EOMONTH(clean_data[[#This Row],[Date]],-1)+1</f>
        <v>45383</v>
      </c>
    </row>
    <row r="953" spans="1:23" x14ac:dyDescent="0.3">
      <c r="A953" t="s">
        <v>1025</v>
      </c>
      <c r="B953" s="1">
        <v>45440</v>
      </c>
      <c r="C953" t="s">
        <v>58</v>
      </c>
      <c r="D953" t="s">
        <v>64</v>
      </c>
      <c r="E953" t="s">
        <v>19</v>
      </c>
      <c r="F953" t="s">
        <v>33</v>
      </c>
      <c r="G953" t="s">
        <v>76</v>
      </c>
      <c r="H953">
        <v>4</v>
      </c>
      <c r="I953">
        <v>8500</v>
      </c>
      <c r="J953">
        <v>0</v>
      </c>
      <c r="K953">
        <v>34000</v>
      </c>
      <c r="L953">
        <v>17000</v>
      </c>
      <c r="M953">
        <v>17000</v>
      </c>
      <c r="N953" t="s">
        <v>49</v>
      </c>
      <c r="O953" t="s">
        <v>50</v>
      </c>
      <c r="P953" t="s">
        <v>24</v>
      </c>
      <c r="Q953" t="str">
        <f>TEXT(clean_data[[#This Row],[Date]],"mmm")</f>
        <v>May</v>
      </c>
      <c r="R953">
        <f>YEAR(clean_data[[#This Row],[Date]])</f>
        <v>2024</v>
      </c>
      <c r="S953" s="2">
        <f>clean_data[[#This Row],[Profit]]/clean_data[[#This Row],[Revenue]]</f>
        <v>0.5</v>
      </c>
      <c r="T953" t="str" cm="1">
        <f t="array" ref="T953">_xlfn.IFS(clean_data[[#This Row],[Revenue]]&lt;300000,"Small",
     clean_data[[#This Row],[Revenue]]&lt;700000,"Medium",
     TRUE,"Large")</f>
        <v>Small</v>
      </c>
      <c r="U953" t="str" cm="1">
        <f t="array" ref="U953">_xlfn.IFS(clean_data[[#This Row],[profit margin%]]&lt;0.5,"Low Profit",
     clean_data[[#This Row],[profit margin%]]&lt;0.6,"Medium Profit",
     TRUE,"High Profit")</f>
        <v>Medium Profit</v>
      </c>
      <c r="V953" t="str">
        <f>TEXT(clean_data[[#This Row],[Date]],"mmm-yyyy")</f>
        <v>May-2024</v>
      </c>
      <c r="W953" s="8">
        <f>EOMONTH(clean_data[[#This Row],[Date]],-1)+1</f>
        <v>45413</v>
      </c>
    </row>
    <row r="954" spans="1:23" x14ac:dyDescent="0.3">
      <c r="A954" t="s">
        <v>1026</v>
      </c>
      <c r="B954" s="1">
        <v>44872</v>
      </c>
      <c r="C954" t="s">
        <v>17</v>
      </c>
      <c r="D954" t="s">
        <v>37</v>
      </c>
      <c r="E954" t="s">
        <v>60</v>
      </c>
      <c r="F954" t="s">
        <v>65</v>
      </c>
      <c r="G954" t="s">
        <v>79</v>
      </c>
      <c r="H954">
        <v>45</v>
      </c>
      <c r="I954">
        <v>900</v>
      </c>
      <c r="J954">
        <v>5</v>
      </c>
      <c r="K954">
        <v>38475</v>
      </c>
      <c r="L954">
        <v>17313.75</v>
      </c>
      <c r="M954">
        <v>21161.25</v>
      </c>
      <c r="N954" t="s">
        <v>49</v>
      </c>
      <c r="O954" t="s">
        <v>67</v>
      </c>
      <c r="P954" t="s">
        <v>24</v>
      </c>
      <c r="Q954" t="str">
        <f>TEXT(clean_data[[#This Row],[Date]],"mmm")</f>
        <v>Nov</v>
      </c>
      <c r="R954">
        <f>YEAR(clean_data[[#This Row],[Date]])</f>
        <v>2022</v>
      </c>
      <c r="S954" s="2">
        <f>clean_data[[#This Row],[Profit]]/clean_data[[#This Row],[Revenue]]</f>
        <v>0.55000000000000004</v>
      </c>
      <c r="T954" t="str" cm="1">
        <f t="array" ref="T954">_xlfn.IFS(clean_data[[#This Row],[Revenue]]&lt;300000,"Small",
     clean_data[[#This Row],[Revenue]]&lt;700000,"Medium",
     TRUE,"Large")</f>
        <v>Small</v>
      </c>
      <c r="U954" t="str" cm="1">
        <f t="array" ref="U954">_xlfn.IFS(clean_data[[#This Row],[profit margin%]]&lt;0.5,"Low Profit",
     clean_data[[#This Row],[profit margin%]]&lt;0.6,"Medium Profit",
     TRUE,"High Profit")</f>
        <v>Medium Profit</v>
      </c>
      <c r="V954" t="str">
        <f>TEXT(clean_data[[#This Row],[Date]],"mmm-yyyy")</f>
        <v>Nov-2022</v>
      </c>
      <c r="W954" s="8">
        <f>EOMONTH(clean_data[[#This Row],[Date]],-1)+1</f>
        <v>44866</v>
      </c>
    </row>
    <row r="955" spans="1:23" x14ac:dyDescent="0.3">
      <c r="A955" t="s">
        <v>1027</v>
      </c>
      <c r="B955" s="1">
        <v>45318</v>
      </c>
      <c r="C955" t="s">
        <v>26</v>
      </c>
      <c r="D955" t="s">
        <v>27</v>
      </c>
      <c r="E955" t="s">
        <v>52</v>
      </c>
      <c r="F955" t="s">
        <v>20</v>
      </c>
      <c r="G955" t="s">
        <v>61</v>
      </c>
      <c r="H955">
        <v>43</v>
      </c>
      <c r="I955">
        <v>800</v>
      </c>
      <c r="J955">
        <v>10</v>
      </c>
      <c r="K955">
        <v>30960</v>
      </c>
      <c r="L955">
        <v>12384</v>
      </c>
      <c r="M955">
        <v>18576</v>
      </c>
      <c r="N955" t="s">
        <v>30</v>
      </c>
      <c r="O955" t="s">
        <v>23</v>
      </c>
      <c r="P955" t="s">
        <v>24</v>
      </c>
      <c r="Q955" t="str">
        <f>TEXT(clean_data[[#This Row],[Date]],"mmm")</f>
        <v>Jan</v>
      </c>
      <c r="R955">
        <f>YEAR(clean_data[[#This Row],[Date]])</f>
        <v>2024</v>
      </c>
      <c r="S955" s="2">
        <f>clean_data[[#This Row],[Profit]]/clean_data[[#This Row],[Revenue]]</f>
        <v>0.6</v>
      </c>
      <c r="T955" t="str" cm="1">
        <f t="array" ref="T955">_xlfn.IFS(clean_data[[#This Row],[Revenue]]&lt;300000,"Small",
     clean_data[[#This Row],[Revenue]]&lt;700000,"Medium",
     TRUE,"Large")</f>
        <v>Small</v>
      </c>
      <c r="U955" t="str" cm="1">
        <f t="array" ref="U955">_xlfn.IFS(clean_data[[#This Row],[profit margin%]]&lt;0.5,"Low Profit",
     clean_data[[#This Row],[profit margin%]]&lt;0.6,"Medium Profit",
     TRUE,"High Profit")</f>
        <v>High Profit</v>
      </c>
      <c r="V955" t="str">
        <f>TEXT(clean_data[[#This Row],[Date]],"mmm-yyyy")</f>
        <v>Jan-2024</v>
      </c>
      <c r="W955" s="8">
        <f>EOMONTH(clean_data[[#This Row],[Date]],-1)+1</f>
        <v>45292</v>
      </c>
    </row>
    <row r="956" spans="1:23" x14ac:dyDescent="0.3">
      <c r="A956" t="s">
        <v>1028</v>
      </c>
      <c r="B956" s="1">
        <v>44850</v>
      </c>
      <c r="C956" t="s">
        <v>17</v>
      </c>
      <c r="D956" t="s">
        <v>18</v>
      </c>
      <c r="E956" t="s">
        <v>32</v>
      </c>
      <c r="F956" t="s">
        <v>33</v>
      </c>
      <c r="G956" t="s">
        <v>43</v>
      </c>
      <c r="H956">
        <v>47</v>
      </c>
      <c r="I956">
        <v>4000</v>
      </c>
      <c r="J956">
        <v>0</v>
      </c>
      <c r="K956">
        <v>188000</v>
      </c>
      <c r="L956">
        <v>94000</v>
      </c>
      <c r="M956">
        <v>94000</v>
      </c>
      <c r="N956" t="s">
        <v>30</v>
      </c>
      <c r="O956" t="s">
        <v>23</v>
      </c>
      <c r="P956" t="s">
        <v>24</v>
      </c>
      <c r="Q956" t="str">
        <f>TEXT(clean_data[[#This Row],[Date]],"mmm")</f>
        <v>Oct</v>
      </c>
      <c r="R956">
        <f>YEAR(clean_data[[#This Row],[Date]])</f>
        <v>2022</v>
      </c>
      <c r="S956" s="2">
        <f>clean_data[[#This Row],[Profit]]/clean_data[[#This Row],[Revenue]]</f>
        <v>0.5</v>
      </c>
      <c r="T956" t="str" cm="1">
        <f t="array" ref="T956">_xlfn.IFS(clean_data[[#This Row],[Revenue]]&lt;300000,"Small",
     clean_data[[#This Row],[Revenue]]&lt;700000,"Medium",
     TRUE,"Large")</f>
        <v>Small</v>
      </c>
      <c r="U956" t="str" cm="1">
        <f t="array" ref="U956">_xlfn.IFS(clean_data[[#This Row],[profit margin%]]&lt;0.5,"Low Profit",
     clean_data[[#This Row],[profit margin%]]&lt;0.6,"Medium Profit",
     TRUE,"High Profit")</f>
        <v>Medium Profit</v>
      </c>
      <c r="V956" t="str">
        <f>TEXT(clean_data[[#This Row],[Date]],"mmm-yyyy")</f>
        <v>Oct-2022</v>
      </c>
      <c r="W956" s="8">
        <f>EOMONTH(clean_data[[#This Row],[Date]],-1)+1</f>
        <v>44835</v>
      </c>
    </row>
    <row r="957" spans="1:23" x14ac:dyDescent="0.3">
      <c r="A957" t="s">
        <v>1029</v>
      </c>
      <c r="B957" s="1">
        <v>44744</v>
      </c>
      <c r="C957" t="s">
        <v>46</v>
      </c>
      <c r="D957" t="s">
        <v>47</v>
      </c>
      <c r="E957" t="s">
        <v>32</v>
      </c>
      <c r="F957" t="s">
        <v>20</v>
      </c>
      <c r="G957" t="s">
        <v>53</v>
      </c>
      <c r="H957">
        <v>25</v>
      </c>
      <c r="I957">
        <v>600</v>
      </c>
      <c r="J957">
        <v>5</v>
      </c>
      <c r="K957">
        <v>14250</v>
      </c>
      <c r="L957">
        <v>5700</v>
      </c>
      <c r="M957">
        <v>8550</v>
      </c>
      <c r="N957" t="s">
        <v>30</v>
      </c>
      <c r="O957" t="s">
        <v>44</v>
      </c>
      <c r="P957" t="s">
        <v>24</v>
      </c>
      <c r="Q957" t="str">
        <f>TEXT(clean_data[[#This Row],[Date]],"mmm")</f>
        <v>Jul</v>
      </c>
      <c r="R957">
        <f>YEAR(clean_data[[#This Row],[Date]])</f>
        <v>2022</v>
      </c>
      <c r="S957" s="2">
        <f>clean_data[[#This Row],[Profit]]/clean_data[[#This Row],[Revenue]]</f>
        <v>0.6</v>
      </c>
      <c r="T957" t="str" cm="1">
        <f t="array" ref="T957">_xlfn.IFS(clean_data[[#This Row],[Revenue]]&lt;300000,"Small",
     clean_data[[#This Row],[Revenue]]&lt;700000,"Medium",
     TRUE,"Large")</f>
        <v>Small</v>
      </c>
      <c r="U957" t="str" cm="1">
        <f t="array" ref="U957">_xlfn.IFS(clean_data[[#This Row],[profit margin%]]&lt;0.5,"Low Profit",
     clean_data[[#This Row],[profit margin%]]&lt;0.6,"Medium Profit",
     TRUE,"High Profit")</f>
        <v>High Profit</v>
      </c>
      <c r="V957" t="str">
        <f>TEXT(clean_data[[#This Row],[Date]],"mmm-yyyy")</f>
        <v>Jul-2022</v>
      </c>
      <c r="W957" s="8">
        <f>EOMONTH(clean_data[[#This Row],[Date]],-1)+1</f>
        <v>44743</v>
      </c>
    </row>
    <row r="958" spans="1:23" x14ac:dyDescent="0.3">
      <c r="A958" t="s">
        <v>1030</v>
      </c>
      <c r="B958" s="1">
        <v>44573</v>
      </c>
      <c r="C958" t="s">
        <v>17</v>
      </c>
      <c r="D958" t="s">
        <v>18</v>
      </c>
      <c r="E958" t="s">
        <v>73</v>
      </c>
      <c r="F958" t="s">
        <v>33</v>
      </c>
      <c r="G958" t="s">
        <v>43</v>
      </c>
      <c r="H958">
        <v>8</v>
      </c>
      <c r="I958">
        <v>4000</v>
      </c>
      <c r="J958">
        <v>15</v>
      </c>
      <c r="K958">
        <v>27200</v>
      </c>
      <c r="L958">
        <v>13600</v>
      </c>
      <c r="M958">
        <v>13600</v>
      </c>
      <c r="N958" t="s">
        <v>49</v>
      </c>
      <c r="O958" t="s">
        <v>23</v>
      </c>
      <c r="P958" t="s">
        <v>24</v>
      </c>
      <c r="Q958" t="str">
        <f>TEXT(clean_data[[#This Row],[Date]],"mmm")</f>
        <v>Jan</v>
      </c>
      <c r="R958">
        <f>YEAR(clean_data[[#This Row],[Date]])</f>
        <v>2022</v>
      </c>
      <c r="S958" s="2">
        <f>clean_data[[#This Row],[Profit]]/clean_data[[#This Row],[Revenue]]</f>
        <v>0.5</v>
      </c>
      <c r="T958" t="str" cm="1">
        <f t="array" ref="T958">_xlfn.IFS(clean_data[[#This Row],[Revenue]]&lt;300000,"Small",
     clean_data[[#This Row],[Revenue]]&lt;700000,"Medium",
     TRUE,"Large")</f>
        <v>Small</v>
      </c>
      <c r="U958" t="str" cm="1">
        <f t="array" ref="U958">_xlfn.IFS(clean_data[[#This Row],[profit margin%]]&lt;0.5,"Low Profit",
     clean_data[[#This Row],[profit margin%]]&lt;0.6,"Medium Profit",
     TRUE,"High Profit")</f>
        <v>Medium Profit</v>
      </c>
      <c r="V958" t="str">
        <f>TEXT(clean_data[[#This Row],[Date]],"mmm-yyyy")</f>
        <v>Jan-2022</v>
      </c>
      <c r="W958" s="8">
        <f>EOMONTH(clean_data[[#This Row],[Date]],-1)+1</f>
        <v>44562</v>
      </c>
    </row>
    <row r="959" spans="1:23" x14ac:dyDescent="0.3">
      <c r="A959" t="s">
        <v>1031</v>
      </c>
      <c r="B959" s="1">
        <v>45242</v>
      </c>
      <c r="C959" t="s">
        <v>58</v>
      </c>
      <c r="D959" t="s">
        <v>64</v>
      </c>
      <c r="E959" t="s">
        <v>70</v>
      </c>
      <c r="F959" t="s">
        <v>28</v>
      </c>
      <c r="G959" t="s">
        <v>87</v>
      </c>
      <c r="H959">
        <v>30</v>
      </c>
      <c r="I959">
        <v>45000</v>
      </c>
      <c r="J959">
        <v>15</v>
      </c>
      <c r="K959">
        <v>1147500</v>
      </c>
      <c r="L959">
        <v>631125</v>
      </c>
      <c r="M959">
        <v>516375</v>
      </c>
      <c r="N959" t="s">
        <v>30</v>
      </c>
      <c r="O959" t="s">
        <v>67</v>
      </c>
      <c r="P959" t="s">
        <v>24</v>
      </c>
      <c r="Q959" t="str">
        <f>TEXT(clean_data[[#This Row],[Date]],"mmm")</f>
        <v>Nov</v>
      </c>
      <c r="R959">
        <f>YEAR(clean_data[[#This Row],[Date]])</f>
        <v>2023</v>
      </c>
      <c r="S959" s="2">
        <f>clean_data[[#This Row],[Profit]]/clean_data[[#This Row],[Revenue]]</f>
        <v>0.45</v>
      </c>
      <c r="T959" t="str" cm="1">
        <f t="array" ref="T959">_xlfn.IFS(clean_data[[#This Row],[Revenue]]&lt;300000,"Small",
     clean_data[[#This Row],[Revenue]]&lt;700000,"Medium",
     TRUE,"Large")</f>
        <v>Large</v>
      </c>
      <c r="U959" t="str" cm="1">
        <f t="array" ref="U959">_xlfn.IFS(clean_data[[#This Row],[profit margin%]]&lt;0.5,"Low Profit",
     clean_data[[#This Row],[profit margin%]]&lt;0.6,"Medium Profit",
     TRUE,"High Profit")</f>
        <v>Low Profit</v>
      </c>
      <c r="V959" t="str">
        <f>TEXT(clean_data[[#This Row],[Date]],"mmm-yyyy")</f>
        <v>Nov-2023</v>
      </c>
      <c r="W959" s="8">
        <f>EOMONTH(clean_data[[#This Row],[Date]],-1)+1</f>
        <v>45231</v>
      </c>
    </row>
    <row r="960" spans="1:23" x14ac:dyDescent="0.3">
      <c r="A960" t="s">
        <v>1032</v>
      </c>
      <c r="B960" s="1">
        <v>44883</v>
      </c>
      <c r="C960" t="s">
        <v>58</v>
      </c>
      <c r="D960" t="s">
        <v>59</v>
      </c>
      <c r="E960" t="s">
        <v>73</v>
      </c>
      <c r="F960" t="s">
        <v>65</v>
      </c>
      <c r="G960" t="s">
        <v>124</v>
      </c>
      <c r="H960">
        <v>45</v>
      </c>
      <c r="I960">
        <v>18000</v>
      </c>
      <c r="J960">
        <v>20</v>
      </c>
      <c r="K960">
        <v>648000</v>
      </c>
      <c r="L960">
        <v>291600</v>
      </c>
      <c r="M960">
        <v>356400</v>
      </c>
      <c r="N960" t="s">
        <v>30</v>
      </c>
      <c r="O960" t="s">
        <v>35</v>
      </c>
      <c r="P960" t="s">
        <v>24</v>
      </c>
      <c r="Q960" t="str">
        <f>TEXT(clean_data[[#This Row],[Date]],"mmm")</f>
        <v>Nov</v>
      </c>
      <c r="R960">
        <f>YEAR(clean_data[[#This Row],[Date]])</f>
        <v>2022</v>
      </c>
      <c r="S960" s="2">
        <f>clean_data[[#This Row],[Profit]]/clean_data[[#This Row],[Revenue]]</f>
        <v>0.55000000000000004</v>
      </c>
      <c r="T960" t="str" cm="1">
        <f t="array" ref="T960">_xlfn.IFS(clean_data[[#This Row],[Revenue]]&lt;300000,"Small",
     clean_data[[#This Row],[Revenue]]&lt;700000,"Medium",
     TRUE,"Large")</f>
        <v>Medium</v>
      </c>
      <c r="U960" t="str" cm="1">
        <f t="array" ref="U960">_xlfn.IFS(clean_data[[#This Row],[profit margin%]]&lt;0.5,"Low Profit",
     clean_data[[#This Row],[profit margin%]]&lt;0.6,"Medium Profit",
     TRUE,"High Profit")</f>
        <v>Medium Profit</v>
      </c>
      <c r="V960" t="str">
        <f>TEXT(clean_data[[#This Row],[Date]],"mmm-yyyy")</f>
        <v>Nov-2022</v>
      </c>
      <c r="W960" s="8">
        <f>EOMONTH(clean_data[[#This Row],[Date]],-1)+1</f>
        <v>44866</v>
      </c>
    </row>
    <row r="961" spans="1:23" x14ac:dyDescent="0.3">
      <c r="A961" t="s">
        <v>1033</v>
      </c>
      <c r="B961" s="1">
        <v>44733</v>
      </c>
      <c r="C961" t="s">
        <v>26</v>
      </c>
      <c r="D961" t="s">
        <v>69</v>
      </c>
      <c r="E961" t="s">
        <v>52</v>
      </c>
      <c r="F961" t="s">
        <v>65</v>
      </c>
      <c r="G961" t="s">
        <v>79</v>
      </c>
      <c r="H961">
        <v>35</v>
      </c>
      <c r="I961">
        <v>900</v>
      </c>
      <c r="J961">
        <v>0</v>
      </c>
      <c r="K961">
        <v>31500</v>
      </c>
      <c r="L961">
        <v>14175</v>
      </c>
      <c r="M961">
        <v>17325</v>
      </c>
      <c r="N961" t="s">
        <v>22</v>
      </c>
      <c r="O961" t="s">
        <v>67</v>
      </c>
      <c r="P961" t="s">
        <v>24</v>
      </c>
      <c r="Q961" t="str">
        <f>TEXT(clean_data[[#This Row],[Date]],"mmm")</f>
        <v>Jun</v>
      </c>
      <c r="R961">
        <f>YEAR(clean_data[[#This Row],[Date]])</f>
        <v>2022</v>
      </c>
      <c r="S961" s="2">
        <f>clean_data[[#This Row],[Profit]]/clean_data[[#This Row],[Revenue]]</f>
        <v>0.55000000000000004</v>
      </c>
      <c r="T961" t="str" cm="1">
        <f t="array" ref="T961">_xlfn.IFS(clean_data[[#This Row],[Revenue]]&lt;300000,"Small",
     clean_data[[#This Row],[Revenue]]&lt;700000,"Medium",
     TRUE,"Large")</f>
        <v>Small</v>
      </c>
      <c r="U961" t="str" cm="1">
        <f t="array" ref="U961">_xlfn.IFS(clean_data[[#This Row],[profit margin%]]&lt;0.5,"Low Profit",
     clean_data[[#This Row],[profit margin%]]&lt;0.6,"Medium Profit",
     TRUE,"High Profit")</f>
        <v>Medium Profit</v>
      </c>
      <c r="V961" t="str">
        <f>TEXT(clean_data[[#This Row],[Date]],"mmm-yyyy")</f>
        <v>Jun-2022</v>
      </c>
      <c r="W961" s="8">
        <f>EOMONTH(clean_data[[#This Row],[Date]],-1)+1</f>
        <v>44713</v>
      </c>
    </row>
    <row r="962" spans="1:23" x14ac:dyDescent="0.3">
      <c r="A962" t="s">
        <v>1034</v>
      </c>
      <c r="B962" s="1">
        <v>44642</v>
      </c>
      <c r="C962" t="s">
        <v>17</v>
      </c>
      <c r="D962" t="s">
        <v>37</v>
      </c>
      <c r="E962" t="s">
        <v>19</v>
      </c>
      <c r="F962" t="s">
        <v>20</v>
      </c>
      <c r="G962" t="s">
        <v>115</v>
      </c>
      <c r="H962">
        <v>36</v>
      </c>
      <c r="I962">
        <v>2500</v>
      </c>
      <c r="J962">
        <v>15</v>
      </c>
      <c r="K962">
        <v>76500</v>
      </c>
      <c r="L962">
        <v>30600</v>
      </c>
      <c r="M962">
        <v>45900</v>
      </c>
      <c r="N962" t="s">
        <v>30</v>
      </c>
      <c r="O962" t="s">
        <v>23</v>
      </c>
      <c r="P962" t="s">
        <v>24</v>
      </c>
      <c r="Q962" t="str">
        <f>TEXT(clean_data[[#This Row],[Date]],"mmm")</f>
        <v>Mar</v>
      </c>
      <c r="R962">
        <f>YEAR(clean_data[[#This Row],[Date]])</f>
        <v>2022</v>
      </c>
      <c r="S962" s="2">
        <f>clean_data[[#This Row],[Profit]]/clean_data[[#This Row],[Revenue]]</f>
        <v>0.6</v>
      </c>
      <c r="T962" t="str" cm="1">
        <f t="array" ref="T962">_xlfn.IFS(clean_data[[#This Row],[Revenue]]&lt;300000,"Small",
     clean_data[[#This Row],[Revenue]]&lt;700000,"Medium",
     TRUE,"Large")</f>
        <v>Small</v>
      </c>
      <c r="U962" t="str" cm="1">
        <f t="array" ref="U962">_xlfn.IFS(clean_data[[#This Row],[profit margin%]]&lt;0.5,"Low Profit",
     clean_data[[#This Row],[profit margin%]]&lt;0.6,"Medium Profit",
     TRUE,"High Profit")</f>
        <v>High Profit</v>
      </c>
      <c r="V962" t="str">
        <f>TEXT(clean_data[[#This Row],[Date]],"mmm-yyyy")</f>
        <v>Mar-2022</v>
      </c>
      <c r="W962" s="8">
        <f>EOMONTH(clean_data[[#This Row],[Date]],-1)+1</f>
        <v>44621</v>
      </c>
    </row>
    <row r="963" spans="1:23" x14ac:dyDescent="0.3">
      <c r="A963" t="s">
        <v>1035</v>
      </c>
      <c r="B963" s="1">
        <v>44785</v>
      </c>
      <c r="C963" t="s">
        <v>58</v>
      </c>
      <c r="D963" t="s">
        <v>59</v>
      </c>
      <c r="E963" t="s">
        <v>32</v>
      </c>
      <c r="F963" t="s">
        <v>28</v>
      </c>
      <c r="G963" t="s">
        <v>71</v>
      </c>
      <c r="H963">
        <v>15</v>
      </c>
      <c r="I963">
        <v>35000</v>
      </c>
      <c r="J963">
        <v>20</v>
      </c>
      <c r="K963">
        <v>420000</v>
      </c>
      <c r="L963">
        <v>231000</v>
      </c>
      <c r="M963">
        <v>189000</v>
      </c>
      <c r="N963" t="s">
        <v>49</v>
      </c>
      <c r="O963" t="s">
        <v>50</v>
      </c>
      <c r="P963" t="s">
        <v>24</v>
      </c>
      <c r="Q963" t="str">
        <f>TEXT(clean_data[[#This Row],[Date]],"mmm")</f>
        <v>Aug</v>
      </c>
      <c r="R963">
        <f>YEAR(clean_data[[#This Row],[Date]])</f>
        <v>2022</v>
      </c>
      <c r="S963" s="2">
        <f>clean_data[[#This Row],[Profit]]/clean_data[[#This Row],[Revenue]]</f>
        <v>0.45</v>
      </c>
      <c r="T963" t="str" cm="1">
        <f t="array" ref="T963">_xlfn.IFS(clean_data[[#This Row],[Revenue]]&lt;300000,"Small",
     clean_data[[#This Row],[Revenue]]&lt;700000,"Medium",
     TRUE,"Large")</f>
        <v>Medium</v>
      </c>
      <c r="U963" t="str" cm="1">
        <f t="array" ref="U963">_xlfn.IFS(clean_data[[#This Row],[profit margin%]]&lt;0.5,"Low Profit",
     clean_data[[#This Row],[profit margin%]]&lt;0.6,"Medium Profit",
     TRUE,"High Profit")</f>
        <v>Low Profit</v>
      </c>
      <c r="V963" t="str">
        <f>TEXT(clean_data[[#This Row],[Date]],"mmm-yyyy")</f>
        <v>Aug-2022</v>
      </c>
      <c r="W963" s="8">
        <f>EOMONTH(clean_data[[#This Row],[Date]],-1)+1</f>
        <v>44774</v>
      </c>
    </row>
    <row r="964" spans="1:23" x14ac:dyDescent="0.3">
      <c r="A964" t="s">
        <v>1036</v>
      </c>
      <c r="B964" s="1">
        <v>45165</v>
      </c>
      <c r="C964" t="s">
        <v>58</v>
      </c>
      <c r="D964" t="s">
        <v>64</v>
      </c>
      <c r="E964" t="s">
        <v>19</v>
      </c>
      <c r="F964" t="s">
        <v>28</v>
      </c>
      <c r="G964" t="s">
        <v>85</v>
      </c>
      <c r="H964">
        <v>3</v>
      </c>
      <c r="I964">
        <v>8000</v>
      </c>
      <c r="J964">
        <v>0</v>
      </c>
      <c r="K964">
        <v>24000</v>
      </c>
      <c r="L964">
        <v>13200</v>
      </c>
      <c r="M964">
        <v>10800</v>
      </c>
      <c r="N964" t="s">
        <v>30</v>
      </c>
      <c r="O964" t="s">
        <v>50</v>
      </c>
      <c r="P964" t="s">
        <v>24</v>
      </c>
      <c r="Q964" t="str">
        <f>TEXT(clean_data[[#This Row],[Date]],"mmm")</f>
        <v>Aug</v>
      </c>
      <c r="R964">
        <f>YEAR(clean_data[[#This Row],[Date]])</f>
        <v>2023</v>
      </c>
      <c r="S964" s="2">
        <f>clean_data[[#This Row],[Profit]]/clean_data[[#This Row],[Revenue]]</f>
        <v>0.45</v>
      </c>
      <c r="T964" t="str" cm="1">
        <f t="array" ref="T964">_xlfn.IFS(clean_data[[#This Row],[Revenue]]&lt;300000,"Small",
     clean_data[[#This Row],[Revenue]]&lt;700000,"Medium",
     TRUE,"Large")</f>
        <v>Small</v>
      </c>
      <c r="U964" t="str" cm="1">
        <f t="array" ref="U964">_xlfn.IFS(clean_data[[#This Row],[profit margin%]]&lt;0.5,"Low Profit",
     clean_data[[#This Row],[profit margin%]]&lt;0.6,"Medium Profit",
     TRUE,"High Profit")</f>
        <v>Low Profit</v>
      </c>
      <c r="V964" t="str">
        <f>TEXT(clean_data[[#This Row],[Date]],"mmm-yyyy")</f>
        <v>Aug-2023</v>
      </c>
      <c r="W964" s="8">
        <f>EOMONTH(clean_data[[#This Row],[Date]],-1)+1</f>
        <v>45139</v>
      </c>
    </row>
    <row r="965" spans="1:23" x14ac:dyDescent="0.3">
      <c r="A965" t="s">
        <v>1037</v>
      </c>
      <c r="B965" s="1">
        <v>45592</v>
      </c>
      <c r="C965" t="s">
        <v>17</v>
      </c>
      <c r="D965" t="s">
        <v>37</v>
      </c>
      <c r="E965" t="s">
        <v>78</v>
      </c>
      <c r="F965" t="s">
        <v>65</v>
      </c>
      <c r="G965" t="s">
        <v>104</v>
      </c>
      <c r="H965">
        <v>36</v>
      </c>
      <c r="I965">
        <v>3000</v>
      </c>
      <c r="J965">
        <v>15</v>
      </c>
      <c r="K965">
        <v>91800</v>
      </c>
      <c r="L965">
        <v>41310</v>
      </c>
      <c r="M965">
        <v>50490</v>
      </c>
      <c r="N965" t="s">
        <v>22</v>
      </c>
      <c r="O965" t="s">
        <v>23</v>
      </c>
      <c r="P965" t="s">
        <v>24</v>
      </c>
      <c r="Q965" t="str">
        <f>TEXT(clean_data[[#This Row],[Date]],"mmm")</f>
        <v>Oct</v>
      </c>
      <c r="R965">
        <f>YEAR(clean_data[[#This Row],[Date]])</f>
        <v>2024</v>
      </c>
      <c r="S965" s="2">
        <f>clean_data[[#This Row],[Profit]]/clean_data[[#This Row],[Revenue]]</f>
        <v>0.55000000000000004</v>
      </c>
      <c r="T965" t="str" cm="1">
        <f t="array" ref="T965">_xlfn.IFS(clean_data[[#This Row],[Revenue]]&lt;300000,"Small",
     clean_data[[#This Row],[Revenue]]&lt;700000,"Medium",
     TRUE,"Large")</f>
        <v>Small</v>
      </c>
      <c r="U965" t="str" cm="1">
        <f t="array" ref="U965">_xlfn.IFS(clean_data[[#This Row],[profit margin%]]&lt;0.5,"Low Profit",
     clean_data[[#This Row],[profit margin%]]&lt;0.6,"Medium Profit",
     TRUE,"High Profit")</f>
        <v>Medium Profit</v>
      </c>
      <c r="V965" t="str">
        <f>TEXT(clean_data[[#This Row],[Date]],"mmm-yyyy")</f>
        <v>Oct-2024</v>
      </c>
      <c r="W965" s="8">
        <f>EOMONTH(clean_data[[#This Row],[Date]],-1)+1</f>
        <v>45566</v>
      </c>
    </row>
    <row r="966" spans="1:23" x14ac:dyDescent="0.3">
      <c r="A966" t="s">
        <v>1038</v>
      </c>
      <c r="B966" s="1">
        <v>44677</v>
      </c>
      <c r="C966" t="s">
        <v>58</v>
      </c>
      <c r="D966" t="s">
        <v>84</v>
      </c>
      <c r="E966" t="s">
        <v>32</v>
      </c>
      <c r="F966" t="s">
        <v>20</v>
      </c>
      <c r="G966" t="s">
        <v>115</v>
      </c>
      <c r="H966">
        <v>21</v>
      </c>
      <c r="I966">
        <v>2500</v>
      </c>
      <c r="J966">
        <v>20</v>
      </c>
      <c r="K966">
        <v>42000</v>
      </c>
      <c r="L966">
        <v>16800</v>
      </c>
      <c r="M966">
        <v>25200</v>
      </c>
      <c r="N966" t="s">
        <v>49</v>
      </c>
      <c r="O966" t="s">
        <v>44</v>
      </c>
      <c r="P966" t="s">
        <v>24</v>
      </c>
      <c r="Q966" t="str">
        <f>TEXT(clean_data[[#This Row],[Date]],"mmm")</f>
        <v>Apr</v>
      </c>
      <c r="R966">
        <f>YEAR(clean_data[[#This Row],[Date]])</f>
        <v>2022</v>
      </c>
      <c r="S966" s="2">
        <f>clean_data[[#This Row],[Profit]]/clean_data[[#This Row],[Revenue]]</f>
        <v>0.6</v>
      </c>
      <c r="T966" t="str" cm="1">
        <f t="array" ref="T966">_xlfn.IFS(clean_data[[#This Row],[Revenue]]&lt;300000,"Small",
     clean_data[[#This Row],[Revenue]]&lt;700000,"Medium",
     TRUE,"Large")</f>
        <v>Small</v>
      </c>
      <c r="U966" t="str" cm="1">
        <f t="array" ref="U966">_xlfn.IFS(clean_data[[#This Row],[profit margin%]]&lt;0.5,"Low Profit",
     clean_data[[#This Row],[profit margin%]]&lt;0.6,"Medium Profit",
     TRUE,"High Profit")</f>
        <v>High Profit</v>
      </c>
      <c r="V966" t="str">
        <f>TEXT(clean_data[[#This Row],[Date]],"mmm-yyyy")</f>
        <v>Apr-2022</v>
      </c>
      <c r="W966" s="8">
        <f>EOMONTH(clean_data[[#This Row],[Date]],-1)+1</f>
        <v>44652</v>
      </c>
    </row>
    <row r="967" spans="1:23" x14ac:dyDescent="0.3">
      <c r="A967" t="s">
        <v>1039</v>
      </c>
      <c r="B967" s="1">
        <v>44765</v>
      </c>
      <c r="C967" t="s">
        <v>46</v>
      </c>
      <c r="D967" t="s">
        <v>47</v>
      </c>
      <c r="E967" t="s">
        <v>38</v>
      </c>
      <c r="F967" t="s">
        <v>65</v>
      </c>
      <c r="G967" t="s">
        <v>124</v>
      </c>
      <c r="H967">
        <v>36</v>
      </c>
      <c r="I967">
        <v>18000</v>
      </c>
      <c r="J967">
        <v>5</v>
      </c>
      <c r="K967">
        <v>615600</v>
      </c>
      <c r="L967">
        <v>277020</v>
      </c>
      <c r="M967">
        <v>338580</v>
      </c>
      <c r="N967" t="s">
        <v>30</v>
      </c>
      <c r="O967" t="s">
        <v>35</v>
      </c>
      <c r="P967" t="s">
        <v>24</v>
      </c>
      <c r="Q967" t="str">
        <f>TEXT(clean_data[[#This Row],[Date]],"mmm")</f>
        <v>Jul</v>
      </c>
      <c r="R967">
        <f>YEAR(clean_data[[#This Row],[Date]])</f>
        <v>2022</v>
      </c>
      <c r="S967" s="2">
        <f>clean_data[[#This Row],[Profit]]/clean_data[[#This Row],[Revenue]]</f>
        <v>0.55000000000000004</v>
      </c>
      <c r="T967" t="str" cm="1">
        <f t="array" ref="T967">_xlfn.IFS(clean_data[[#This Row],[Revenue]]&lt;300000,"Small",
     clean_data[[#This Row],[Revenue]]&lt;700000,"Medium",
     TRUE,"Large")</f>
        <v>Medium</v>
      </c>
      <c r="U967" t="str" cm="1">
        <f t="array" ref="U967">_xlfn.IFS(clean_data[[#This Row],[profit margin%]]&lt;0.5,"Low Profit",
     clean_data[[#This Row],[profit margin%]]&lt;0.6,"Medium Profit",
     TRUE,"High Profit")</f>
        <v>Medium Profit</v>
      </c>
      <c r="V967" t="str">
        <f>TEXT(clean_data[[#This Row],[Date]],"mmm-yyyy")</f>
        <v>Jul-2022</v>
      </c>
      <c r="W967" s="8">
        <f>EOMONTH(clean_data[[#This Row],[Date]],-1)+1</f>
        <v>44743</v>
      </c>
    </row>
    <row r="968" spans="1:23" x14ac:dyDescent="0.3">
      <c r="A968" t="s">
        <v>1040</v>
      </c>
      <c r="B968" s="1">
        <v>44713</v>
      </c>
      <c r="C968" t="s">
        <v>58</v>
      </c>
      <c r="D968" t="s">
        <v>84</v>
      </c>
      <c r="E968" t="s">
        <v>38</v>
      </c>
      <c r="F968" t="s">
        <v>20</v>
      </c>
      <c r="G968" t="s">
        <v>21</v>
      </c>
      <c r="H968">
        <v>40</v>
      </c>
      <c r="I968">
        <v>3500</v>
      </c>
      <c r="J968">
        <v>20</v>
      </c>
      <c r="K968">
        <v>112000</v>
      </c>
      <c r="L968">
        <v>44800</v>
      </c>
      <c r="M968">
        <v>67200</v>
      </c>
      <c r="N968" t="s">
        <v>22</v>
      </c>
      <c r="O968" t="s">
        <v>23</v>
      </c>
      <c r="P968" t="s">
        <v>24</v>
      </c>
      <c r="Q968" t="str">
        <f>TEXT(clean_data[[#This Row],[Date]],"mmm")</f>
        <v>Jun</v>
      </c>
      <c r="R968">
        <f>YEAR(clean_data[[#This Row],[Date]])</f>
        <v>2022</v>
      </c>
      <c r="S968" s="2">
        <f>clean_data[[#This Row],[Profit]]/clean_data[[#This Row],[Revenue]]</f>
        <v>0.6</v>
      </c>
      <c r="T968" t="str" cm="1">
        <f t="array" ref="T968">_xlfn.IFS(clean_data[[#This Row],[Revenue]]&lt;300000,"Small",
     clean_data[[#This Row],[Revenue]]&lt;700000,"Medium",
     TRUE,"Large")</f>
        <v>Small</v>
      </c>
      <c r="U968" t="str" cm="1">
        <f t="array" ref="U968">_xlfn.IFS(clean_data[[#This Row],[profit margin%]]&lt;0.5,"Low Profit",
     clean_data[[#This Row],[profit margin%]]&lt;0.6,"Medium Profit",
     TRUE,"High Profit")</f>
        <v>High Profit</v>
      </c>
      <c r="V968" t="str">
        <f>TEXT(clean_data[[#This Row],[Date]],"mmm-yyyy")</f>
        <v>Jun-2022</v>
      </c>
      <c r="W968" s="8">
        <f>EOMONTH(clean_data[[#This Row],[Date]],-1)+1</f>
        <v>44713</v>
      </c>
    </row>
    <row r="969" spans="1:23" x14ac:dyDescent="0.3">
      <c r="A969" t="s">
        <v>1041</v>
      </c>
      <c r="B969" s="1">
        <v>44616</v>
      </c>
      <c r="C969" t="s">
        <v>46</v>
      </c>
      <c r="D969" t="s">
        <v>55</v>
      </c>
      <c r="E969" t="s">
        <v>70</v>
      </c>
      <c r="F969" t="s">
        <v>20</v>
      </c>
      <c r="G969" t="s">
        <v>74</v>
      </c>
      <c r="H969">
        <v>42</v>
      </c>
      <c r="I969">
        <v>4200</v>
      </c>
      <c r="J969">
        <v>5</v>
      </c>
      <c r="K969">
        <v>167580</v>
      </c>
      <c r="L969">
        <v>67032</v>
      </c>
      <c r="M969">
        <v>100548</v>
      </c>
      <c r="N969" t="s">
        <v>30</v>
      </c>
      <c r="O969" t="s">
        <v>67</v>
      </c>
      <c r="P969" t="s">
        <v>24</v>
      </c>
      <c r="Q969" t="str">
        <f>TEXT(clean_data[[#This Row],[Date]],"mmm")</f>
        <v>Feb</v>
      </c>
      <c r="R969">
        <f>YEAR(clean_data[[#This Row],[Date]])</f>
        <v>2022</v>
      </c>
      <c r="S969" s="2">
        <f>clean_data[[#This Row],[Profit]]/clean_data[[#This Row],[Revenue]]</f>
        <v>0.6</v>
      </c>
      <c r="T969" t="str" cm="1">
        <f t="array" ref="T969">_xlfn.IFS(clean_data[[#This Row],[Revenue]]&lt;300000,"Small",
     clean_data[[#This Row],[Revenue]]&lt;700000,"Medium",
     TRUE,"Large")</f>
        <v>Small</v>
      </c>
      <c r="U969" t="str" cm="1">
        <f t="array" ref="U969">_xlfn.IFS(clean_data[[#This Row],[profit margin%]]&lt;0.5,"Low Profit",
     clean_data[[#This Row],[profit margin%]]&lt;0.6,"Medium Profit",
     TRUE,"High Profit")</f>
        <v>High Profit</v>
      </c>
      <c r="V969" t="str">
        <f>TEXT(clean_data[[#This Row],[Date]],"mmm-yyyy")</f>
        <v>Feb-2022</v>
      </c>
      <c r="W969" s="8">
        <f>EOMONTH(clean_data[[#This Row],[Date]],-1)+1</f>
        <v>44593</v>
      </c>
    </row>
    <row r="970" spans="1:23" x14ac:dyDescent="0.3">
      <c r="A970" t="s">
        <v>1042</v>
      </c>
      <c r="B970" s="1">
        <v>45040</v>
      </c>
      <c r="C970" t="s">
        <v>58</v>
      </c>
      <c r="D970" t="s">
        <v>59</v>
      </c>
      <c r="E970" t="s">
        <v>56</v>
      </c>
      <c r="F970" t="s">
        <v>33</v>
      </c>
      <c r="G970" t="s">
        <v>39</v>
      </c>
      <c r="H970">
        <v>10</v>
      </c>
      <c r="I970">
        <v>5000</v>
      </c>
      <c r="J970">
        <v>0</v>
      </c>
      <c r="K970">
        <v>50000</v>
      </c>
      <c r="L970">
        <v>25000</v>
      </c>
      <c r="M970">
        <v>25000</v>
      </c>
      <c r="N970" t="s">
        <v>30</v>
      </c>
      <c r="O970" t="s">
        <v>35</v>
      </c>
      <c r="P970" t="s">
        <v>40</v>
      </c>
      <c r="Q970" t="str">
        <f>TEXT(clean_data[[#This Row],[Date]],"mmm")</f>
        <v>Apr</v>
      </c>
      <c r="R970">
        <f>YEAR(clean_data[[#This Row],[Date]])</f>
        <v>2023</v>
      </c>
      <c r="S970" s="2">
        <f>clean_data[[#This Row],[Profit]]/clean_data[[#This Row],[Revenue]]</f>
        <v>0.5</v>
      </c>
      <c r="T970" t="str" cm="1">
        <f t="array" ref="T970">_xlfn.IFS(clean_data[[#This Row],[Revenue]]&lt;300000,"Small",
     clean_data[[#This Row],[Revenue]]&lt;700000,"Medium",
     TRUE,"Large")</f>
        <v>Small</v>
      </c>
      <c r="U970" t="str" cm="1">
        <f t="array" ref="U970">_xlfn.IFS(clean_data[[#This Row],[profit margin%]]&lt;0.5,"Low Profit",
     clean_data[[#This Row],[profit margin%]]&lt;0.6,"Medium Profit",
     TRUE,"High Profit")</f>
        <v>Medium Profit</v>
      </c>
      <c r="V970" t="str">
        <f>TEXT(clean_data[[#This Row],[Date]],"mmm-yyyy")</f>
        <v>Apr-2023</v>
      </c>
      <c r="W970" s="8">
        <f>EOMONTH(clean_data[[#This Row],[Date]],-1)+1</f>
        <v>45017</v>
      </c>
    </row>
    <row r="971" spans="1:23" x14ac:dyDescent="0.3">
      <c r="A971" t="s">
        <v>1043</v>
      </c>
      <c r="B971" s="1">
        <v>45463</v>
      </c>
      <c r="C971" t="s">
        <v>26</v>
      </c>
      <c r="D971" t="s">
        <v>27</v>
      </c>
      <c r="E971" t="s">
        <v>78</v>
      </c>
      <c r="F971" t="s">
        <v>33</v>
      </c>
      <c r="G971" t="s">
        <v>34</v>
      </c>
      <c r="H971">
        <v>12</v>
      </c>
      <c r="I971">
        <v>25000</v>
      </c>
      <c r="J971">
        <v>0</v>
      </c>
      <c r="K971">
        <v>300000</v>
      </c>
      <c r="L971">
        <v>150000</v>
      </c>
      <c r="M971">
        <v>150000</v>
      </c>
      <c r="N971" t="s">
        <v>49</v>
      </c>
      <c r="O971" t="s">
        <v>50</v>
      </c>
      <c r="P971" t="s">
        <v>24</v>
      </c>
      <c r="Q971" t="str">
        <f>TEXT(clean_data[[#This Row],[Date]],"mmm")</f>
        <v>Jun</v>
      </c>
      <c r="R971">
        <f>YEAR(clean_data[[#This Row],[Date]])</f>
        <v>2024</v>
      </c>
      <c r="S971" s="2">
        <f>clean_data[[#This Row],[Profit]]/clean_data[[#This Row],[Revenue]]</f>
        <v>0.5</v>
      </c>
      <c r="T971" t="str" cm="1">
        <f t="array" ref="T971">_xlfn.IFS(clean_data[[#This Row],[Revenue]]&lt;300000,"Small",
     clean_data[[#This Row],[Revenue]]&lt;700000,"Medium",
     TRUE,"Large")</f>
        <v>Medium</v>
      </c>
      <c r="U971" t="str" cm="1">
        <f t="array" ref="U971">_xlfn.IFS(clean_data[[#This Row],[profit margin%]]&lt;0.5,"Low Profit",
     clean_data[[#This Row],[profit margin%]]&lt;0.6,"Medium Profit",
     TRUE,"High Profit")</f>
        <v>Medium Profit</v>
      </c>
      <c r="V971" t="str">
        <f>TEXT(clean_data[[#This Row],[Date]],"mmm-yyyy")</f>
        <v>Jun-2024</v>
      </c>
      <c r="W971" s="8">
        <f>EOMONTH(clean_data[[#This Row],[Date]],-1)+1</f>
        <v>45444</v>
      </c>
    </row>
    <row r="972" spans="1:23" x14ac:dyDescent="0.3">
      <c r="A972" t="s">
        <v>1044</v>
      </c>
      <c r="B972" s="1">
        <v>44970</v>
      </c>
      <c r="C972" t="s">
        <v>26</v>
      </c>
      <c r="D972" t="s">
        <v>69</v>
      </c>
      <c r="E972" t="s">
        <v>56</v>
      </c>
      <c r="F972" t="s">
        <v>65</v>
      </c>
      <c r="G972" t="s">
        <v>117</v>
      </c>
      <c r="H972">
        <v>32</v>
      </c>
      <c r="I972">
        <v>1200</v>
      </c>
      <c r="J972">
        <v>0</v>
      </c>
      <c r="K972">
        <v>38400</v>
      </c>
      <c r="L972">
        <v>17280</v>
      </c>
      <c r="M972">
        <v>21120</v>
      </c>
      <c r="N972" t="s">
        <v>22</v>
      </c>
      <c r="O972" t="s">
        <v>23</v>
      </c>
      <c r="P972" t="s">
        <v>24</v>
      </c>
      <c r="Q972" t="str">
        <f>TEXT(clean_data[[#This Row],[Date]],"mmm")</f>
        <v>Feb</v>
      </c>
      <c r="R972">
        <f>YEAR(clean_data[[#This Row],[Date]])</f>
        <v>2023</v>
      </c>
      <c r="S972" s="2">
        <f>clean_data[[#This Row],[Profit]]/clean_data[[#This Row],[Revenue]]</f>
        <v>0.55000000000000004</v>
      </c>
      <c r="T972" t="str" cm="1">
        <f t="array" ref="T972">_xlfn.IFS(clean_data[[#This Row],[Revenue]]&lt;300000,"Small",
     clean_data[[#This Row],[Revenue]]&lt;700000,"Medium",
     TRUE,"Large")</f>
        <v>Small</v>
      </c>
      <c r="U972" t="str" cm="1">
        <f t="array" ref="U972">_xlfn.IFS(clean_data[[#This Row],[profit margin%]]&lt;0.5,"Low Profit",
     clean_data[[#This Row],[profit margin%]]&lt;0.6,"Medium Profit",
     TRUE,"High Profit")</f>
        <v>Medium Profit</v>
      </c>
      <c r="V972" t="str">
        <f>TEXT(clean_data[[#This Row],[Date]],"mmm-yyyy")</f>
        <v>Feb-2023</v>
      </c>
      <c r="W972" s="8">
        <f>EOMONTH(clean_data[[#This Row],[Date]],-1)+1</f>
        <v>44958</v>
      </c>
    </row>
    <row r="973" spans="1:23" x14ac:dyDescent="0.3">
      <c r="A973" t="s">
        <v>1045</v>
      </c>
      <c r="B973" s="1">
        <v>45302</v>
      </c>
      <c r="C973" t="s">
        <v>58</v>
      </c>
      <c r="D973" t="s">
        <v>84</v>
      </c>
      <c r="E973" t="s">
        <v>78</v>
      </c>
      <c r="F973" t="s">
        <v>33</v>
      </c>
      <c r="G973" t="s">
        <v>39</v>
      </c>
      <c r="H973">
        <v>12</v>
      </c>
      <c r="I973">
        <v>5000</v>
      </c>
      <c r="J973">
        <v>20</v>
      </c>
      <c r="K973">
        <v>48000</v>
      </c>
      <c r="L973">
        <v>24000</v>
      </c>
      <c r="M973">
        <v>24000</v>
      </c>
      <c r="N973" t="s">
        <v>30</v>
      </c>
      <c r="O973" t="s">
        <v>35</v>
      </c>
      <c r="P973" t="s">
        <v>40</v>
      </c>
      <c r="Q973" t="str">
        <f>TEXT(clean_data[[#This Row],[Date]],"mmm")</f>
        <v>Jan</v>
      </c>
      <c r="R973">
        <f>YEAR(clean_data[[#This Row],[Date]])</f>
        <v>2024</v>
      </c>
      <c r="S973" s="2">
        <f>clean_data[[#This Row],[Profit]]/clean_data[[#This Row],[Revenue]]</f>
        <v>0.5</v>
      </c>
      <c r="T973" t="str" cm="1">
        <f t="array" ref="T973">_xlfn.IFS(clean_data[[#This Row],[Revenue]]&lt;300000,"Small",
     clean_data[[#This Row],[Revenue]]&lt;700000,"Medium",
     TRUE,"Large")</f>
        <v>Small</v>
      </c>
      <c r="U973" t="str" cm="1">
        <f t="array" ref="U973">_xlfn.IFS(clean_data[[#This Row],[profit margin%]]&lt;0.5,"Low Profit",
     clean_data[[#This Row],[profit margin%]]&lt;0.6,"Medium Profit",
     TRUE,"High Profit")</f>
        <v>Medium Profit</v>
      </c>
      <c r="V973" t="str">
        <f>TEXT(clean_data[[#This Row],[Date]],"mmm-yyyy")</f>
        <v>Jan-2024</v>
      </c>
      <c r="W973" s="8">
        <f>EOMONTH(clean_data[[#This Row],[Date]],-1)+1</f>
        <v>45292</v>
      </c>
    </row>
    <row r="974" spans="1:23" x14ac:dyDescent="0.3">
      <c r="A974" t="s">
        <v>1046</v>
      </c>
      <c r="B974" s="1">
        <v>45211</v>
      </c>
      <c r="C974" t="s">
        <v>58</v>
      </c>
      <c r="D974" t="s">
        <v>64</v>
      </c>
      <c r="E974" t="s">
        <v>38</v>
      </c>
      <c r="F974" t="s">
        <v>28</v>
      </c>
      <c r="G974" t="s">
        <v>87</v>
      </c>
      <c r="H974">
        <v>34</v>
      </c>
      <c r="I974">
        <v>45000</v>
      </c>
      <c r="J974">
        <v>10</v>
      </c>
      <c r="K974">
        <v>1377000</v>
      </c>
      <c r="L974">
        <v>757350</v>
      </c>
      <c r="M974">
        <v>619650</v>
      </c>
      <c r="N974" t="s">
        <v>30</v>
      </c>
      <c r="O974" t="s">
        <v>67</v>
      </c>
      <c r="P974" t="s">
        <v>24</v>
      </c>
      <c r="Q974" t="str">
        <f>TEXT(clean_data[[#This Row],[Date]],"mmm")</f>
        <v>Oct</v>
      </c>
      <c r="R974">
        <f>YEAR(clean_data[[#This Row],[Date]])</f>
        <v>2023</v>
      </c>
      <c r="S974" s="2">
        <f>clean_data[[#This Row],[Profit]]/clean_data[[#This Row],[Revenue]]</f>
        <v>0.45</v>
      </c>
      <c r="T974" t="str" cm="1">
        <f t="array" ref="T974">_xlfn.IFS(clean_data[[#This Row],[Revenue]]&lt;300000,"Small",
     clean_data[[#This Row],[Revenue]]&lt;700000,"Medium",
     TRUE,"Large")</f>
        <v>Large</v>
      </c>
      <c r="U974" t="str" cm="1">
        <f t="array" ref="U974">_xlfn.IFS(clean_data[[#This Row],[profit margin%]]&lt;0.5,"Low Profit",
     clean_data[[#This Row],[profit margin%]]&lt;0.6,"Medium Profit",
     TRUE,"High Profit")</f>
        <v>Low Profit</v>
      </c>
      <c r="V974" t="str">
        <f>TEXT(clean_data[[#This Row],[Date]],"mmm-yyyy")</f>
        <v>Oct-2023</v>
      </c>
      <c r="W974" s="8">
        <f>EOMONTH(clean_data[[#This Row],[Date]],-1)+1</f>
        <v>45200</v>
      </c>
    </row>
    <row r="975" spans="1:23" x14ac:dyDescent="0.3">
      <c r="A975" t="s">
        <v>1047</v>
      </c>
      <c r="B975" s="1">
        <v>44610</v>
      </c>
      <c r="C975" t="s">
        <v>26</v>
      </c>
      <c r="D975" t="s">
        <v>27</v>
      </c>
      <c r="E975" t="s">
        <v>19</v>
      </c>
      <c r="F975" t="s">
        <v>33</v>
      </c>
      <c r="G975" t="s">
        <v>39</v>
      </c>
      <c r="H975">
        <v>14</v>
      </c>
      <c r="I975">
        <v>5000</v>
      </c>
      <c r="J975">
        <v>0</v>
      </c>
      <c r="K975">
        <v>70000</v>
      </c>
      <c r="L975">
        <v>35000</v>
      </c>
      <c r="M975">
        <v>35000</v>
      </c>
      <c r="N975" t="s">
        <v>30</v>
      </c>
      <c r="O975" t="s">
        <v>44</v>
      </c>
      <c r="P975" t="s">
        <v>24</v>
      </c>
      <c r="Q975" t="str">
        <f>TEXT(clean_data[[#This Row],[Date]],"mmm")</f>
        <v>Feb</v>
      </c>
      <c r="R975">
        <f>YEAR(clean_data[[#This Row],[Date]])</f>
        <v>2022</v>
      </c>
      <c r="S975" s="2">
        <f>clean_data[[#This Row],[Profit]]/clean_data[[#This Row],[Revenue]]</f>
        <v>0.5</v>
      </c>
      <c r="T975" t="str" cm="1">
        <f t="array" ref="T975">_xlfn.IFS(clean_data[[#This Row],[Revenue]]&lt;300000,"Small",
     clean_data[[#This Row],[Revenue]]&lt;700000,"Medium",
     TRUE,"Large")</f>
        <v>Small</v>
      </c>
      <c r="U975" t="str" cm="1">
        <f t="array" ref="U975">_xlfn.IFS(clean_data[[#This Row],[profit margin%]]&lt;0.5,"Low Profit",
     clean_data[[#This Row],[profit margin%]]&lt;0.6,"Medium Profit",
     TRUE,"High Profit")</f>
        <v>Medium Profit</v>
      </c>
      <c r="V975" t="str">
        <f>TEXT(clean_data[[#This Row],[Date]],"mmm-yyyy")</f>
        <v>Feb-2022</v>
      </c>
      <c r="W975" s="8">
        <f>EOMONTH(clean_data[[#This Row],[Date]],-1)+1</f>
        <v>44593</v>
      </c>
    </row>
    <row r="976" spans="1:23" x14ac:dyDescent="0.3">
      <c r="A976" t="s">
        <v>1048</v>
      </c>
      <c r="B976" s="1">
        <v>44736</v>
      </c>
      <c r="C976" t="s">
        <v>46</v>
      </c>
      <c r="D976" t="s">
        <v>55</v>
      </c>
      <c r="E976" t="s">
        <v>73</v>
      </c>
      <c r="F976" t="s">
        <v>65</v>
      </c>
      <c r="G976" t="s">
        <v>104</v>
      </c>
      <c r="H976">
        <v>6</v>
      </c>
      <c r="I976">
        <v>3000</v>
      </c>
      <c r="J976">
        <v>10</v>
      </c>
      <c r="K976">
        <v>16200</v>
      </c>
      <c r="L976">
        <v>7290</v>
      </c>
      <c r="M976">
        <v>8910</v>
      </c>
      <c r="N976" t="s">
        <v>22</v>
      </c>
      <c r="O976" t="s">
        <v>50</v>
      </c>
      <c r="P976" t="s">
        <v>40</v>
      </c>
      <c r="Q976" t="str">
        <f>TEXT(clean_data[[#This Row],[Date]],"mmm")</f>
        <v>Jun</v>
      </c>
      <c r="R976">
        <f>YEAR(clean_data[[#This Row],[Date]])</f>
        <v>2022</v>
      </c>
      <c r="S976" s="2">
        <f>clean_data[[#This Row],[Profit]]/clean_data[[#This Row],[Revenue]]</f>
        <v>0.55000000000000004</v>
      </c>
      <c r="T976" t="str" cm="1">
        <f t="array" ref="T976">_xlfn.IFS(clean_data[[#This Row],[Revenue]]&lt;300000,"Small",
     clean_data[[#This Row],[Revenue]]&lt;700000,"Medium",
     TRUE,"Large")</f>
        <v>Small</v>
      </c>
      <c r="U976" t="str" cm="1">
        <f t="array" ref="U976">_xlfn.IFS(clean_data[[#This Row],[profit margin%]]&lt;0.5,"Low Profit",
     clean_data[[#This Row],[profit margin%]]&lt;0.6,"Medium Profit",
     TRUE,"High Profit")</f>
        <v>Medium Profit</v>
      </c>
      <c r="V976" t="str">
        <f>TEXT(clean_data[[#This Row],[Date]],"mmm-yyyy")</f>
        <v>Jun-2022</v>
      </c>
      <c r="W976" s="8">
        <f>EOMONTH(clean_data[[#This Row],[Date]],-1)+1</f>
        <v>44713</v>
      </c>
    </row>
    <row r="977" spans="1:23" x14ac:dyDescent="0.3">
      <c r="A977" t="s">
        <v>1049</v>
      </c>
      <c r="B977" s="1">
        <v>45467</v>
      </c>
      <c r="C977" t="s">
        <v>58</v>
      </c>
      <c r="D977" t="s">
        <v>59</v>
      </c>
      <c r="E977" t="s">
        <v>111</v>
      </c>
      <c r="F977" t="s">
        <v>65</v>
      </c>
      <c r="G977" t="s">
        <v>104</v>
      </c>
      <c r="H977">
        <v>17</v>
      </c>
      <c r="I977">
        <v>3000</v>
      </c>
      <c r="J977">
        <v>5</v>
      </c>
      <c r="K977">
        <v>48450</v>
      </c>
      <c r="L977">
        <v>21802.5</v>
      </c>
      <c r="M977">
        <v>26647.5</v>
      </c>
      <c r="N977" t="s">
        <v>22</v>
      </c>
      <c r="O977" t="s">
        <v>50</v>
      </c>
      <c r="P977" t="s">
        <v>24</v>
      </c>
      <c r="Q977" t="str">
        <f>TEXT(clean_data[[#This Row],[Date]],"mmm")</f>
        <v>Jun</v>
      </c>
      <c r="R977">
        <f>YEAR(clean_data[[#This Row],[Date]])</f>
        <v>2024</v>
      </c>
      <c r="S977" s="2">
        <f>clean_data[[#This Row],[Profit]]/clean_data[[#This Row],[Revenue]]</f>
        <v>0.55000000000000004</v>
      </c>
      <c r="T977" t="str" cm="1">
        <f t="array" ref="T977">_xlfn.IFS(clean_data[[#This Row],[Revenue]]&lt;300000,"Small",
     clean_data[[#This Row],[Revenue]]&lt;700000,"Medium",
     TRUE,"Large")</f>
        <v>Small</v>
      </c>
      <c r="U977" t="str" cm="1">
        <f t="array" ref="U977">_xlfn.IFS(clean_data[[#This Row],[profit margin%]]&lt;0.5,"Low Profit",
     clean_data[[#This Row],[profit margin%]]&lt;0.6,"Medium Profit",
     TRUE,"High Profit")</f>
        <v>Medium Profit</v>
      </c>
      <c r="V977" t="str">
        <f>TEXT(clean_data[[#This Row],[Date]],"mmm-yyyy")</f>
        <v>Jun-2024</v>
      </c>
      <c r="W977" s="8">
        <f>EOMONTH(clean_data[[#This Row],[Date]],-1)+1</f>
        <v>45444</v>
      </c>
    </row>
    <row r="978" spans="1:23" x14ac:dyDescent="0.3">
      <c r="A978" t="s">
        <v>1050</v>
      </c>
      <c r="B978" s="1">
        <v>45326</v>
      </c>
      <c r="C978" t="s">
        <v>17</v>
      </c>
      <c r="D978" t="s">
        <v>18</v>
      </c>
      <c r="E978" t="s">
        <v>19</v>
      </c>
      <c r="F978" t="s">
        <v>65</v>
      </c>
      <c r="G978" t="s">
        <v>66</v>
      </c>
      <c r="H978">
        <v>29</v>
      </c>
      <c r="I978">
        <v>5500</v>
      </c>
      <c r="J978">
        <v>15</v>
      </c>
      <c r="K978">
        <v>135575</v>
      </c>
      <c r="L978">
        <v>61008.75</v>
      </c>
      <c r="M978">
        <v>74566.25</v>
      </c>
      <c r="N978" t="s">
        <v>22</v>
      </c>
      <c r="O978" t="s">
        <v>50</v>
      </c>
      <c r="P978" t="s">
        <v>40</v>
      </c>
      <c r="Q978" t="str">
        <f>TEXT(clean_data[[#This Row],[Date]],"mmm")</f>
        <v>Feb</v>
      </c>
      <c r="R978">
        <f>YEAR(clean_data[[#This Row],[Date]])</f>
        <v>2024</v>
      </c>
      <c r="S978" s="2">
        <f>clean_data[[#This Row],[Profit]]/clean_data[[#This Row],[Revenue]]</f>
        <v>0.55000000000000004</v>
      </c>
      <c r="T978" t="str" cm="1">
        <f t="array" ref="T978">_xlfn.IFS(clean_data[[#This Row],[Revenue]]&lt;300000,"Small",
     clean_data[[#This Row],[Revenue]]&lt;700000,"Medium",
     TRUE,"Large")</f>
        <v>Small</v>
      </c>
      <c r="U978" t="str" cm="1">
        <f t="array" ref="U978">_xlfn.IFS(clean_data[[#This Row],[profit margin%]]&lt;0.5,"Low Profit",
     clean_data[[#This Row],[profit margin%]]&lt;0.6,"Medium Profit",
     TRUE,"High Profit")</f>
        <v>Medium Profit</v>
      </c>
      <c r="V978" t="str">
        <f>TEXT(clean_data[[#This Row],[Date]],"mmm-yyyy")</f>
        <v>Feb-2024</v>
      </c>
      <c r="W978" s="8">
        <f>EOMONTH(clean_data[[#This Row],[Date]],-1)+1</f>
        <v>45323</v>
      </c>
    </row>
    <row r="979" spans="1:23" x14ac:dyDescent="0.3">
      <c r="A979" t="s">
        <v>1051</v>
      </c>
      <c r="B979" s="1">
        <v>45189</v>
      </c>
      <c r="C979" t="s">
        <v>26</v>
      </c>
      <c r="D979" t="s">
        <v>69</v>
      </c>
      <c r="E979" t="s">
        <v>32</v>
      </c>
      <c r="F979" t="s">
        <v>20</v>
      </c>
      <c r="G979" t="s">
        <v>53</v>
      </c>
      <c r="H979">
        <v>23</v>
      </c>
      <c r="I979">
        <v>600</v>
      </c>
      <c r="J979">
        <v>10</v>
      </c>
      <c r="K979">
        <v>12420</v>
      </c>
      <c r="L979">
        <v>4968</v>
      </c>
      <c r="M979">
        <v>7452</v>
      </c>
      <c r="N979" t="s">
        <v>49</v>
      </c>
      <c r="O979" t="s">
        <v>44</v>
      </c>
      <c r="P979" t="s">
        <v>24</v>
      </c>
      <c r="Q979" t="str">
        <f>TEXT(clean_data[[#This Row],[Date]],"mmm")</f>
        <v>Sep</v>
      </c>
      <c r="R979">
        <f>YEAR(clean_data[[#This Row],[Date]])</f>
        <v>2023</v>
      </c>
      <c r="S979" s="2">
        <f>clean_data[[#This Row],[Profit]]/clean_data[[#This Row],[Revenue]]</f>
        <v>0.6</v>
      </c>
      <c r="T979" t="str" cm="1">
        <f t="array" ref="T979">_xlfn.IFS(clean_data[[#This Row],[Revenue]]&lt;300000,"Small",
     clean_data[[#This Row],[Revenue]]&lt;700000,"Medium",
     TRUE,"Large")</f>
        <v>Small</v>
      </c>
      <c r="U979" t="str" cm="1">
        <f t="array" ref="U979">_xlfn.IFS(clean_data[[#This Row],[profit margin%]]&lt;0.5,"Low Profit",
     clean_data[[#This Row],[profit margin%]]&lt;0.6,"Medium Profit",
     TRUE,"High Profit")</f>
        <v>High Profit</v>
      </c>
      <c r="V979" t="str">
        <f>TEXT(clean_data[[#This Row],[Date]],"mmm-yyyy")</f>
        <v>Sep-2023</v>
      </c>
      <c r="W979" s="8">
        <f>EOMONTH(clean_data[[#This Row],[Date]],-1)+1</f>
        <v>45170</v>
      </c>
    </row>
    <row r="980" spans="1:23" x14ac:dyDescent="0.3">
      <c r="A980" t="s">
        <v>1052</v>
      </c>
      <c r="B980" s="1">
        <v>44637</v>
      </c>
      <c r="C980" t="s">
        <v>17</v>
      </c>
      <c r="D980" t="s">
        <v>42</v>
      </c>
      <c r="E980" t="s">
        <v>32</v>
      </c>
      <c r="F980" t="s">
        <v>33</v>
      </c>
      <c r="G980" t="s">
        <v>43</v>
      </c>
      <c r="H980">
        <v>42</v>
      </c>
      <c r="I980">
        <v>4000</v>
      </c>
      <c r="J980">
        <v>20</v>
      </c>
      <c r="K980">
        <v>134400</v>
      </c>
      <c r="L980">
        <v>67200</v>
      </c>
      <c r="M980">
        <v>67200</v>
      </c>
      <c r="N980" t="s">
        <v>49</v>
      </c>
      <c r="O980" t="s">
        <v>35</v>
      </c>
      <c r="P980" t="s">
        <v>24</v>
      </c>
      <c r="Q980" t="str">
        <f>TEXT(clean_data[[#This Row],[Date]],"mmm")</f>
        <v>Mar</v>
      </c>
      <c r="R980">
        <f>YEAR(clean_data[[#This Row],[Date]])</f>
        <v>2022</v>
      </c>
      <c r="S980" s="2">
        <f>clean_data[[#This Row],[Profit]]/clean_data[[#This Row],[Revenue]]</f>
        <v>0.5</v>
      </c>
      <c r="T980" t="str" cm="1">
        <f t="array" ref="T980">_xlfn.IFS(clean_data[[#This Row],[Revenue]]&lt;300000,"Small",
     clean_data[[#This Row],[Revenue]]&lt;700000,"Medium",
     TRUE,"Large")</f>
        <v>Small</v>
      </c>
      <c r="U980" t="str" cm="1">
        <f t="array" ref="U980">_xlfn.IFS(clean_data[[#This Row],[profit margin%]]&lt;0.5,"Low Profit",
     clean_data[[#This Row],[profit margin%]]&lt;0.6,"Medium Profit",
     TRUE,"High Profit")</f>
        <v>Medium Profit</v>
      </c>
      <c r="V980" t="str">
        <f>TEXT(clean_data[[#This Row],[Date]],"mmm-yyyy")</f>
        <v>Mar-2022</v>
      </c>
      <c r="W980" s="8">
        <f>EOMONTH(clean_data[[#This Row],[Date]],-1)+1</f>
        <v>44621</v>
      </c>
    </row>
    <row r="981" spans="1:23" x14ac:dyDescent="0.3">
      <c r="A981" t="s">
        <v>1053</v>
      </c>
      <c r="B981" s="1">
        <v>44779</v>
      </c>
      <c r="C981" t="s">
        <v>17</v>
      </c>
      <c r="D981" t="s">
        <v>37</v>
      </c>
      <c r="E981" t="s">
        <v>78</v>
      </c>
      <c r="F981" t="s">
        <v>33</v>
      </c>
      <c r="G981" t="s">
        <v>76</v>
      </c>
      <c r="H981">
        <v>5</v>
      </c>
      <c r="I981">
        <v>8500</v>
      </c>
      <c r="J981">
        <v>5</v>
      </c>
      <c r="K981">
        <v>40375</v>
      </c>
      <c r="L981">
        <v>20187.5</v>
      </c>
      <c r="M981">
        <v>20187.5</v>
      </c>
      <c r="N981" t="s">
        <v>49</v>
      </c>
      <c r="O981" t="s">
        <v>44</v>
      </c>
      <c r="P981" t="s">
        <v>24</v>
      </c>
      <c r="Q981" t="str">
        <f>TEXT(clean_data[[#This Row],[Date]],"mmm")</f>
        <v>Aug</v>
      </c>
      <c r="R981">
        <f>YEAR(clean_data[[#This Row],[Date]])</f>
        <v>2022</v>
      </c>
      <c r="S981" s="2">
        <f>clean_data[[#This Row],[Profit]]/clean_data[[#This Row],[Revenue]]</f>
        <v>0.5</v>
      </c>
      <c r="T981" t="str" cm="1">
        <f t="array" ref="T981">_xlfn.IFS(clean_data[[#This Row],[Revenue]]&lt;300000,"Small",
     clean_data[[#This Row],[Revenue]]&lt;700000,"Medium",
     TRUE,"Large")</f>
        <v>Small</v>
      </c>
      <c r="U981" t="str" cm="1">
        <f t="array" ref="U981">_xlfn.IFS(clean_data[[#This Row],[profit margin%]]&lt;0.5,"Low Profit",
     clean_data[[#This Row],[profit margin%]]&lt;0.6,"Medium Profit",
     TRUE,"High Profit")</f>
        <v>Medium Profit</v>
      </c>
      <c r="V981" t="str">
        <f>TEXT(clean_data[[#This Row],[Date]],"mmm-yyyy")</f>
        <v>Aug-2022</v>
      </c>
      <c r="W981" s="8">
        <f>EOMONTH(clean_data[[#This Row],[Date]],-1)+1</f>
        <v>44774</v>
      </c>
    </row>
    <row r="982" spans="1:23" x14ac:dyDescent="0.3">
      <c r="A982" t="s">
        <v>1054</v>
      </c>
      <c r="B982" s="1">
        <v>45173</v>
      </c>
      <c r="C982" t="s">
        <v>26</v>
      </c>
      <c r="D982" t="s">
        <v>69</v>
      </c>
      <c r="E982" t="s">
        <v>56</v>
      </c>
      <c r="F982" t="s">
        <v>33</v>
      </c>
      <c r="G982" t="s">
        <v>76</v>
      </c>
      <c r="H982">
        <v>30</v>
      </c>
      <c r="I982">
        <v>8500</v>
      </c>
      <c r="J982">
        <v>20</v>
      </c>
      <c r="K982">
        <v>204000</v>
      </c>
      <c r="L982">
        <v>102000</v>
      </c>
      <c r="M982">
        <v>102000</v>
      </c>
      <c r="N982" t="s">
        <v>30</v>
      </c>
      <c r="O982" t="s">
        <v>67</v>
      </c>
      <c r="P982" t="s">
        <v>24</v>
      </c>
      <c r="Q982" t="str">
        <f>TEXT(clean_data[[#This Row],[Date]],"mmm")</f>
        <v>Sep</v>
      </c>
      <c r="R982">
        <f>YEAR(clean_data[[#This Row],[Date]])</f>
        <v>2023</v>
      </c>
      <c r="S982" s="2">
        <f>clean_data[[#This Row],[Profit]]/clean_data[[#This Row],[Revenue]]</f>
        <v>0.5</v>
      </c>
      <c r="T982" t="str" cm="1">
        <f t="array" ref="T982">_xlfn.IFS(clean_data[[#This Row],[Revenue]]&lt;300000,"Small",
     clean_data[[#This Row],[Revenue]]&lt;700000,"Medium",
     TRUE,"Large")</f>
        <v>Small</v>
      </c>
      <c r="U982" t="str" cm="1">
        <f t="array" ref="U982">_xlfn.IFS(clean_data[[#This Row],[profit margin%]]&lt;0.5,"Low Profit",
     clean_data[[#This Row],[profit margin%]]&lt;0.6,"Medium Profit",
     TRUE,"High Profit")</f>
        <v>Medium Profit</v>
      </c>
      <c r="V982" t="str">
        <f>TEXT(clean_data[[#This Row],[Date]],"mmm-yyyy")</f>
        <v>Sep-2023</v>
      </c>
      <c r="W982" s="8">
        <f>EOMONTH(clean_data[[#This Row],[Date]],-1)+1</f>
        <v>45170</v>
      </c>
    </row>
    <row r="983" spans="1:23" x14ac:dyDescent="0.3">
      <c r="A983" t="s">
        <v>1055</v>
      </c>
      <c r="B983" s="1">
        <v>44694</v>
      </c>
      <c r="C983" t="s">
        <v>17</v>
      </c>
      <c r="D983" t="s">
        <v>42</v>
      </c>
      <c r="E983" t="s">
        <v>19</v>
      </c>
      <c r="F983" t="s">
        <v>20</v>
      </c>
      <c r="G983" t="s">
        <v>21</v>
      </c>
      <c r="H983">
        <v>36</v>
      </c>
      <c r="I983">
        <v>3500</v>
      </c>
      <c r="J983">
        <v>10</v>
      </c>
      <c r="K983">
        <v>113400</v>
      </c>
      <c r="L983">
        <v>45360</v>
      </c>
      <c r="M983">
        <v>68040</v>
      </c>
      <c r="N983" t="s">
        <v>22</v>
      </c>
      <c r="O983" t="s">
        <v>35</v>
      </c>
      <c r="P983" t="s">
        <v>40</v>
      </c>
      <c r="Q983" t="str">
        <f>TEXT(clean_data[[#This Row],[Date]],"mmm")</f>
        <v>May</v>
      </c>
      <c r="R983">
        <f>YEAR(clean_data[[#This Row],[Date]])</f>
        <v>2022</v>
      </c>
      <c r="S983" s="2">
        <f>clean_data[[#This Row],[Profit]]/clean_data[[#This Row],[Revenue]]</f>
        <v>0.6</v>
      </c>
      <c r="T983" t="str" cm="1">
        <f t="array" ref="T983">_xlfn.IFS(clean_data[[#This Row],[Revenue]]&lt;300000,"Small",
     clean_data[[#This Row],[Revenue]]&lt;700000,"Medium",
     TRUE,"Large")</f>
        <v>Small</v>
      </c>
      <c r="U983" t="str" cm="1">
        <f t="array" ref="U983">_xlfn.IFS(clean_data[[#This Row],[profit margin%]]&lt;0.5,"Low Profit",
     clean_data[[#This Row],[profit margin%]]&lt;0.6,"Medium Profit",
     TRUE,"High Profit")</f>
        <v>High Profit</v>
      </c>
      <c r="V983" t="str">
        <f>TEXT(clean_data[[#This Row],[Date]],"mmm-yyyy")</f>
        <v>May-2022</v>
      </c>
      <c r="W983" s="8">
        <f>EOMONTH(clean_data[[#This Row],[Date]],-1)+1</f>
        <v>44682</v>
      </c>
    </row>
    <row r="984" spans="1:23" x14ac:dyDescent="0.3">
      <c r="A984" t="s">
        <v>1056</v>
      </c>
      <c r="B984" s="1">
        <v>45373</v>
      </c>
      <c r="C984" t="s">
        <v>58</v>
      </c>
      <c r="D984" t="s">
        <v>59</v>
      </c>
      <c r="E984" t="s">
        <v>70</v>
      </c>
      <c r="F984" t="s">
        <v>20</v>
      </c>
      <c r="G984" t="s">
        <v>74</v>
      </c>
      <c r="H984">
        <v>4</v>
      </c>
      <c r="I984">
        <v>4200</v>
      </c>
      <c r="J984">
        <v>15</v>
      </c>
      <c r="K984">
        <v>14280</v>
      </c>
      <c r="L984">
        <v>5712</v>
      </c>
      <c r="M984">
        <v>8568</v>
      </c>
      <c r="N984" t="s">
        <v>30</v>
      </c>
      <c r="O984" t="s">
        <v>50</v>
      </c>
      <c r="P984" t="s">
        <v>24</v>
      </c>
      <c r="Q984" t="str">
        <f>TEXT(clean_data[[#This Row],[Date]],"mmm")</f>
        <v>Mar</v>
      </c>
      <c r="R984">
        <f>YEAR(clean_data[[#This Row],[Date]])</f>
        <v>2024</v>
      </c>
      <c r="S984" s="2">
        <f>clean_data[[#This Row],[Profit]]/clean_data[[#This Row],[Revenue]]</f>
        <v>0.6</v>
      </c>
      <c r="T984" t="str" cm="1">
        <f t="array" ref="T984">_xlfn.IFS(clean_data[[#This Row],[Revenue]]&lt;300000,"Small",
     clean_data[[#This Row],[Revenue]]&lt;700000,"Medium",
     TRUE,"Large")</f>
        <v>Small</v>
      </c>
      <c r="U984" t="str" cm="1">
        <f t="array" ref="U984">_xlfn.IFS(clean_data[[#This Row],[profit margin%]]&lt;0.5,"Low Profit",
     clean_data[[#This Row],[profit margin%]]&lt;0.6,"Medium Profit",
     TRUE,"High Profit")</f>
        <v>High Profit</v>
      </c>
      <c r="V984" t="str">
        <f>TEXT(clean_data[[#This Row],[Date]],"mmm-yyyy")</f>
        <v>Mar-2024</v>
      </c>
      <c r="W984" s="8">
        <f>EOMONTH(clean_data[[#This Row],[Date]],-1)+1</f>
        <v>45352</v>
      </c>
    </row>
    <row r="985" spans="1:23" x14ac:dyDescent="0.3">
      <c r="A985" t="s">
        <v>1057</v>
      </c>
      <c r="B985" s="1">
        <v>45355</v>
      </c>
      <c r="C985" t="s">
        <v>26</v>
      </c>
      <c r="D985" t="s">
        <v>69</v>
      </c>
      <c r="E985" t="s">
        <v>78</v>
      </c>
      <c r="F985" t="s">
        <v>33</v>
      </c>
      <c r="G985" t="s">
        <v>43</v>
      </c>
      <c r="H985">
        <v>25</v>
      </c>
      <c r="I985">
        <v>4000</v>
      </c>
      <c r="J985">
        <v>5</v>
      </c>
      <c r="K985">
        <v>95000</v>
      </c>
      <c r="L985">
        <v>47500</v>
      </c>
      <c r="M985">
        <v>47500</v>
      </c>
      <c r="N985" t="s">
        <v>30</v>
      </c>
      <c r="O985" t="s">
        <v>50</v>
      </c>
      <c r="P985" t="s">
        <v>40</v>
      </c>
      <c r="Q985" t="str">
        <f>TEXT(clean_data[[#This Row],[Date]],"mmm")</f>
        <v>Mar</v>
      </c>
      <c r="R985">
        <f>YEAR(clean_data[[#This Row],[Date]])</f>
        <v>2024</v>
      </c>
      <c r="S985" s="2">
        <f>clean_data[[#This Row],[Profit]]/clean_data[[#This Row],[Revenue]]</f>
        <v>0.5</v>
      </c>
      <c r="T985" t="str" cm="1">
        <f t="array" ref="T985">_xlfn.IFS(clean_data[[#This Row],[Revenue]]&lt;300000,"Small",
     clean_data[[#This Row],[Revenue]]&lt;700000,"Medium",
     TRUE,"Large")</f>
        <v>Small</v>
      </c>
      <c r="U985" t="str" cm="1">
        <f t="array" ref="U985">_xlfn.IFS(clean_data[[#This Row],[profit margin%]]&lt;0.5,"Low Profit",
     clean_data[[#This Row],[profit margin%]]&lt;0.6,"Medium Profit",
     TRUE,"High Profit")</f>
        <v>Medium Profit</v>
      </c>
      <c r="V985" t="str">
        <f>TEXT(clean_data[[#This Row],[Date]],"mmm-yyyy")</f>
        <v>Mar-2024</v>
      </c>
      <c r="W985" s="8">
        <f>EOMONTH(clean_data[[#This Row],[Date]],-1)+1</f>
        <v>45352</v>
      </c>
    </row>
    <row r="986" spans="1:23" x14ac:dyDescent="0.3">
      <c r="A986" t="s">
        <v>1058</v>
      </c>
      <c r="B986" s="1">
        <v>44613</v>
      </c>
      <c r="C986" t="s">
        <v>26</v>
      </c>
      <c r="D986" t="s">
        <v>69</v>
      </c>
      <c r="E986" t="s">
        <v>73</v>
      </c>
      <c r="F986" t="s">
        <v>20</v>
      </c>
      <c r="G986" t="s">
        <v>115</v>
      </c>
      <c r="H986">
        <v>3</v>
      </c>
      <c r="I986">
        <v>2500</v>
      </c>
      <c r="J986">
        <v>20</v>
      </c>
      <c r="K986">
        <v>6000</v>
      </c>
      <c r="L986">
        <v>2400</v>
      </c>
      <c r="M986">
        <v>3600</v>
      </c>
      <c r="N986" t="s">
        <v>30</v>
      </c>
      <c r="O986" t="s">
        <v>50</v>
      </c>
      <c r="P986" t="s">
        <v>40</v>
      </c>
      <c r="Q986" t="str">
        <f>TEXT(clean_data[[#This Row],[Date]],"mmm")</f>
        <v>Feb</v>
      </c>
      <c r="R986">
        <f>YEAR(clean_data[[#This Row],[Date]])</f>
        <v>2022</v>
      </c>
      <c r="S986" s="2">
        <f>clean_data[[#This Row],[Profit]]/clean_data[[#This Row],[Revenue]]</f>
        <v>0.6</v>
      </c>
      <c r="T986" t="str" cm="1">
        <f t="array" ref="T986">_xlfn.IFS(clean_data[[#This Row],[Revenue]]&lt;300000,"Small",
     clean_data[[#This Row],[Revenue]]&lt;700000,"Medium",
     TRUE,"Large")</f>
        <v>Small</v>
      </c>
      <c r="U986" t="str" cm="1">
        <f t="array" ref="U986">_xlfn.IFS(clean_data[[#This Row],[profit margin%]]&lt;0.5,"Low Profit",
     clean_data[[#This Row],[profit margin%]]&lt;0.6,"Medium Profit",
     TRUE,"High Profit")</f>
        <v>High Profit</v>
      </c>
      <c r="V986" t="str">
        <f>TEXT(clean_data[[#This Row],[Date]],"mmm-yyyy")</f>
        <v>Feb-2022</v>
      </c>
      <c r="W986" s="8">
        <f>EOMONTH(clean_data[[#This Row],[Date]],-1)+1</f>
        <v>44593</v>
      </c>
    </row>
    <row r="987" spans="1:23" x14ac:dyDescent="0.3">
      <c r="A987" t="s">
        <v>1059</v>
      </c>
      <c r="B987" s="1">
        <v>44595</v>
      </c>
      <c r="C987" t="s">
        <v>58</v>
      </c>
      <c r="D987" t="s">
        <v>84</v>
      </c>
      <c r="E987" t="s">
        <v>32</v>
      </c>
      <c r="F987" t="s">
        <v>33</v>
      </c>
      <c r="G987" t="s">
        <v>34</v>
      </c>
      <c r="H987">
        <v>21</v>
      </c>
      <c r="I987">
        <v>25000</v>
      </c>
      <c r="J987">
        <v>10</v>
      </c>
      <c r="K987">
        <v>472500</v>
      </c>
      <c r="L987">
        <v>236250</v>
      </c>
      <c r="M987">
        <v>236250</v>
      </c>
      <c r="N987" t="s">
        <v>30</v>
      </c>
      <c r="O987" t="s">
        <v>67</v>
      </c>
      <c r="P987" t="s">
        <v>24</v>
      </c>
      <c r="Q987" t="str">
        <f>TEXT(clean_data[[#This Row],[Date]],"mmm")</f>
        <v>Feb</v>
      </c>
      <c r="R987">
        <f>YEAR(clean_data[[#This Row],[Date]])</f>
        <v>2022</v>
      </c>
      <c r="S987" s="2">
        <f>clean_data[[#This Row],[Profit]]/clean_data[[#This Row],[Revenue]]</f>
        <v>0.5</v>
      </c>
      <c r="T987" t="str" cm="1">
        <f t="array" ref="T987">_xlfn.IFS(clean_data[[#This Row],[Revenue]]&lt;300000,"Small",
     clean_data[[#This Row],[Revenue]]&lt;700000,"Medium",
     TRUE,"Large")</f>
        <v>Medium</v>
      </c>
      <c r="U987" t="str" cm="1">
        <f t="array" ref="U987">_xlfn.IFS(clean_data[[#This Row],[profit margin%]]&lt;0.5,"Low Profit",
     clean_data[[#This Row],[profit margin%]]&lt;0.6,"Medium Profit",
     TRUE,"High Profit")</f>
        <v>Medium Profit</v>
      </c>
      <c r="V987" t="str">
        <f>TEXT(clean_data[[#This Row],[Date]],"mmm-yyyy")</f>
        <v>Feb-2022</v>
      </c>
      <c r="W987" s="8">
        <f>EOMONTH(clean_data[[#This Row],[Date]],-1)+1</f>
        <v>44593</v>
      </c>
    </row>
    <row r="988" spans="1:23" x14ac:dyDescent="0.3">
      <c r="A988" t="s">
        <v>1060</v>
      </c>
      <c r="B988" s="1">
        <v>45185</v>
      </c>
      <c r="C988" t="s">
        <v>26</v>
      </c>
      <c r="D988" t="s">
        <v>69</v>
      </c>
      <c r="E988" t="s">
        <v>73</v>
      </c>
      <c r="F988" t="s">
        <v>65</v>
      </c>
      <c r="G988" t="s">
        <v>66</v>
      </c>
      <c r="H988">
        <v>42</v>
      </c>
      <c r="I988">
        <v>5500</v>
      </c>
      <c r="J988">
        <v>0</v>
      </c>
      <c r="K988">
        <v>231000</v>
      </c>
      <c r="L988">
        <v>103950</v>
      </c>
      <c r="M988">
        <v>127050</v>
      </c>
      <c r="N988" t="s">
        <v>22</v>
      </c>
      <c r="O988" t="s">
        <v>35</v>
      </c>
      <c r="P988" t="s">
        <v>24</v>
      </c>
      <c r="Q988" t="str">
        <f>TEXT(clean_data[[#This Row],[Date]],"mmm")</f>
        <v>Sep</v>
      </c>
      <c r="R988">
        <f>YEAR(clean_data[[#This Row],[Date]])</f>
        <v>2023</v>
      </c>
      <c r="S988" s="2">
        <f>clean_data[[#This Row],[Profit]]/clean_data[[#This Row],[Revenue]]</f>
        <v>0.55000000000000004</v>
      </c>
      <c r="T988" t="str" cm="1">
        <f t="array" ref="T988">_xlfn.IFS(clean_data[[#This Row],[Revenue]]&lt;300000,"Small",
     clean_data[[#This Row],[Revenue]]&lt;700000,"Medium",
     TRUE,"Large")</f>
        <v>Small</v>
      </c>
      <c r="U988" t="str" cm="1">
        <f t="array" ref="U988">_xlfn.IFS(clean_data[[#This Row],[profit margin%]]&lt;0.5,"Low Profit",
     clean_data[[#This Row],[profit margin%]]&lt;0.6,"Medium Profit",
     TRUE,"High Profit")</f>
        <v>Medium Profit</v>
      </c>
      <c r="V988" t="str">
        <f>TEXT(clean_data[[#This Row],[Date]],"mmm-yyyy")</f>
        <v>Sep-2023</v>
      </c>
      <c r="W988" s="8">
        <f>EOMONTH(clean_data[[#This Row],[Date]],-1)+1</f>
        <v>45170</v>
      </c>
    </row>
    <row r="989" spans="1:23" x14ac:dyDescent="0.3">
      <c r="A989" t="s">
        <v>1061</v>
      </c>
      <c r="B989" s="1">
        <v>44600</v>
      </c>
      <c r="C989" t="s">
        <v>26</v>
      </c>
      <c r="D989" t="s">
        <v>27</v>
      </c>
      <c r="E989" t="s">
        <v>78</v>
      </c>
      <c r="F989" t="s">
        <v>28</v>
      </c>
      <c r="G989" t="s">
        <v>71</v>
      </c>
      <c r="H989">
        <v>45</v>
      </c>
      <c r="I989">
        <v>35000</v>
      </c>
      <c r="J989">
        <v>15</v>
      </c>
      <c r="K989">
        <v>1338750</v>
      </c>
      <c r="L989">
        <v>736312.5</v>
      </c>
      <c r="M989">
        <v>602437.5</v>
      </c>
      <c r="N989" t="s">
        <v>30</v>
      </c>
      <c r="O989" t="s">
        <v>35</v>
      </c>
      <c r="P989" t="s">
        <v>24</v>
      </c>
      <c r="Q989" t="str">
        <f>TEXT(clean_data[[#This Row],[Date]],"mmm")</f>
        <v>Feb</v>
      </c>
      <c r="R989">
        <f>YEAR(clean_data[[#This Row],[Date]])</f>
        <v>2022</v>
      </c>
      <c r="S989" s="2">
        <f>clean_data[[#This Row],[Profit]]/clean_data[[#This Row],[Revenue]]</f>
        <v>0.45</v>
      </c>
      <c r="T989" t="str" cm="1">
        <f t="array" ref="T989">_xlfn.IFS(clean_data[[#This Row],[Revenue]]&lt;300000,"Small",
     clean_data[[#This Row],[Revenue]]&lt;700000,"Medium",
     TRUE,"Large")</f>
        <v>Large</v>
      </c>
      <c r="U989" t="str" cm="1">
        <f t="array" ref="U989">_xlfn.IFS(clean_data[[#This Row],[profit margin%]]&lt;0.5,"Low Profit",
     clean_data[[#This Row],[profit margin%]]&lt;0.6,"Medium Profit",
     TRUE,"High Profit")</f>
        <v>Low Profit</v>
      </c>
      <c r="V989" t="str">
        <f>TEXT(clean_data[[#This Row],[Date]],"mmm-yyyy")</f>
        <v>Feb-2022</v>
      </c>
      <c r="W989" s="8">
        <f>EOMONTH(clean_data[[#This Row],[Date]],-1)+1</f>
        <v>44593</v>
      </c>
    </row>
    <row r="990" spans="1:23" x14ac:dyDescent="0.3">
      <c r="A990" t="s">
        <v>1062</v>
      </c>
      <c r="B990" s="1">
        <v>44950</v>
      </c>
      <c r="C990" t="s">
        <v>17</v>
      </c>
      <c r="D990" t="s">
        <v>42</v>
      </c>
      <c r="E990" t="s">
        <v>56</v>
      </c>
      <c r="F990" t="s">
        <v>28</v>
      </c>
      <c r="G990" t="s">
        <v>71</v>
      </c>
      <c r="H990">
        <v>3</v>
      </c>
      <c r="I990">
        <v>35000</v>
      </c>
      <c r="J990">
        <v>0</v>
      </c>
      <c r="K990">
        <v>105000</v>
      </c>
      <c r="L990">
        <v>57750</v>
      </c>
      <c r="M990">
        <v>47250</v>
      </c>
      <c r="N990" t="s">
        <v>49</v>
      </c>
      <c r="O990" t="s">
        <v>35</v>
      </c>
      <c r="P990" t="s">
        <v>24</v>
      </c>
      <c r="Q990" t="str">
        <f>TEXT(clean_data[[#This Row],[Date]],"mmm")</f>
        <v>Jan</v>
      </c>
      <c r="R990">
        <f>YEAR(clean_data[[#This Row],[Date]])</f>
        <v>2023</v>
      </c>
      <c r="S990" s="2">
        <f>clean_data[[#This Row],[Profit]]/clean_data[[#This Row],[Revenue]]</f>
        <v>0.45</v>
      </c>
      <c r="T990" t="str" cm="1">
        <f t="array" ref="T990">_xlfn.IFS(clean_data[[#This Row],[Revenue]]&lt;300000,"Small",
     clean_data[[#This Row],[Revenue]]&lt;700000,"Medium",
     TRUE,"Large")</f>
        <v>Small</v>
      </c>
      <c r="U990" t="str" cm="1">
        <f t="array" ref="U990">_xlfn.IFS(clean_data[[#This Row],[profit margin%]]&lt;0.5,"Low Profit",
     clean_data[[#This Row],[profit margin%]]&lt;0.6,"Medium Profit",
     TRUE,"High Profit")</f>
        <v>Low Profit</v>
      </c>
      <c r="V990" t="str">
        <f>TEXT(clean_data[[#This Row],[Date]],"mmm-yyyy")</f>
        <v>Jan-2023</v>
      </c>
      <c r="W990" s="8">
        <f>EOMONTH(clean_data[[#This Row],[Date]],-1)+1</f>
        <v>44927</v>
      </c>
    </row>
    <row r="991" spans="1:23" x14ac:dyDescent="0.3">
      <c r="A991" t="s">
        <v>1063</v>
      </c>
      <c r="B991" s="1">
        <v>45057</v>
      </c>
      <c r="C991" t="s">
        <v>58</v>
      </c>
      <c r="D991" t="s">
        <v>59</v>
      </c>
      <c r="E991" t="s">
        <v>78</v>
      </c>
      <c r="F991" t="s">
        <v>20</v>
      </c>
      <c r="G991" t="s">
        <v>53</v>
      </c>
      <c r="H991">
        <v>30</v>
      </c>
      <c r="I991">
        <v>600</v>
      </c>
      <c r="J991">
        <v>0</v>
      </c>
      <c r="K991">
        <v>18000</v>
      </c>
      <c r="L991">
        <v>7200</v>
      </c>
      <c r="M991">
        <v>10800</v>
      </c>
      <c r="N991" t="s">
        <v>49</v>
      </c>
      <c r="O991" t="s">
        <v>44</v>
      </c>
      <c r="P991" t="s">
        <v>24</v>
      </c>
      <c r="Q991" t="str">
        <f>TEXT(clean_data[[#This Row],[Date]],"mmm")</f>
        <v>May</v>
      </c>
      <c r="R991">
        <f>YEAR(clean_data[[#This Row],[Date]])</f>
        <v>2023</v>
      </c>
      <c r="S991" s="2">
        <f>clean_data[[#This Row],[Profit]]/clean_data[[#This Row],[Revenue]]</f>
        <v>0.6</v>
      </c>
      <c r="T991" t="str" cm="1">
        <f t="array" ref="T991">_xlfn.IFS(clean_data[[#This Row],[Revenue]]&lt;300000,"Small",
     clean_data[[#This Row],[Revenue]]&lt;700000,"Medium",
     TRUE,"Large")</f>
        <v>Small</v>
      </c>
      <c r="U991" t="str" cm="1">
        <f t="array" ref="U991">_xlfn.IFS(clean_data[[#This Row],[profit margin%]]&lt;0.5,"Low Profit",
     clean_data[[#This Row],[profit margin%]]&lt;0.6,"Medium Profit",
     TRUE,"High Profit")</f>
        <v>High Profit</v>
      </c>
      <c r="V991" t="str">
        <f>TEXT(clean_data[[#This Row],[Date]],"mmm-yyyy")</f>
        <v>May-2023</v>
      </c>
      <c r="W991" s="8">
        <f>EOMONTH(clean_data[[#This Row],[Date]],-1)+1</f>
        <v>45047</v>
      </c>
    </row>
    <row r="992" spans="1:23" x14ac:dyDescent="0.3">
      <c r="A992" t="s">
        <v>1064</v>
      </c>
      <c r="B992" s="1">
        <v>45372</v>
      </c>
      <c r="C992" t="s">
        <v>58</v>
      </c>
      <c r="D992" t="s">
        <v>64</v>
      </c>
      <c r="E992" t="s">
        <v>52</v>
      </c>
      <c r="F992" t="s">
        <v>20</v>
      </c>
      <c r="G992" t="s">
        <v>53</v>
      </c>
      <c r="H992">
        <v>31</v>
      </c>
      <c r="I992">
        <v>600</v>
      </c>
      <c r="J992">
        <v>15</v>
      </c>
      <c r="K992">
        <v>15810</v>
      </c>
      <c r="L992">
        <v>6324</v>
      </c>
      <c r="M992">
        <v>9486</v>
      </c>
      <c r="N992" t="s">
        <v>49</v>
      </c>
      <c r="O992" t="s">
        <v>23</v>
      </c>
      <c r="P992" t="s">
        <v>24</v>
      </c>
      <c r="Q992" t="str">
        <f>TEXT(clean_data[[#This Row],[Date]],"mmm")</f>
        <v>Mar</v>
      </c>
      <c r="R992">
        <f>YEAR(clean_data[[#This Row],[Date]])</f>
        <v>2024</v>
      </c>
      <c r="S992" s="2">
        <f>clean_data[[#This Row],[Profit]]/clean_data[[#This Row],[Revenue]]</f>
        <v>0.6</v>
      </c>
      <c r="T992" t="str" cm="1">
        <f t="array" ref="T992">_xlfn.IFS(clean_data[[#This Row],[Revenue]]&lt;300000,"Small",
     clean_data[[#This Row],[Revenue]]&lt;700000,"Medium",
     TRUE,"Large")</f>
        <v>Small</v>
      </c>
      <c r="U992" t="str" cm="1">
        <f t="array" ref="U992">_xlfn.IFS(clean_data[[#This Row],[profit margin%]]&lt;0.5,"Low Profit",
     clean_data[[#This Row],[profit margin%]]&lt;0.6,"Medium Profit",
     TRUE,"High Profit")</f>
        <v>High Profit</v>
      </c>
      <c r="V992" t="str">
        <f>TEXT(clean_data[[#This Row],[Date]],"mmm-yyyy")</f>
        <v>Mar-2024</v>
      </c>
      <c r="W992" s="8">
        <f>EOMONTH(clean_data[[#This Row],[Date]],-1)+1</f>
        <v>45352</v>
      </c>
    </row>
    <row r="993" spans="1:23" x14ac:dyDescent="0.3">
      <c r="A993" t="s">
        <v>1065</v>
      </c>
      <c r="B993" s="1">
        <v>44988</v>
      </c>
      <c r="C993" t="s">
        <v>17</v>
      </c>
      <c r="D993" t="s">
        <v>37</v>
      </c>
      <c r="E993" t="s">
        <v>52</v>
      </c>
      <c r="F993" t="s">
        <v>33</v>
      </c>
      <c r="G993" t="s">
        <v>43</v>
      </c>
      <c r="H993">
        <v>16</v>
      </c>
      <c r="I993">
        <v>4000</v>
      </c>
      <c r="J993">
        <v>5</v>
      </c>
      <c r="K993">
        <v>60800</v>
      </c>
      <c r="L993">
        <v>30400</v>
      </c>
      <c r="M993">
        <v>30400</v>
      </c>
      <c r="N993" t="s">
        <v>30</v>
      </c>
      <c r="O993" t="s">
        <v>23</v>
      </c>
      <c r="P993" t="s">
        <v>24</v>
      </c>
      <c r="Q993" t="str">
        <f>TEXT(clean_data[[#This Row],[Date]],"mmm")</f>
        <v>Mar</v>
      </c>
      <c r="R993">
        <f>YEAR(clean_data[[#This Row],[Date]])</f>
        <v>2023</v>
      </c>
      <c r="S993" s="2">
        <f>clean_data[[#This Row],[Profit]]/clean_data[[#This Row],[Revenue]]</f>
        <v>0.5</v>
      </c>
      <c r="T993" t="str" cm="1">
        <f t="array" ref="T993">_xlfn.IFS(clean_data[[#This Row],[Revenue]]&lt;300000,"Small",
     clean_data[[#This Row],[Revenue]]&lt;700000,"Medium",
     TRUE,"Large")</f>
        <v>Small</v>
      </c>
      <c r="U993" t="str" cm="1">
        <f t="array" ref="U993">_xlfn.IFS(clean_data[[#This Row],[profit margin%]]&lt;0.5,"Low Profit",
     clean_data[[#This Row],[profit margin%]]&lt;0.6,"Medium Profit",
     TRUE,"High Profit")</f>
        <v>Medium Profit</v>
      </c>
      <c r="V993" t="str">
        <f>TEXT(clean_data[[#This Row],[Date]],"mmm-yyyy")</f>
        <v>Mar-2023</v>
      </c>
      <c r="W993" s="8">
        <f>EOMONTH(clean_data[[#This Row],[Date]],-1)+1</f>
        <v>44986</v>
      </c>
    </row>
    <row r="994" spans="1:23" x14ac:dyDescent="0.3">
      <c r="A994" t="s">
        <v>1066</v>
      </c>
      <c r="B994" s="1">
        <v>44658</v>
      </c>
      <c r="C994" t="s">
        <v>26</v>
      </c>
      <c r="D994" t="s">
        <v>27</v>
      </c>
      <c r="E994" t="s">
        <v>60</v>
      </c>
      <c r="F994" t="s">
        <v>65</v>
      </c>
      <c r="G994" t="s">
        <v>104</v>
      </c>
      <c r="H994">
        <v>32</v>
      </c>
      <c r="I994">
        <v>3000</v>
      </c>
      <c r="J994">
        <v>0</v>
      </c>
      <c r="K994">
        <v>96000</v>
      </c>
      <c r="L994">
        <v>43200</v>
      </c>
      <c r="M994">
        <v>52800</v>
      </c>
      <c r="N994" t="s">
        <v>30</v>
      </c>
      <c r="O994" t="s">
        <v>67</v>
      </c>
      <c r="P994" t="s">
        <v>24</v>
      </c>
      <c r="Q994" t="str">
        <f>TEXT(clean_data[[#This Row],[Date]],"mmm")</f>
        <v>Apr</v>
      </c>
      <c r="R994">
        <f>YEAR(clean_data[[#This Row],[Date]])</f>
        <v>2022</v>
      </c>
      <c r="S994" s="2">
        <f>clean_data[[#This Row],[Profit]]/clean_data[[#This Row],[Revenue]]</f>
        <v>0.55000000000000004</v>
      </c>
      <c r="T994" t="str" cm="1">
        <f t="array" ref="T994">_xlfn.IFS(clean_data[[#This Row],[Revenue]]&lt;300000,"Small",
     clean_data[[#This Row],[Revenue]]&lt;700000,"Medium",
     TRUE,"Large")</f>
        <v>Small</v>
      </c>
      <c r="U994" t="str" cm="1">
        <f t="array" ref="U994">_xlfn.IFS(clean_data[[#This Row],[profit margin%]]&lt;0.5,"Low Profit",
     clean_data[[#This Row],[profit margin%]]&lt;0.6,"Medium Profit",
     TRUE,"High Profit")</f>
        <v>Medium Profit</v>
      </c>
      <c r="V994" t="str">
        <f>TEXT(clean_data[[#This Row],[Date]],"mmm-yyyy")</f>
        <v>Apr-2022</v>
      </c>
      <c r="W994" s="8">
        <f>EOMONTH(clean_data[[#This Row],[Date]],-1)+1</f>
        <v>44652</v>
      </c>
    </row>
    <row r="995" spans="1:23" x14ac:dyDescent="0.3">
      <c r="A995" t="s">
        <v>1067</v>
      </c>
      <c r="B995" s="1">
        <v>45582</v>
      </c>
      <c r="C995" t="s">
        <v>17</v>
      </c>
      <c r="D995" t="s">
        <v>37</v>
      </c>
      <c r="E995" t="s">
        <v>60</v>
      </c>
      <c r="F995" t="s">
        <v>20</v>
      </c>
      <c r="G995" t="s">
        <v>53</v>
      </c>
      <c r="H995">
        <v>7</v>
      </c>
      <c r="I995">
        <v>600</v>
      </c>
      <c r="J995">
        <v>5</v>
      </c>
      <c r="K995">
        <v>3990</v>
      </c>
      <c r="L995">
        <v>1596</v>
      </c>
      <c r="M995">
        <v>2394</v>
      </c>
      <c r="N995" t="s">
        <v>49</v>
      </c>
      <c r="O995" t="s">
        <v>23</v>
      </c>
      <c r="P995" t="s">
        <v>24</v>
      </c>
      <c r="Q995" t="str">
        <f>TEXT(clean_data[[#This Row],[Date]],"mmm")</f>
        <v>Oct</v>
      </c>
      <c r="R995">
        <f>YEAR(clean_data[[#This Row],[Date]])</f>
        <v>2024</v>
      </c>
      <c r="S995" s="2">
        <f>clean_data[[#This Row],[Profit]]/clean_data[[#This Row],[Revenue]]</f>
        <v>0.6</v>
      </c>
      <c r="T995" t="str" cm="1">
        <f t="array" ref="T995">_xlfn.IFS(clean_data[[#This Row],[Revenue]]&lt;300000,"Small",
     clean_data[[#This Row],[Revenue]]&lt;700000,"Medium",
     TRUE,"Large")</f>
        <v>Small</v>
      </c>
      <c r="U995" t="str" cm="1">
        <f t="array" ref="U995">_xlfn.IFS(clean_data[[#This Row],[profit margin%]]&lt;0.5,"Low Profit",
     clean_data[[#This Row],[profit margin%]]&lt;0.6,"Medium Profit",
     TRUE,"High Profit")</f>
        <v>High Profit</v>
      </c>
      <c r="V995" t="str">
        <f>TEXT(clean_data[[#This Row],[Date]],"mmm-yyyy")</f>
        <v>Oct-2024</v>
      </c>
      <c r="W995" s="8">
        <f>EOMONTH(clean_data[[#This Row],[Date]],-1)+1</f>
        <v>45566</v>
      </c>
    </row>
    <row r="996" spans="1:23" x14ac:dyDescent="0.3">
      <c r="A996" t="s">
        <v>1068</v>
      </c>
      <c r="B996" s="1">
        <v>45440</v>
      </c>
      <c r="C996" t="s">
        <v>46</v>
      </c>
      <c r="D996" t="s">
        <v>55</v>
      </c>
      <c r="E996" t="s">
        <v>19</v>
      </c>
      <c r="F996" t="s">
        <v>28</v>
      </c>
      <c r="G996" t="s">
        <v>71</v>
      </c>
      <c r="H996">
        <v>28</v>
      </c>
      <c r="I996">
        <v>35000</v>
      </c>
      <c r="J996">
        <v>5</v>
      </c>
      <c r="K996">
        <v>931000</v>
      </c>
      <c r="L996">
        <v>512050</v>
      </c>
      <c r="M996">
        <v>418950</v>
      </c>
      <c r="N996" t="s">
        <v>22</v>
      </c>
      <c r="O996" t="s">
        <v>35</v>
      </c>
      <c r="P996" t="s">
        <v>24</v>
      </c>
      <c r="Q996" t="str">
        <f>TEXT(clean_data[[#This Row],[Date]],"mmm")</f>
        <v>May</v>
      </c>
      <c r="R996">
        <f>YEAR(clean_data[[#This Row],[Date]])</f>
        <v>2024</v>
      </c>
      <c r="S996" s="2">
        <f>clean_data[[#This Row],[Profit]]/clean_data[[#This Row],[Revenue]]</f>
        <v>0.45</v>
      </c>
      <c r="T996" t="str" cm="1">
        <f t="array" ref="T996">_xlfn.IFS(clean_data[[#This Row],[Revenue]]&lt;300000,"Small",
     clean_data[[#This Row],[Revenue]]&lt;700000,"Medium",
     TRUE,"Large")</f>
        <v>Large</v>
      </c>
      <c r="U996" t="str" cm="1">
        <f t="array" ref="U996">_xlfn.IFS(clean_data[[#This Row],[profit margin%]]&lt;0.5,"Low Profit",
     clean_data[[#This Row],[profit margin%]]&lt;0.6,"Medium Profit",
     TRUE,"High Profit")</f>
        <v>Low Profit</v>
      </c>
      <c r="V996" t="str">
        <f>TEXT(clean_data[[#This Row],[Date]],"mmm-yyyy")</f>
        <v>May-2024</v>
      </c>
      <c r="W996" s="8">
        <f>EOMONTH(clean_data[[#This Row],[Date]],-1)+1</f>
        <v>45413</v>
      </c>
    </row>
    <row r="997" spans="1:23" x14ac:dyDescent="0.3">
      <c r="A997" t="s">
        <v>1069</v>
      </c>
      <c r="B997" s="1">
        <v>44849</v>
      </c>
      <c r="C997" t="s">
        <v>26</v>
      </c>
      <c r="D997" t="s">
        <v>27</v>
      </c>
      <c r="E997" t="s">
        <v>19</v>
      </c>
      <c r="F997" t="s">
        <v>28</v>
      </c>
      <c r="G997" t="s">
        <v>85</v>
      </c>
      <c r="H997">
        <v>12</v>
      </c>
      <c r="I997">
        <v>8000</v>
      </c>
      <c r="J997">
        <v>10</v>
      </c>
      <c r="K997">
        <v>86400</v>
      </c>
      <c r="L997">
        <v>47520</v>
      </c>
      <c r="M997">
        <v>38880</v>
      </c>
      <c r="N997" t="s">
        <v>49</v>
      </c>
      <c r="O997" t="s">
        <v>67</v>
      </c>
      <c r="P997" t="s">
        <v>24</v>
      </c>
      <c r="Q997" t="str">
        <f>TEXT(clean_data[[#This Row],[Date]],"mmm")</f>
        <v>Oct</v>
      </c>
      <c r="R997">
        <f>YEAR(clean_data[[#This Row],[Date]])</f>
        <v>2022</v>
      </c>
      <c r="S997" s="2">
        <f>clean_data[[#This Row],[Profit]]/clean_data[[#This Row],[Revenue]]</f>
        <v>0.45</v>
      </c>
      <c r="T997" t="str" cm="1">
        <f t="array" ref="T997">_xlfn.IFS(clean_data[[#This Row],[Revenue]]&lt;300000,"Small",
     clean_data[[#This Row],[Revenue]]&lt;700000,"Medium",
     TRUE,"Large")</f>
        <v>Small</v>
      </c>
      <c r="U997" t="str" cm="1">
        <f t="array" ref="U997">_xlfn.IFS(clean_data[[#This Row],[profit margin%]]&lt;0.5,"Low Profit",
     clean_data[[#This Row],[profit margin%]]&lt;0.6,"Medium Profit",
     TRUE,"High Profit")</f>
        <v>Low Profit</v>
      </c>
      <c r="V997" t="str">
        <f>TEXT(clean_data[[#This Row],[Date]],"mmm-yyyy")</f>
        <v>Oct-2022</v>
      </c>
      <c r="W997" s="8">
        <f>EOMONTH(clean_data[[#This Row],[Date]],-1)+1</f>
        <v>44835</v>
      </c>
    </row>
    <row r="998" spans="1:23" x14ac:dyDescent="0.3">
      <c r="A998" t="s">
        <v>1070</v>
      </c>
      <c r="B998" s="1">
        <v>45424</v>
      </c>
      <c r="C998" t="s">
        <v>17</v>
      </c>
      <c r="D998" t="s">
        <v>18</v>
      </c>
      <c r="E998" t="s">
        <v>111</v>
      </c>
      <c r="F998" t="s">
        <v>28</v>
      </c>
      <c r="G998" t="s">
        <v>71</v>
      </c>
      <c r="H998">
        <v>28</v>
      </c>
      <c r="I998">
        <v>35000</v>
      </c>
      <c r="J998">
        <v>5</v>
      </c>
      <c r="K998">
        <v>931000</v>
      </c>
      <c r="L998">
        <v>512050</v>
      </c>
      <c r="M998">
        <v>418950</v>
      </c>
      <c r="N998" t="s">
        <v>49</v>
      </c>
      <c r="O998" t="s">
        <v>67</v>
      </c>
      <c r="P998" t="s">
        <v>24</v>
      </c>
      <c r="Q998" t="str">
        <f>TEXT(clean_data[[#This Row],[Date]],"mmm")</f>
        <v>May</v>
      </c>
      <c r="R998">
        <f>YEAR(clean_data[[#This Row],[Date]])</f>
        <v>2024</v>
      </c>
      <c r="S998" s="2">
        <f>clean_data[[#This Row],[Profit]]/clean_data[[#This Row],[Revenue]]</f>
        <v>0.45</v>
      </c>
      <c r="T998" t="str" cm="1">
        <f t="array" ref="T998">_xlfn.IFS(clean_data[[#This Row],[Revenue]]&lt;300000,"Small",
     clean_data[[#This Row],[Revenue]]&lt;700000,"Medium",
     TRUE,"Large")</f>
        <v>Large</v>
      </c>
      <c r="U998" t="str" cm="1">
        <f t="array" ref="U998">_xlfn.IFS(clean_data[[#This Row],[profit margin%]]&lt;0.5,"Low Profit",
     clean_data[[#This Row],[profit margin%]]&lt;0.6,"Medium Profit",
     TRUE,"High Profit")</f>
        <v>Low Profit</v>
      </c>
      <c r="V998" t="str">
        <f>TEXT(clean_data[[#This Row],[Date]],"mmm-yyyy")</f>
        <v>May-2024</v>
      </c>
      <c r="W998" s="8">
        <f>EOMONTH(clean_data[[#This Row],[Date]],-1)+1</f>
        <v>45413</v>
      </c>
    </row>
    <row r="999" spans="1:23" x14ac:dyDescent="0.3">
      <c r="A999" t="s">
        <v>1071</v>
      </c>
      <c r="B999" s="1">
        <v>45399</v>
      </c>
      <c r="C999" t="s">
        <v>17</v>
      </c>
      <c r="D999" t="s">
        <v>18</v>
      </c>
      <c r="E999" t="s">
        <v>60</v>
      </c>
      <c r="F999" t="s">
        <v>33</v>
      </c>
      <c r="G999" t="s">
        <v>34</v>
      </c>
      <c r="H999">
        <v>7</v>
      </c>
      <c r="I999">
        <v>25000</v>
      </c>
      <c r="J999">
        <v>0</v>
      </c>
      <c r="K999">
        <v>175000</v>
      </c>
      <c r="L999">
        <v>87500</v>
      </c>
      <c r="M999">
        <v>87500</v>
      </c>
      <c r="N999" t="s">
        <v>22</v>
      </c>
      <c r="O999" t="s">
        <v>23</v>
      </c>
      <c r="P999" t="s">
        <v>24</v>
      </c>
      <c r="Q999" t="str">
        <f>TEXT(clean_data[[#This Row],[Date]],"mmm")</f>
        <v>Apr</v>
      </c>
      <c r="R999">
        <f>YEAR(clean_data[[#This Row],[Date]])</f>
        <v>2024</v>
      </c>
      <c r="S999" s="2">
        <f>clean_data[[#This Row],[Profit]]/clean_data[[#This Row],[Revenue]]</f>
        <v>0.5</v>
      </c>
      <c r="T999" t="str" cm="1">
        <f t="array" ref="T999">_xlfn.IFS(clean_data[[#This Row],[Revenue]]&lt;300000,"Small",
     clean_data[[#This Row],[Revenue]]&lt;700000,"Medium",
     TRUE,"Large")</f>
        <v>Small</v>
      </c>
      <c r="U999" t="str" cm="1">
        <f t="array" ref="U999">_xlfn.IFS(clean_data[[#This Row],[profit margin%]]&lt;0.5,"Low Profit",
     clean_data[[#This Row],[profit margin%]]&lt;0.6,"Medium Profit",
     TRUE,"High Profit")</f>
        <v>Medium Profit</v>
      </c>
      <c r="V999" t="str">
        <f>TEXT(clean_data[[#This Row],[Date]],"mmm-yyyy")</f>
        <v>Apr-2024</v>
      </c>
      <c r="W999" s="8">
        <f>EOMONTH(clean_data[[#This Row],[Date]],-1)+1</f>
        <v>45383</v>
      </c>
    </row>
    <row r="1000" spans="1:23" x14ac:dyDescent="0.3">
      <c r="A1000" t="s">
        <v>1072</v>
      </c>
      <c r="B1000" s="1">
        <v>44936</v>
      </c>
      <c r="C1000" t="s">
        <v>46</v>
      </c>
      <c r="D1000" t="s">
        <v>55</v>
      </c>
      <c r="E1000" t="s">
        <v>78</v>
      </c>
      <c r="F1000" t="s">
        <v>33</v>
      </c>
      <c r="G1000" t="s">
        <v>43</v>
      </c>
      <c r="H1000">
        <v>39</v>
      </c>
      <c r="I1000">
        <v>4000</v>
      </c>
      <c r="J1000">
        <v>15</v>
      </c>
      <c r="K1000">
        <v>132600</v>
      </c>
      <c r="L1000">
        <v>66300</v>
      </c>
      <c r="M1000">
        <v>66300</v>
      </c>
      <c r="N1000" t="s">
        <v>49</v>
      </c>
      <c r="O1000" t="s">
        <v>35</v>
      </c>
      <c r="P1000" t="s">
        <v>40</v>
      </c>
      <c r="Q1000" t="str">
        <f>TEXT(clean_data[[#This Row],[Date]],"mmm")</f>
        <v>Jan</v>
      </c>
      <c r="R1000">
        <f>YEAR(clean_data[[#This Row],[Date]])</f>
        <v>2023</v>
      </c>
      <c r="S1000" s="2">
        <f>clean_data[[#This Row],[Profit]]/clean_data[[#This Row],[Revenue]]</f>
        <v>0.5</v>
      </c>
      <c r="T1000" t="str" cm="1">
        <f t="array" ref="T1000">_xlfn.IFS(clean_data[[#This Row],[Revenue]]&lt;300000,"Small",
     clean_data[[#This Row],[Revenue]]&lt;700000,"Medium",
     TRUE,"Large")</f>
        <v>Small</v>
      </c>
      <c r="U1000" t="str" cm="1">
        <f t="array" ref="U1000">_xlfn.IFS(clean_data[[#This Row],[profit margin%]]&lt;0.5,"Low Profit",
     clean_data[[#This Row],[profit margin%]]&lt;0.6,"Medium Profit",
     TRUE,"High Profit")</f>
        <v>Medium Profit</v>
      </c>
      <c r="V1000" t="str">
        <f>TEXT(clean_data[[#This Row],[Date]],"mmm-yyyy")</f>
        <v>Jan-2023</v>
      </c>
      <c r="W1000" s="8">
        <f>EOMONTH(clean_data[[#This Row],[Date]],-1)+1</f>
        <v>44927</v>
      </c>
    </row>
    <row r="1001" spans="1:23" x14ac:dyDescent="0.3">
      <c r="A1001" t="s">
        <v>1073</v>
      </c>
      <c r="B1001" s="1">
        <v>44672</v>
      </c>
      <c r="C1001" t="s">
        <v>46</v>
      </c>
      <c r="D1001" t="s">
        <v>47</v>
      </c>
      <c r="E1001" t="s">
        <v>19</v>
      </c>
      <c r="F1001" t="s">
        <v>28</v>
      </c>
      <c r="G1001" t="s">
        <v>95</v>
      </c>
      <c r="H1001">
        <v>3</v>
      </c>
      <c r="I1001">
        <v>75000</v>
      </c>
      <c r="J1001">
        <v>20</v>
      </c>
      <c r="K1001">
        <v>180000</v>
      </c>
      <c r="L1001">
        <v>99000</v>
      </c>
      <c r="M1001">
        <v>81000</v>
      </c>
      <c r="N1001" t="s">
        <v>30</v>
      </c>
      <c r="O1001" t="s">
        <v>35</v>
      </c>
      <c r="P1001" t="s">
        <v>24</v>
      </c>
      <c r="Q1001" t="str">
        <f>TEXT(clean_data[[#This Row],[Date]],"mmm")</f>
        <v>Apr</v>
      </c>
      <c r="R1001">
        <f>YEAR(clean_data[[#This Row],[Date]])</f>
        <v>2022</v>
      </c>
      <c r="S1001" s="2">
        <f>clean_data[[#This Row],[Profit]]/clean_data[[#This Row],[Revenue]]</f>
        <v>0.45</v>
      </c>
      <c r="T1001" t="str" cm="1">
        <f t="array" ref="T1001">_xlfn.IFS(clean_data[[#This Row],[Revenue]]&lt;300000,"Small",
     clean_data[[#This Row],[Revenue]]&lt;700000,"Medium",
     TRUE,"Large")</f>
        <v>Small</v>
      </c>
      <c r="U1001" t="str" cm="1">
        <f t="array" ref="U1001">_xlfn.IFS(clean_data[[#This Row],[profit margin%]]&lt;0.5,"Low Profit",
     clean_data[[#This Row],[profit margin%]]&lt;0.6,"Medium Profit",
     TRUE,"High Profit")</f>
        <v>Low Profit</v>
      </c>
      <c r="V1001" t="str">
        <f>TEXT(clean_data[[#This Row],[Date]],"mmm-yyyy")</f>
        <v>Apr-2022</v>
      </c>
      <c r="W1001" s="8">
        <f>EOMONTH(clean_data[[#This Row],[Date]],-1)+1</f>
        <v>44652</v>
      </c>
    </row>
    <row r="1002" spans="1:23" x14ac:dyDescent="0.3">
      <c r="A1002" t="s">
        <v>1074</v>
      </c>
      <c r="B1002" s="1">
        <v>45600</v>
      </c>
      <c r="C1002" t="s">
        <v>17</v>
      </c>
      <c r="D1002" t="s">
        <v>18</v>
      </c>
      <c r="E1002" t="s">
        <v>38</v>
      </c>
      <c r="F1002" t="s">
        <v>65</v>
      </c>
      <c r="G1002" t="s">
        <v>66</v>
      </c>
      <c r="H1002">
        <v>26</v>
      </c>
      <c r="I1002">
        <v>5500</v>
      </c>
      <c r="J1002">
        <v>0</v>
      </c>
      <c r="K1002">
        <v>143000</v>
      </c>
      <c r="L1002">
        <v>64350</v>
      </c>
      <c r="M1002">
        <v>78650</v>
      </c>
      <c r="N1002" t="s">
        <v>22</v>
      </c>
      <c r="O1002" t="s">
        <v>50</v>
      </c>
      <c r="P1002" t="s">
        <v>24</v>
      </c>
      <c r="Q1002" t="str">
        <f>TEXT(clean_data[[#This Row],[Date]],"mmm")</f>
        <v>Nov</v>
      </c>
      <c r="R1002">
        <f>YEAR(clean_data[[#This Row],[Date]])</f>
        <v>2024</v>
      </c>
      <c r="S1002" s="2">
        <f>clean_data[[#This Row],[Profit]]/clean_data[[#This Row],[Revenue]]</f>
        <v>0.55000000000000004</v>
      </c>
      <c r="T1002" t="str" cm="1">
        <f t="array" ref="T1002">_xlfn.IFS(clean_data[[#This Row],[Revenue]]&lt;300000,"Small",
     clean_data[[#This Row],[Revenue]]&lt;700000,"Medium",
     TRUE,"Large")</f>
        <v>Small</v>
      </c>
      <c r="U1002" t="str" cm="1">
        <f t="array" ref="U1002">_xlfn.IFS(clean_data[[#This Row],[profit margin%]]&lt;0.5,"Low Profit",
     clean_data[[#This Row],[profit margin%]]&lt;0.6,"Medium Profit",
     TRUE,"High Profit")</f>
        <v>Medium Profit</v>
      </c>
      <c r="V1002" t="str">
        <f>TEXT(clean_data[[#This Row],[Date]],"mmm-yyyy")</f>
        <v>Nov-2024</v>
      </c>
      <c r="W1002" s="8">
        <f>EOMONTH(clean_data[[#This Row],[Date]],-1)+1</f>
        <v>45597</v>
      </c>
    </row>
    <row r="1003" spans="1:23" x14ac:dyDescent="0.3">
      <c r="A1003" t="s">
        <v>1075</v>
      </c>
      <c r="B1003" s="1">
        <v>45511</v>
      </c>
      <c r="C1003" t="s">
        <v>46</v>
      </c>
      <c r="D1003" t="s">
        <v>47</v>
      </c>
      <c r="E1003" t="s">
        <v>70</v>
      </c>
      <c r="F1003" t="s">
        <v>33</v>
      </c>
      <c r="G1003" t="s">
        <v>43</v>
      </c>
      <c r="H1003">
        <v>19</v>
      </c>
      <c r="I1003">
        <v>4000</v>
      </c>
      <c r="J1003">
        <v>0</v>
      </c>
      <c r="K1003">
        <v>76000</v>
      </c>
      <c r="L1003">
        <v>38000</v>
      </c>
      <c r="M1003">
        <v>38000</v>
      </c>
      <c r="N1003" t="s">
        <v>30</v>
      </c>
      <c r="O1003" t="s">
        <v>67</v>
      </c>
      <c r="P1003" t="s">
        <v>24</v>
      </c>
      <c r="Q1003" t="str">
        <f>TEXT(clean_data[[#This Row],[Date]],"mmm")</f>
        <v>Aug</v>
      </c>
      <c r="R1003">
        <f>YEAR(clean_data[[#This Row],[Date]])</f>
        <v>2024</v>
      </c>
      <c r="S1003" s="2">
        <f>clean_data[[#This Row],[Profit]]/clean_data[[#This Row],[Revenue]]</f>
        <v>0.5</v>
      </c>
      <c r="T1003" t="str" cm="1">
        <f t="array" ref="T1003">_xlfn.IFS(clean_data[[#This Row],[Revenue]]&lt;300000,"Small",
     clean_data[[#This Row],[Revenue]]&lt;700000,"Medium",
     TRUE,"Large")</f>
        <v>Small</v>
      </c>
      <c r="U1003" t="str" cm="1">
        <f t="array" ref="U1003">_xlfn.IFS(clean_data[[#This Row],[profit margin%]]&lt;0.5,"Low Profit",
     clean_data[[#This Row],[profit margin%]]&lt;0.6,"Medium Profit",
     TRUE,"High Profit")</f>
        <v>Medium Profit</v>
      </c>
      <c r="V1003" t="str">
        <f>TEXT(clean_data[[#This Row],[Date]],"mmm-yyyy")</f>
        <v>Aug-2024</v>
      </c>
      <c r="W1003" s="8">
        <f>EOMONTH(clean_data[[#This Row],[Date]],-1)+1</f>
        <v>45505</v>
      </c>
    </row>
    <row r="1004" spans="1:23" x14ac:dyDescent="0.3">
      <c r="A1004" t="s">
        <v>1076</v>
      </c>
      <c r="B1004" s="1">
        <v>45497</v>
      </c>
      <c r="C1004" t="s">
        <v>17</v>
      </c>
      <c r="D1004" t="s">
        <v>42</v>
      </c>
      <c r="E1004" t="s">
        <v>19</v>
      </c>
      <c r="F1004" t="s">
        <v>20</v>
      </c>
      <c r="G1004" t="s">
        <v>61</v>
      </c>
      <c r="H1004">
        <v>44</v>
      </c>
      <c r="I1004">
        <v>800</v>
      </c>
      <c r="J1004">
        <v>0</v>
      </c>
      <c r="K1004">
        <v>35200</v>
      </c>
      <c r="L1004">
        <v>14080</v>
      </c>
      <c r="M1004">
        <v>21120</v>
      </c>
      <c r="N1004" t="s">
        <v>30</v>
      </c>
      <c r="O1004" t="s">
        <v>50</v>
      </c>
      <c r="P1004" t="s">
        <v>24</v>
      </c>
      <c r="Q1004" t="str">
        <f>TEXT(clean_data[[#This Row],[Date]],"mmm")</f>
        <v>Jul</v>
      </c>
      <c r="R1004">
        <f>YEAR(clean_data[[#This Row],[Date]])</f>
        <v>2024</v>
      </c>
      <c r="S1004" s="2">
        <f>clean_data[[#This Row],[Profit]]/clean_data[[#This Row],[Revenue]]</f>
        <v>0.6</v>
      </c>
      <c r="T1004" t="str" cm="1">
        <f t="array" ref="T1004">_xlfn.IFS(clean_data[[#This Row],[Revenue]]&lt;300000,"Small",
     clean_data[[#This Row],[Revenue]]&lt;700000,"Medium",
     TRUE,"Large")</f>
        <v>Small</v>
      </c>
      <c r="U1004" t="str" cm="1">
        <f t="array" ref="U1004">_xlfn.IFS(clean_data[[#This Row],[profit margin%]]&lt;0.5,"Low Profit",
     clean_data[[#This Row],[profit margin%]]&lt;0.6,"Medium Profit",
     TRUE,"High Profit")</f>
        <v>High Profit</v>
      </c>
      <c r="V1004" t="str">
        <f>TEXT(clean_data[[#This Row],[Date]],"mmm-yyyy")</f>
        <v>Jul-2024</v>
      </c>
      <c r="W1004" s="8">
        <f>EOMONTH(clean_data[[#This Row],[Date]],-1)+1</f>
        <v>45474</v>
      </c>
    </row>
    <row r="1005" spans="1:23" x14ac:dyDescent="0.3">
      <c r="A1005" t="s">
        <v>1077</v>
      </c>
      <c r="B1005" s="1">
        <v>45448</v>
      </c>
      <c r="C1005" t="s">
        <v>26</v>
      </c>
      <c r="D1005" t="s">
        <v>69</v>
      </c>
      <c r="E1005" t="s">
        <v>32</v>
      </c>
      <c r="F1005" t="s">
        <v>33</v>
      </c>
      <c r="G1005" t="s">
        <v>39</v>
      </c>
      <c r="H1005">
        <v>12</v>
      </c>
      <c r="I1005">
        <v>5000</v>
      </c>
      <c r="J1005">
        <v>10</v>
      </c>
      <c r="K1005">
        <v>54000</v>
      </c>
      <c r="L1005">
        <v>27000</v>
      </c>
      <c r="M1005">
        <v>27000</v>
      </c>
      <c r="N1005" t="s">
        <v>30</v>
      </c>
      <c r="O1005" t="s">
        <v>35</v>
      </c>
      <c r="P1005" t="s">
        <v>24</v>
      </c>
      <c r="Q1005" t="str">
        <f>TEXT(clean_data[[#This Row],[Date]],"mmm")</f>
        <v>Jun</v>
      </c>
      <c r="R1005">
        <f>YEAR(clean_data[[#This Row],[Date]])</f>
        <v>2024</v>
      </c>
      <c r="S1005" s="2">
        <f>clean_data[[#This Row],[Profit]]/clean_data[[#This Row],[Revenue]]</f>
        <v>0.5</v>
      </c>
      <c r="T1005" t="str" cm="1">
        <f t="array" ref="T1005">_xlfn.IFS(clean_data[[#This Row],[Revenue]]&lt;300000,"Small",
     clean_data[[#This Row],[Revenue]]&lt;700000,"Medium",
     TRUE,"Large")</f>
        <v>Small</v>
      </c>
      <c r="U1005" t="str" cm="1">
        <f t="array" ref="U1005">_xlfn.IFS(clean_data[[#This Row],[profit margin%]]&lt;0.5,"Low Profit",
     clean_data[[#This Row],[profit margin%]]&lt;0.6,"Medium Profit",
     TRUE,"High Profit")</f>
        <v>Medium Profit</v>
      </c>
      <c r="V1005" t="str">
        <f>TEXT(clean_data[[#This Row],[Date]],"mmm-yyyy")</f>
        <v>Jun-2024</v>
      </c>
      <c r="W1005" s="8">
        <f>EOMONTH(clean_data[[#This Row],[Date]],-1)+1</f>
        <v>45444</v>
      </c>
    </row>
    <row r="1006" spans="1:23" x14ac:dyDescent="0.3">
      <c r="A1006" t="s">
        <v>1078</v>
      </c>
      <c r="B1006" s="1">
        <v>45246</v>
      </c>
      <c r="C1006" t="s">
        <v>26</v>
      </c>
      <c r="D1006" t="s">
        <v>69</v>
      </c>
      <c r="E1006" t="s">
        <v>19</v>
      </c>
      <c r="F1006" t="s">
        <v>65</v>
      </c>
      <c r="G1006" t="s">
        <v>117</v>
      </c>
      <c r="H1006">
        <v>3</v>
      </c>
      <c r="I1006">
        <v>1200</v>
      </c>
      <c r="J1006">
        <v>0</v>
      </c>
      <c r="K1006">
        <v>3600</v>
      </c>
      <c r="L1006">
        <v>1620</v>
      </c>
      <c r="M1006">
        <v>1980</v>
      </c>
      <c r="N1006" t="s">
        <v>22</v>
      </c>
      <c r="O1006" t="s">
        <v>50</v>
      </c>
      <c r="P1006" t="s">
        <v>40</v>
      </c>
      <c r="Q1006" t="str">
        <f>TEXT(clean_data[[#This Row],[Date]],"mmm")</f>
        <v>Nov</v>
      </c>
      <c r="R1006">
        <f>YEAR(clean_data[[#This Row],[Date]])</f>
        <v>2023</v>
      </c>
      <c r="S1006" s="2">
        <f>clean_data[[#This Row],[Profit]]/clean_data[[#This Row],[Revenue]]</f>
        <v>0.55000000000000004</v>
      </c>
      <c r="T1006" t="str" cm="1">
        <f t="array" ref="T1006">_xlfn.IFS(clean_data[[#This Row],[Revenue]]&lt;300000,"Small",
     clean_data[[#This Row],[Revenue]]&lt;700000,"Medium",
     TRUE,"Large")</f>
        <v>Small</v>
      </c>
      <c r="U1006" t="str" cm="1">
        <f t="array" ref="U1006">_xlfn.IFS(clean_data[[#This Row],[profit margin%]]&lt;0.5,"Low Profit",
     clean_data[[#This Row],[profit margin%]]&lt;0.6,"Medium Profit",
     TRUE,"High Profit")</f>
        <v>Medium Profit</v>
      </c>
      <c r="V1006" t="str">
        <f>TEXT(clean_data[[#This Row],[Date]],"mmm-yyyy")</f>
        <v>Nov-2023</v>
      </c>
      <c r="W1006" s="8">
        <f>EOMONTH(clean_data[[#This Row],[Date]],-1)+1</f>
        <v>45231</v>
      </c>
    </row>
    <row r="1007" spans="1:23" x14ac:dyDescent="0.3">
      <c r="A1007" t="s">
        <v>1079</v>
      </c>
      <c r="B1007" s="1">
        <v>45002</v>
      </c>
      <c r="C1007" t="s">
        <v>46</v>
      </c>
      <c r="D1007" t="s">
        <v>47</v>
      </c>
      <c r="E1007" t="s">
        <v>52</v>
      </c>
      <c r="F1007" t="s">
        <v>28</v>
      </c>
      <c r="G1007" t="s">
        <v>71</v>
      </c>
      <c r="H1007">
        <v>48</v>
      </c>
      <c r="I1007">
        <v>35000</v>
      </c>
      <c r="J1007">
        <v>10</v>
      </c>
      <c r="K1007">
        <v>1512000</v>
      </c>
      <c r="L1007">
        <v>831600</v>
      </c>
      <c r="M1007">
        <v>680400</v>
      </c>
      <c r="N1007" t="s">
        <v>49</v>
      </c>
      <c r="O1007" t="s">
        <v>50</v>
      </c>
      <c r="P1007" t="s">
        <v>24</v>
      </c>
      <c r="Q1007" t="str">
        <f>TEXT(clean_data[[#This Row],[Date]],"mmm")</f>
        <v>Mar</v>
      </c>
      <c r="R1007">
        <f>YEAR(clean_data[[#This Row],[Date]])</f>
        <v>2023</v>
      </c>
      <c r="S1007" s="2">
        <f>clean_data[[#This Row],[Profit]]/clean_data[[#This Row],[Revenue]]</f>
        <v>0.45</v>
      </c>
      <c r="T1007" t="str" cm="1">
        <f t="array" ref="T1007">_xlfn.IFS(clean_data[[#This Row],[Revenue]]&lt;300000,"Small",
     clean_data[[#This Row],[Revenue]]&lt;700000,"Medium",
     TRUE,"Large")</f>
        <v>Large</v>
      </c>
      <c r="U1007" t="str" cm="1">
        <f t="array" ref="U1007">_xlfn.IFS(clean_data[[#This Row],[profit margin%]]&lt;0.5,"Low Profit",
     clean_data[[#This Row],[profit margin%]]&lt;0.6,"Medium Profit",
     TRUE,"High Profit")</f>
        <v>Low Profit</v>
      </c>
      <c r="V1007" t="str">
        <f>TEXT(clean_data[[#This Row],[Date]],"mmm-yyyy")</f>
        <v>Mar-2023</v>
      </c>
      <c r="W1007" s="8">
        <f>EOMONTH(clean_data[[#This Row],[Date]],-1)+1</f>
        <v>44986</v>
      </c>
    </row>
    <row r="1008" spans="1:23" x14ac:dyDescent="0.3">
      <c r="A1008" t="s">
        <v>1080</v>
      </c>
      <c r="B1008" s="1">
        <v>45605</v>
      </c>
      <c r="C1008" t="s">
        <v>58</v>
      </c>
      <c r="D1008" t="s">
        <v>59</v>
      </c>
      <c r="E1008" t="s">
        <v>70</v>
      </c>
      <c r="F1008" t="s">
        <v>65</v>
      </c>
      <c r="G1008" t="s">
        <v>117</v>
      </c>
      <c r="H1008">
        <v>23</v>
      </c>
      <c r="I1008">
        <v>1200</v>
      </c>
      <c r="J1008">
        <v>10</v>
      </c>
      <c r="K1008">
        <v>24840</v>
      </c>
      <c r="L1008">
        <v>11178</v>
      </c>
      <c r="M1008">
        <v>13662</v>
      </c>
      <c r="N1008" t="s">
        <v>22</v>
      </c>
      <c r="O1008" t="s">
        <v>67</v>
      </c>
      <c r="P1008" t="s">
        <v>24</v>
      </c>
      <c r="Q1008" t="str">
        <f>TEXT(clean_data[[#This Row],[Date]],"mmm")</f>
        <v>Nov</v>
      </c>
      <c r="R1008">
        <f>YEAR(clean_data[[#This Row],[Date]])</f>
        <v>2024</v>
      </c>
      <c r="S1008" s="2">
        <f>clean_data[[#This Row],[Profit]]/clean_data[[#This Row],[Revenue]]</f>
        <v>0.55000000000000004</v>
      </c>
      <c r="T1008" t="str" cm="1">
        <f t="array" ref="T1008">_xlfn.IFS(clean_data[[#This Row],[Revenue]]&lt;300000,"Small",
     clean_data[[#This Row],[Revenue]]&lt;700000,"Medium",
     TRUE,"Large")</f>
        <v>Small</v>
      </c>
      <c r="U1008" t="str" cm="1">
        <f t="array" ref="U1008">_xlfn.IFS(clean_data[[#This Row],[profit margin%]]&lt;0.5,"Low Profit",
     clean_data[[#This Row],[profit margin%]]&lt;0.6,"Medium Profit",
     TRUE,"High Profit")</f>
        <v>Medium Profit</v>
      </c>
      <c r="V1008" t="str">
        <f>TEXT(clean_data[[#This Row],[Date]],"mmm-yyyy")</f>
        <v>Nov-2024</v>
      </c>
      <c r="W1008" s="8">
        <f>EOMONTH(clean_data[[#This Row],[Date]],-1)+1</f>
        <v>45597</v>
      </c>
    </row>
    <row r="1009" spans="1:23" x14ac:dyDescent="0.3">
      <c r="A1009" t="s">
        <v>1081</v>
      </c>
      <c r="B1009" s="1">
        <v>45477</v>
      </c>
      <c r="C1009" t="s">
        <v>17</v>
      </c>
      <c r="D1009" t="s">
        <v>42</v>
      </c>
      <c r="E1009" t="s">
        <v>111</v>
      </c>
      <c r="F1009" t="s">
        <v>28</v>
      </c>
      <c r="G1009" t="s">
        <v>87</v>
      </c>
      <c r="H1009">
        <v>27</v>
      </c>
      <c r="I1009">
        <v>45000</v>
      </c>
      <c r="J1009">
        <v>5</v>
      </c>
      <c r="K1009">
        <v>1154250</v>
      </c>
      <c r="L1009">
        <v>634837.5</v>
      </c>
      <c r="M1009">
        <v>519412.5</v>
      </c>
      <c r="N1009" t="s">
        <v>49</v>
      </c>
      <c r="O1009" t="s">
        <v>23</v>
      </c>
      <c r="P1009" t="s">
        <v>24</v>
      </c>
      <c r="Q1009" t="str">
        <f>TEXT(clean_data[[#This Row],[Date]],"mmm")</f>
        <v>Jul</v>
      </c>
      <c r="R1009">
        <f>YEAR(clean_data[[#This Row],[Date]])</f>
        <v>2024</v>
      </c>
      <c r="S1009" s="2">
        <f>clean_data[[#This Row],[Profit]]/clean_data[[#This Row],[Revenue]]</f>
        <v>0.45</v>
      </c>
      <c r="T1009" t="str" cm="1">
        <f t="array" ref="T1009">_xlfn.IFS(clean_data[[#This Row],[Revenue]]&lt;300000,"Small",
     clean_data[[#This Row],[Revenue]]&lt;700000,"Medium",
     TRUE,"Large")</f>
        <v>Large</v>
      </c>
      <c r="U1009" t="str" cm="1">
        <f t="array" ref="U1009">_xlfn.IFS(clean_data[[#This Row],[profit margin%]]&lt;0.5,"Low Profit",
     clean_data[[#This Row],[profit margin%]]&lt;0.6,"Medium Profit",
     TRUE,"High Profit")</f>
        <v>Low Profit</v>
      </c>
      <c r="V1009" t="str">
        <f>TEXT(clean_data[[#This Row],[Date]],"mmm-yyyy")</f>
        <v>Jul-2024</v>
      </c>
      <c r="W1009" s="8">
        <f>EOMONTH(clean_data[[#This Row],[Date]],-1)+1</f>
        <v>45474</v>
      </c>
    </row>
    <row r="1010" spans="1:23" x14ac:dyDescent="0.3">
      <c r="A1010" t="s">
        <v>1082</v>
      </c>
      <c r="B1010" s="1">
        <v>44600</v>
      </c>
      <c r="C1010" t="s">
        <v>58</v>
      </c>
      <c r="D1010" t="s">
        <v>59</v>
      </c>
      <c r="E1010" t="s">
        <v>19</v>
      </c>
      <c r="F1010" t="s">
        <v>28</v>
      </c>
      <c r="G1010" t="s">
        <v>87</v>
      </c>
      <c r="H1010">
        <v>25</v>
      </c>
      <c r="I1010">
        <v>45000</v>
      </c>
      <c r="J1010">
        <v>0</v>
      </c>
      <c r="K1010">
        <v>1125000</v>
      </c>
      <c r="L1010">
        <v>618750</v>
      </c>
      <c r="M1010">
        <v>506250</v>
      </c>
      <c r="N1010" t="s">
        <v>22</v>
      </c>
      <c r="O1010" t="s">
        <v>67</v>
      </c>
      <c r="P1010" t="s">
        <v>24</v>
      </c>
      <c r="Q1010" t="str">
        <f>TEXT(clean_data[[#This Row],[Date]],"mmm")</f>
        <v>Feb</v>
      </c>
      <c r="R1010">
        <f>YEAR(clean_data[[#This Row],[Date]])</f>
        <v>2022</v>
      </c>
      <c r="S1010" s="2">
        <f>clean_data[[#This Row],[Profit]]/clean_data[[#This Row],[Revenue]]</f>
        <v>0.45</v>
      </c>
      <c r="T1010" t="str" cm="1">
        <f t="array" ref="T1010">_xlfn.IFS(clean_data[[#This Row],[Revenue]]&lt;300000,"Small",
     clean_data[[#This Row],[Revenue]]&lt;700000,"Medium",
     TRUE,"Large")</f>
        <v>Large</v>
      </c>
      <c r="U1010" t="str" cm="1">
        <f t="array" ref="U1010">_xlfn.IFS(clean_data[[#This Row],[profit margin%]]&lt;0.5,"Low Profit",
     clean_data[[#This Row],[profit margin%]]&lt;0.6,"Medium Profit",
     TRUE,"High Profit")</f>
        <v>Low Profit</v>
      </c>
      <c r="V1010" t="str">
        <f>TEXT(clean_data[[#This Row],[Date]],"mmm-yyyy")</f>
        <v>Feb-2022</v>
      </c>
      <c r="W1010" s="8">
        <f>EOMONTH(clean_data[[#This Row],[Date]],-1)+1</f>
        <v>44593</v>
      </c>
    </row>
    <row r="1011" spans="1:23" x14ac:dyDescent="0.3">
      <c r="A1011" t="s">
        <v>1083</v>
      </c>
      <c r="B1011" s="1">
        <v>45429</v>
      </c>
      <c r="C1011" t="s">
        <v>46</v>
      </c>
      <c r="D1011" t="s">
        <v>55</v>
      </c>
      <c r="E1011" t="s">
        <v>70</v>
      </c>
      <c r="F1011" t="s">
        <v>33</v>
      </c>
      <c r="G1011" t="s">
        <v>48</v>
      </c>
      <c r="H1011">
        <v>38</v>
      </c>
      <c r="I1011">
        <v>1500</v>
      </c>
      <c r="J1011">
        <v>15</v>
      </c>
      <c r="K1011">
        <v>48450</v>
      </c>
      <c r="L1011">
        <v>24225</v>
      </c>
      <c r="M1011">
        <v>24225</v>
      </c>
      <c r="N1011" t="s">
        <v>49</v>
      </c>
      <c r="O1011" t="s">
        <v>44</v>
      </c>
      <c r="P1011" t="s">
        <v>24</v>
      </c>
      <c r="Q1011" t="str">
        <f>TEXT(clean_data[[#This Row],[Date]],"mmm")</f>
        <v>May</v>
      </c>
      <c r="R1011">
        <f>YEAR(clean_data[[#This Row],[Date]])</f>
        <v>2024</v>
      </c>
      <c r="S1011" s="2">
        <f>clean_data[[#This Row],[Profit]]/clean_data[[#This Row],[Revenue]]</f>
        <v>0.5</v>
      </c>
      <c r="T1011" t="str" cm="1">
        <f t="array" ref="T1011">_xlfn.IFS(clean_data[[#This Row],[Revenue]]&lt;300000,"Small",
     clean_data[[#This Row],[Revenue]]&lt;700000,"Medium",
     TRUE,"Large")</f>
        <v>Small</v>
      </c>
      <c r="U1011" t="str" cm="1">
        <f t="array" ref="U1011">_xlfn.IFS(clean_data[[#This Row],[profit margin%]]&lt;0.5,"Low Profit",
     clean_data[[#This Row],[profit margin%]]&lt;0.6,"Medium Profit",
     TRUE,"High Profit")</f>
        <v>Medium Profit</v>
      </c>
      <c r="V1011" t="str">
        <f>TEXT(clean_data[[#This Row],[Date]],"mmm-yyyy")</f>
        <v>May-2024</v>
      </c>
      <c r="W1011" s="8">
        <f>EOMONTH(clean_data[[#This Row],[Date]],-1)+1</f>
        <v>45413</v>
      </c>
    </row>
    <row r="1012" spans="1:23" x14ac:dyDescent="0.3">
      <c r="A1012" t="s">
        <v>1084</v>
      </c>
      <c r="B1012" s="1">
        <v>44639</v>
      </c>
      <c r="C1012" t="s">
        <v>17</v>
      </c>
      <c r="D1012" t="s">
        <v>42</v>
      </c>
      <c r="E1012" t="s">
        <v>52</v>
      </c>
      <c r="F1012" t="s">
        <v>65</v>
      </c>
      <c r="G1012" t="s">
        <v>66</v>
      </c>
      <c r="H1012">
        <v>37</v>
      </c>
      <c r="I1012">
        <v>5500</v>
      </c>
      <c r="J1012">
        <v>10</v>
      </c>
      <c r="K1012">
        <v>183150</v>
      </c>
      <c r="L1012">
        <v>82417.5</v>
      </c>
      <c r="M1012">
        <v>100732.5</v>
      </c>
      <c r="N1012" t="s">
        <v>30</v>
      </c>
      <c r="O1012" t="s">
        <v>35</v>
      </c>
      <c r="P1012" t="s">
        <v>24</v>
      </c>
      <c r="Q1012" t="str">
        <f>TEXT(clean_data[[#This Row],[Date]],"mmm")</f>
        <v>Mar</v>
      </c>
      <c r="R1012">
        <f>YEAR(clean_data[[#This Row],[Date]])</f>
        <v>2022</v>
      </c>
      <c r="S1012" s="2">
        <f>clean_data[[#This Row],[Profit]]/clean_data[[#This Row],[Revenue]]</f>
        <v>0.55000000000000004</v>
      </c>
      <c r="T1012" t="str" cm="1">
        <f t="array" ref="T1012">_xlfn.IFS(clean_data[[#This Row],[Revenue]]&lt;300000,"Small",
     clean_data[[#This Row],[Revenue]]&lt;700000,"Medium",
     TRUE,"Large")</f>
        <v>Small</v>
      </c>
      <c r="U1012" t="str" cm="1">
        <f t="array" ref="U1012">_xlfn.IFS(clean_data[[#This Row],[profit margin%]]&lt;0.5,"Low Profit",
     clean_data[[#This Row],[profit margin%]]&lt;0.6,"Medium Profit",
     TRUE,"High Profit")</f>
        <v>Medium Profit</v>
      </c>
      <c r="V1012" t="str">
        <f>TEXT(clean_data[[#This Row],[Date]],"mmm-yyyy")</f>
        <v>Mar-2022</v>
      </c>
      <c r="W1012" s="8">
        <f>EOMONTH(clean_data[[#This Row],[Date]],-1)+1</f>
        <v>44621</v>
      </c>
    </row>
    <row r="1013" spans="1:23" x14ac:dyDescent="0.3">
      <c r="A1013" t="s">
        <v>1085</v>
      </c>
      <c r="B1013" s="1">
        <v>45526</v>
      </c>
      <c r="C1013" t="s">
        <v>46</v>
      </c>
      <c r="D1013" t="s">
        <v>55</v>
      </c>
      <c r="E1013" t="s">
        <v>78</v>
      </c>
      <c r="F1013" t="s">
        <v>33</v>
      </c>
      <c r="G1013" t="s">
        <v>43</v>
      </c>
      <c r="H1013">
        <v>36</v>
      </c>
      <c r="I1013">
        <v>4000</v>
      </c>
      <c r="J1013">
        <v>5</v>
      </c>
      <c r="K1013">
        <v>136800</v>
      </c>
      <c r="L1013">
        <v>68400</v>
      </c>
      <c r="M1013">
        <v>68400</v>
      </c>
      <c r="N1013" t="s">
        <v>49</v>
      </c>
      <c r="O1013" t="s">
        <v>50</v>
      </c>
      <c r="P1013" t="s">
        <v>24</v>
      </c>
      <c r="Q1013" t="str">
        <f>TEXT(clean_data[[#This Row],[Date]],"mmm")</f>
        <v>Aug</v>
      </c>
      <c r="R1013">
        <f>YEAR(clean_data[[#This Row],[Date]])</f>
        <v>2024</v>
      </c>
      <c r="S1013" s="2">
        <f>clean_data[[#This Row],[Profit]]/clean_data[[#This Row],[Revenue]]</f>
        <v>0.5</v>
      </c>
      <c r="T1013" t="str" cm="1">
        <f t="array" ref="T1013">_xlfn.IFS(clean_data[[#This Row],[Revenue]]&lt;300000,"Small",
     clean_data[[#This Row],[Revenue]]&lt;700000,"Medium",
     TRUE,"Large")</f>
        <v>Small</v>
      </c>
      <c r="U1013" t="str" cm="1">
        <f t="array" ref="U1013">_xlfn.IFS(clean_data[[#This Row],[profit margin%]]&lt;0.5,"Low Profit",
     clean_data[[#This Row],[profit margin%]]&lt;0.6,"Medium Profit",
     TRUE,"High Profit")</f>
        <v>Medium Profit</v>
      </c>
      <c r="V1013" t="str">
        <f>TEXT(clean_data[[#This Row],[Date]],"mmm-yyyy")</f>
        <v>Aug-2024</v>
      </c>
      <c r="W1013" s="8">
        <f>EOMONTH(clean_data[[#This Row],[Date]],-1)+1</f>
        <v>45505</v>
      </c>
    </row>
    <row r="1014" spans="1:23" x14ac:dyDescent="0.3">
      <c r="A1014" t="s">
        <v>1086</v>
      </c>
      <c r="B1014" s="1">
        <v>44707</v>
      </c>
      <c r="C1014" t="s">
        <v>17</v>
      </c>
      <c r="D1014" t="s">
        <v>18</v>
      </c>
      <c r="E1014" t="s">
        <v>60</v>
      </c>
      <c r="F1014" t="s">
        <v>28</v>
      </c>
      <c r="G1014" t="s">
        <v>87</v>
      </c>
      <c r="H1014">
        <v>19</v>
      </c>
      <c r="I1014">
        <v>45000</v>
      </c>
      <c r="J1014">
        <v>20</v>
      </c>
      <c r="K1014">
        <v>684000</v>
      </c>
      <c r="L1014">
        <v>376200</v>
      </c>
      <c r="M1014">
        <v>307800</v>
      </c>
      <c r="N1014" t="s">
        <v>30</v>
      </c>
      <c r="O1014" t="s">
        <v>23</v>
      </c>
      <c r="P1014" t="s">
        <v>24</v>
      </c>
      <c r="Q1014" t="str">
        <f>TEXT(clean_data[[#This Row],[Date]],"mmm")</f>
        <v>May</v>
      </c>
      <c r="R1014">
        <f>YEAR(clean_data[[#This Row],[Date]])</f>
        <v>2022</v>
      </c>
      <c r="S1014" s="2">
        <f>clean_data[[#This Row],[Profit]]/clean_data[[#This Row],[Revenue]]</f>
        <v>0.45</v>
      </c>
      <c r="T1014" t="str" cm="1">
        <f t="array" ref="T1014">_xlfn.IFS(clean_data[[#This Row],[Revenue]]&lt;300000,"Small",
     clean_data[[#This Row],[Revenue]]&lt;700000,"Medium",
     TRUE,"Large")</f>
        <v>Medium</v>
      </c>
      <c r="U1014" t="str" cm="1">
        <f t="array" ref="U1014">_xlfn.IFS(clean_data[[#This Row],[profit margin%]]&lt;0.5,"Low Profit",
     clean_data[[#This Row],[profit margin%]]&lt;0.6,"Medium Profit",
     TRUE,"High Profit")</f>
        <v>Low Profit</v>
      </c>
      <c r="V1014" t="str">
        <f>TEXT(clean_data[[#This Row],[Date]],"mmm-yyyy")</f>
        <v>May-2022</v>
      </c>
      <c r="W1014" s="8">
        <f>EOMONTH(clean_data[[#This Row],[Date]],-1)+1</f>
        <v>44682</v>
      </c>
    </row>
    <row r="1015" spans="1:23" x14ac:dyDescent="0.3">
      <c r="A1015" t="s">
        <v>1087</v>
      </c>
      <c r="B1015" s="1">
        <v>45139</v>
      </c>
      <c r="C1015" t="s">
        <v>58</v>
      </c>
      <c r="D1015" t="s">
        <v>59</v>
      </c>
      <c r="E1015" t="s">
        <v>56</v>
      </c>
      <c r="F1015" t="s">
        <v>28</v>
      </c>
      <c r="G1015" t="s">
        <v>71</v>
      </c>
      <c r="H1015">
        <v>9</v>
      </c>
      <c r="I1015">
        <v>35000</v>
      </c>
      <c r="J1015">
        <v>10</v>
      </c>
      <c r="K1015">
        <v>283500</v>
      </c>
      <c r="L1015">
        <v>155925</v>
      </c>
      <c r="M1015">
        <v>127575</v>
      </c>
      <c r="N1015" t="s">
        <v>22</v>
      </c>
      <c r="O1015" t="s">
        <v>67</v>
      </c>
      <c r="P1015" t="s">
        <v>24</v>
      </c>
      <c r="Q1015" t="str">
        <f>TEXT(clean_data[[#This Row],[Date]],"mmm")</f>
        <v>Aug</v>
      </c>
      <c r="R1015">
        <f>YEAR(clean_data[[#This Row],[Date]])</f>
        <v>2023</v>
      </c>
      <c r="S1015" s="2">
        <f>clean_data[[#This Row],[Profit]]/clean_data[[#This Row],[Revenue]]</f>
        <v>0.45</v>
      </c>
      <c r="T1015" t="str" cm="1">
        <f t="array" ref="T1015">_xlfn.IFS(clean_data[[#This Row],[Revenue]]&lt;300000,"Small",
     clean_data[[#This Row],[Revenue]]&lt;700000,"Medium",
     TRUE,"Large")</f>
        <v>Small</v>
      </c>
      <c r="U1015" t="str" cm="1">
        <f t="array" ref="U1015">_xlfn.IFS(clean_data[[#This Row],[profit margin%]]&lt;0.5,"Low Profit",
     clean_data[[#This Row],[profit margin%]]&lt;0.6,"Medium Profit",
     TRUE,"High Profit")</f>
        <v>Low Profit</v>
      </c>
      <c r="V1015" t="str">
        <f>TEXT(clean_data[[#This Row],[Date]],"mmm-yyyy")</f>
        <v>Aug-2023</v>
      </c>
      <c r="W1015" s="8">
        <f>EOMONTH(clean_data[[#This Row],[Date]],-1)+1</f>
        <v>45139</v>
      </c>
    </row>
    <row r="1016" spans="1:23" x14ac:dyDescent="0.3">
      <c r="A1016" t="s">
        <v>1088</v>
      </c>
      <c r="B1016" s="1">
        <v>44837</v>
      </c>
      <c r="C1016" t="s">
        <v>17</v>
      </c>
      <c r="D1016" t="s">
        <v>18</v>
      </c>
      <c r="E1016" t="s">
        <v>19</v>
      </c>
      <c r="F1016" t="s">
        <v>65</v>
      </c>
      <c r="G1016" t="s">
        <v>79</v>
      </c>
      <c r="H1016">
        <v>6</v>
      </c>
      <c r="I1016">
        <v>900</v>
      </c>
      <c r="J1016">
        <v>10</v>
      </c>
      <c r="K1016">
        <v>4860</v>
      </c>
      <c r="L1016">
        <v>2187</v>
      </c>
      <c r="M1016">
        <v>2673</v>
      </c>
      <c r="N1016" t="s">
        <v>30</v>
      </c>
      <c r="O1016" t="s">
        <v>23</v>
      </c>
      <c r="P1016" t="s">
        <v>24</v>
      </c>
      <c r="Q1016" t="str">
        <f>TEXT(clean_data[[#This Row],[Date]],"mmm")</f>
        <v>Oct</v>
      </c>
      <c r="R1016">
        <f>YEAR(clean_data[[#This Row],[Date]])</f>
        <v>2022</v>
      </c>
      <c r="S1016" s="2">
        <f>clean_data[[#This Row],[Profit]]/clean_data[[#This Row],[Revenue]]</f>
        <v>0.55000000000000004</v>
      </c>
      <c r="T1016" t="str" cm="1">
        <f t="array" ref="T1016">_xlfn.IFS(clean_data[[#This Row],[Revenue]]&lt;300000,"Small",
     clean_data[[#This Row],[Revenue]]&lt;700000,"Medium",
     TRUE,"Large")</f>
        <v>Small</v>
      </c>
      <c r="U1016" t="str" cm="1">
        <f t="array" ref="U1016">_xlfn.IFS(clean_data[[#This Row],[profit margin%]]&lt;0.5,"Low Profit",
     clean_data[[#This Row],[profit margin%]]&lt;0.6,"Medium Profit",
     TRUE,"High Profit")</f>
        <v>Medium Profit</v>
      </c>
      <c r="V1016" t="str">
        <f>TEXT(clean_data[[#This Row],[Date]],"mmm-yyyy")</f>
        <v>Oct-2022</v>
      </c>
      <c r="W1016" s="8">
        <f>EOMONTH(clean_data[[#This Row],[Date]],-1)+1</f>
        <v>44835</v>
      </c>
    </row>
    <row r="1017" spans="1:23" x14ac:dyDescent="0.3">
      <c r="A1017" t="s">
        <v>1089</v>
      </c>
      <c r="B1017" s="1">
        <v>45238</v>
      </c>
      <c r="C1017" t="s">
        <v>58</v>
      </c>
      <c r="D1017" t="s">
        <v>59</v>
      </c>
      <c r="E1017" t="s">
        <v>32</v>
      </c>
      <c r="F1017" t="s">
        <v>28</v>
      </c>
      <c r="G1017" t="s">
        <v>71</v>
      </c>
      <c r="H1017">
        <v>20</v>
      </c>
      <c r="I1017">
        <v>35000</v>
      </c>
      <c r="J1017">
        <v>20</v>
      </c>
      <c r="K1017">
        <v>560000</v>
      </c>
      <c r="L1017">
        <v>308000</v>
      </c>
      <c r="M1017">
        <v>252000</v>
      </c>
      <c r="N1017" t="s">
        <v>30</v>
      </c>
      <c r="O1017" t="s">
        <v>67</v>
      </c>
      <c r="P1017" t="s">
        <v>24</v>
      </c>
      <c r="Q1017" t="str">
        <f>TEXT(clean_data[[#This Row],[Date]],"mmm")</f>
        <v>Nov</v>
      </c>
      <c r="R1017">
        <f>YEAR(clean_data[[#This Row],[Date]])</f>
        <v>2023</v>
      </c>
      <c r="S1017" s="2">
        <f>clean_data[[#This Row],[Profit]]/clean_data[[#This Row],[Revenue]]</f>
        <v>0.45</v>
      </c>
      <c r="T1017" t="str" cm="1">
        <f t="array" ref="T1017">_xlfn.IFS(clean_data[[#This Row],[Revenue]]&lt;300000,"Small",
     clean_data[[#This Row],[Revenue]]&lt;700000,"Medium",
     TRUE,"Large")</f>
        <v>Medium</v>
      </c>
      <c r="U1017" t="str" cm="1">
        <f t="array" ref="U1017">_xlfn.IFS(clean_data[[#This Row],[profit margin%]]&lt;0.5,"Low Profit",
     clean_data[[#This Row],[profit margin%]]&lt;0.6,"Medium Profit",
     TRUE,"High Profit")</f>
        <v>Low Profit</v>
      </c>
      <c r="V1017" t="str">
        <f>TEXT(clean_data[[#This Row],[Date]],"mmm-yyyy")</f>
        <v>Nov-2023</v>
      </c>
      <c r="W1017" s="8">
        <f>EOMONTH(clean_data[[#This Row],[Date]],-1)+1</f>
        <v>45231</v>
      </c>
    </row>
    <row r="1018" spans="1:23" x14ac:dyDescent="0.3">
      <c r="A1018" t="s">
        <v>1090</v>
      </c>
      <c r="B1018" s="1">
        <v>45404</v>
      </c>
      <c r="C1018" t="s">
        <v>17</v>
      </c>
      <c r="D1018" t="s">
        <v>42</v>
      </c>
      <c r="E1018" t="s">
        <v>78</v>
      </c>
      <c r="F1018" t="s">
        <v>20</v>
      </c>
      <c r="G1018" t="s">
        <v>61</v>
      </c>
      <c r="H1018">
        <v>9</v>
      </c>
      <c r="I1018">
        <v>800</v>
      </c>
      <c r="J1018">
        <v>15</v>
      </c>
      <c r="K1018">
        <v>6120</v>
      </c>
      <c r="L1018">
        <v>2448</v>
      </c>
      <c r="M1018">
        <v>3672</v>
      </c>
      <c r="N1018" t="s">
        <v>30</v>
      </c>
      <c r="O1018" t="s">
        <v>50</v>
      </c>
      <c r="P1018" t="s">
        <v>40</v>
      </c>
      <c r="Q1018" t="str">
        <f>TEXT(clean_data[[#This Row],[Date]],"mmm")</f>
        <v>Apr</v>
      </c>
      <c r="R1018">
        <f>YEAR(clean_data[[#This Row],[Date]])</f>
        <v>2024</v>
      </c>
      <c r="S1018" s="2">
        <f>clean_data[[#This Row],[Profit]]/clean_data[[#This Row],[Revenue]]</f>
        <v>0.6</v>
      </c>
      <c r="T1018" t="str" cm="1">
        <f t="array" ref="T1018">_xlfn.IFS(clean_data[[#This Row],[Revenue]]&lt;300000,"Small",
     clean_data[[#This Row],[Revenue]]&lt;700000,"Medium",
     TRUE,"Large")</f>
        <v>Small</v>
      </c>
      <c r="U1018" t="str" cm="1">
        <f t="array" ref="U1018">_xlfn.IFS(clean_data[[#This Row],[profit margin%]]&lt;0.5,"Low Profit",
     clean_data[[#This Row],[profit margin%]]&lt;0.6,"Medium Profit",
     TRUE,"High Profit")</f>
        <v>High Profit</v>
      </c>
      <c r="V1018" t="str">
        <f>TEXT(clean_data[[#This Row],[Date]],"mmm-yyyy")</f>
        <v>Apr-2024</v>
      </c>
      <c r="W1018" s="8">
        <f>EOMONTH(clean_data[[#This Row],[Date]],-1)+1</f>
        <v>45383</v>
      </c>
    </row>
    <row r="1019" spans="1:23" x14ac:dyDescent="0.3">
      <c r="A1019" t="s">
        <v>1091</v>
      </c>
      <c r="B1019" s="1">
        <v>45141</v>
      </c>
      <c r="C1019" t="s">
        <v>17</v>
      </c>
      <c r="D1019" t="s">
        <v>42</v>
      </c>
      <c r="E1019" t="s">
        <v>60</v>
      </c>
      <c r="F1019" t="s">
        <v>20</v>
      </c>
      <c r="G1019" t="s">
        <v>115</v>
      </c>
      <c r="H1019">
        <v>28</v>
      </c>
      <c r="I1019">
        <v>2500</v>
      </c>
      <c r="J1019">
        <v>0</v>
      </c>
      <c r="K1019">
        <v>70000</v>
      </c>
      <c r="L1019">
        <v>28000</v>
      </c>
      <c r="M1019">
        <v>42000</v>
      </c>
      <c r="N1019" t="s">
        <v>22</v>
      </c>
      <c r="O1019" t="s">
        <v>23</v>
      </c>
      <c r="P1019" t="s">
        <v>24</v>
      </c>
      <c r="Q1019" t="str">
        <f>TEXT(clean_data[[#This Row],[Date]],"mmm")</f>
        <v>Aug</v>
      </c>
      <c r="R1019">
        <f>YEAR(clean_data[[#This Row],[Date]])</f>
        <v>2023</v>
      </c>
      <c r="S1019" s="2">
        <f>clean_data[[#This Row],[Profit]]/clean_data[[#This Row],[Revenue]]</f>
        <v>0.6</v>
      </c>
      <c r="T1019" t="str" cm="1">
        <f t="array" ref="T1019">_xlfn.IFS(clean_data[[#This Row],[Revenue]]&lt;300000,"Small",
     clean_data[[#This Row],[Revenue]]&lt;700000,"Medium",
     TRUE,"Large")</f>
        <v>Small</v>
      </c>
      <c r="U1019" t="str" cm="1">
        <f t="array" ref="U1019">_xlfn.IFS(clean_data[[#This Row],[profit margin%]]&lt;0.5,"Low Profit",
     clean_data[[#This Row],[profit margin%]]&lt;0.6,"Medium Profit",
     TRUE,"High Profit")</f>
        <v>High Profit</v>
      </c>
      <c r="V1019" t="str">
        <f>TEXT(clean_data[[#This Row],[Date]],"mmm-yyyy")</f>
        <v>Aug-2023</v>
      </c>
      <c r="W1019" s="8">
        <f>EOMONTH(clean_data[[#This Row],[Date]],-1)+1</f>
        <v>45139</v>
      </c>
    </row>
    <row r="1020" spans="1:23" x14ac:dyDescent="0.3">
      <c r="A1020" t="s">
        <v>1092</v>
      </c>
      <c r="B1020" s="1">
        <v>45186</v>
      </c>
      <c r="C1020" t="s">
        <v>17</v>
      </c>
      <c r="D1020" t="s">
        <v>37</v>
      </c>
      <c r="E1020" t="s">
        <v>70</v>
      </c>
      <c r="F1020" t="s">
        <v>65</v>
      </c>
      <c r="G1020" t="s">
        <v>66</v>
      </c>
      <c r="H1020">
        <v>27</v>
      </c>
      <c r="I1020">
        <v>5500</v>
      </c>
      <c r="J1020">
        <v>15</v>
      </c>
      <c r="K1020">
        <v>126225</v>
      </c>
      <c r="L1020">
        <v>56801.25</v>
      </c>
      <c r="M1020">
        <v>69423.75</v>
      </c>
      <c r="N1020" t="s">
        <v>30</v>
      </c>
      <c r="O1020" t="s">
        <v>67</v>
      </c>
      <c r="P1020" t="s">
        <v>24</v>
      </c>
      <c r="Q1020" t="str">
        <f>TEXT(clean_data[[#This Row],[Date]],"mmm")</f>
        <v>Sep</v>
      </c>
      <c r="R1020">
        <f>YEAR(clean_data[[#This Row],[Date]])</f>
        <v>2023</v>
      </c>
      <c r="S1020" s="2">
        <f>clean_data[[#This Row],[Profit]]/clean_data[[#This Row],[Revenue]]</f>
        <v>0.55000000000000004</v>
      </c>
      <c r="T1020" t="str" cm="1">
        <f t="array" ref="T1020">_xlfn.IFS(clean_data[[#This Row],[Revenue]]&lt;300000,"Small",
     clean_data[[#This Row],[Revenue]]&lt;700000,"Medium",
     TRUE,"Large")</f>
        <v>Small</v>
      </c>
      <c r="U1020" t="str" cm="1">
        <f t="array" ref="U1020">_xlfn.IFS(clean_data[[#This Row],[profit margin%]]&lt;0.5,"Low Profit",
     clean_data[[#This Row],[profit margin%]]&lt;0.6,"Medium Profit",
     TRUE,"High Profit")</f>
        <v>Medium Profit</v>
      </c>
      <c r="V1020" t="str">
        <f>TEXT(clean_data[[#This Row],[Date]],"mmm-yyyy")</f>
        <v>Sep-2023</v>
      </c>
      <c r="W1020" s="8">
        <f>EOMONTH(clean_data[[#This Row],[Date]],-1)+1</f>
        <v>45170</v>
      </c>
    </row>
    <row r="1021" spans="1:23" x14ac:dyDescent="0.3">
      <c r="A1021" t="s">
        <v>1093</v>
      </c>
      <c r="B1021" s="1">
        <v>44617</v>
      </c>
      <c r="C1021" t="s">
        <v>58</v>
      </c>
      <c r="D1021" t="s">
        <v>84</v>
      </c>
      <c r="E1021" t="s">
        <v>78</v>
      </c>
      <c r="F1021" t="s">
        <v>33</v>
      </c>
      <c r="G1021" t="s">
        <v>76</v>
      </c>
      <c r="H1021">
        <v>38</v>
      </c>
      <c r="I1021">
        <v>8500</v>
      </c>
      <c r="J1021">
        <v>20</v>
      </c>
      <c r="K1021">
        <v>258400</v>
      </c>
      <c r="L1021">
        <v>129200</v>
      </c>
      <c r="M1021">
        <v>129200</v>
      </c>
      <c r="N1021" t="s">
        <v>30</v>
      </c>
      <c r="O1021" t="s">
        <v>67</v>
      </c>
      <c r="P1021" t="s">
        <v>24</v>
      </c>
      <c r="Q1021" t="str">
        <f>TEXT(clean_data[[#This Row],[Date]],"mmm")</f>
        <v>Feb</v>
      </c>
      <c r="R1021">
        <f>YEAR(clean_data[[#This Row],[Date]])</f>
        <v>2022</v>
      </c>
      <c r="S1021" s="2">
        <f>clean_data[[#This Row],[Profit]]/clean_data[[#This Row],[Revenue]]</f>
        <v>0.5</v>
      </c>
      <c r="T1021" t="str" cm="1">
        <f t="array" ref="T1021">_xlfn.IFS(clean_data[[#This Row],[Revenue]]&lt;300000,"Small",
     clean_data[[#This Row],[Revenue]]&lt;700000,"Medium",
     TRUE,"Large")</f>
        <v>Small</v>
      </c>
      <c r="U1021" t="str" cm="1">
        <f t="array" ref="U1021">_xlfn.IFS(clean_data[[#This Row],[profit margin%]]&lt;0.5,"Low Profit",
     clean_data[[#This Row],[profit margin%]]&lt;0.6,"Medium Profit",
     TRUE,"High Profit")</f>
        <v>Medium Profit</v>
      </c>
      <c r="V1021" t="str">
        <f>TEXT(clean_data[[#This Row],[Date]],"mmm-yyyy")</f>
        <v>Feb-2022</v>
      </c>
      <c r="W1021" s="8">
        <f>EOMONTH(clean_data[[#This Row],[Date]],-1)+1</f>
        <v>44593</v>
      </c>
    </row>
    <row r="1022" spans="1:23" x14ac:dyDescent="0.3">
      <c r="A1022" t="s">
        <v>1094</v>
      </c>
      <c r="B1022" s="1">
        <v>45615</v>
      </c>
      <c r="C1022" t="s">
        <v>17</v>
      </c>
      <c r="D1022" t="s">
        <v>18</v>
      </c>
      <c r="E1022" t="s">
        <v>32</v>
      </c>
      <c r="F1022" t="s">
        <v>20</v>
      </c>
      <c r="G1022" t="s">
        <v>115</v>
      </c>
      <c r="H1022">
        <v>43</v>
      </c>
      <c r="I1022">
        <v>2500</v>
      </c>
      <c r="J1022">
        <v>0</v>
      </c>
      <c r="K1022">
        <v>107500</v>
      </c>
      <c r="L1022">
        <v>43000</v>
      </c>
      <c r="M1022">
        <v>64500</v>
      </c>
      <c r="N1022" t="s">
        <v>22</v>
      </c>
      <c r="O1022" t="s">
        <v>23</v>
      </c>
      <c r="P1022" t="s">
        <v>24</v>
      </c>
      <c r="Q1022" t="str">
        <f>TEXT(clean_data[[#This Row],[Date]],"mmm")</f>
        <v>Nov</v>
      </c>
      <c r="R1022">
        <f>YEAR(clean_data[[#This Row],[Date]])</f>
        <v>2024</v>
      </c>
      <c r="S1022" s="2">
        <f>clean_data[[#This Row],[Profit]]/clean_data[[#This Row],[Revenue]]</f>
        <v>0.6</v>
      </c>
      <c r="T1022" t="str" cm="1">
        <f t="array" ref="T1022">_xlfn.IFS(clean_data[[#This Row],[Revenue]]&lt;300000,"Small",
     clean_data[[#This Row],[Revenue]]&lt;700000,"Medium",
     TRUE,"Large")</f>
        <v>Small</v>
      </c>
      <c r="U1022" t="str" cm="1">
        <f t="array" ref="U1022">_xlfn.IFS(clean_data[[#This Row],[profit margin%]]&lt;0.5,"Low Profit",
     clean_data[[#This Row],[profit margin%]]&lt;0.6,"Medium Profit",
     TRUE,"High Profit")</f>
        <v>High Profit</v>
      </c>
      <c r="V1022" t="str">
        <f>TEXT(clean_data[[#This Row],[Date]],"mmm-yyyy")</f>
        <v>Nov-2024</v>
      </c>
      <c r="W1022" s="8">
        <f>EOMONTH(clean_data[[#This Row],[Date]],-1)+1</f>
        <v>45597</v>
      </c>
    </row>
    <row r="1023" spans="1:23" x14ac:dyDescent="0.3">
      <c r="A1023" t="s">
        <v>1095</v>
      </c>
      <c r="B1023" s="1">
        <v>44654</v>
      </c>
      <c r="C1023" t="s">
        <v>26</v>
      </c>
      <c r="D1023" t="s">
        <v>69</v>
      </c>
      <c r="E1023" t="s">
        <v>52</v>
      </c>
      <c r="F1023" t="s">
        <v>33</v>
      </c>
      <c r="G1023" t="s">
        <v>43</v>
      </c>
      <c r="H1023">
        <v>7</v>
      </c>
      <c r="I1023">
        <v>4000</v>
      </c>
      <c r="J1023">
        <v>10</v>
      </c>
      <c r="K1023">
        <v>25200</v>
      </c>
      <c r="L1023">
        <v>12600</v>
      </c>
      <c r="M1023">
        <v>12600</v>
      </c>
      <c r="N1023" t="s">
        <v>49</v>
      </c>
      <c r="O1023" t="s">
        <v>50</v>
      </c>
      <c r="P1023" t="s">
        <v>40</v>
      </c>
      <c r="Q1023" t="str">
        <f>TEXT(clean_data[[#This Row],[Date]],"mmm")</f>
        <v>Apr</v>
      </c>
      <c r="R1023">
        <f>YEAR(clean_data[[#This Row],[Date]])</f>
        <v>2022</v>
      </c>
      <c r="S1023" s="2">
        <f>clean_data[[#This Row],[Profit]]/clean_data[[#This Row],[Revenue]]</f>
        <v>0.5</v>
      </c>
      <c r="T1023" t="str" cm="1">
        <f t="array" ref="T1023">_xlfn.IFS(clean_data[[#This Row],[Revenue]]&lt;300000,"Small",
     clean_data[[#This Row],[Revenue]]&lt;700000,"Medium",
     TRUE,"Large")</f>
        <v>Small</v>
      </c>
      <c r="U1023" t="str" cm="1">
        <f t="array" ref="U1023">_xlfn.IFS(clean_data[[#This Row],[profit margin%]]&lt;0.5,"Low Profit",
     clean_data[[#This Row],[profit margin%]]&lt;0.6,"Medium Profit",
     TRUE,"High Profit")</f>
        <v>Medium Profit</v>
      </c>
      <c r="V1023" t="str">
        <f>TEXT(clean_data[[#This Row],[Date]],"mmm-yyyy")</f>
        <v>Apr-2022</v>
      </c>
      <c r="W1023" s="8">
        <f>EOMONTH(clean_data[[#This Row],[Date]],-1)+1</f>
        <v>44652</v>
      </c>
    </row>
    <row r="1024" spans="1:23" x14ac:dyDescent="0.3">
      <c r="A1024" t="s">
        <v>1096</v>
      </c>
      <c r="B1024" s="1">
        <v>44655</v>
      </c>
      <c r="C1024" t="s">
        <v>26</v>
      </c>
      <c r="D1024" t="s">
        <v>27</v>
      </c>
      <c r="E1024" t="s">
        <v>111</v>
      </c>
      <c r="F1024" t="s">
        <v>20</v>
      </c>
      <c r="G1024" t="s">
        <v>53</v>
      </c>
      <c r="H1024">
        <v>48</v>
      </c>
      <c r="I1024">
        <v>600</v>
      </c>
      <c r="J1024">
        <v>15</v>
      </c>
      <c r="K1024">
        <v>24480</v>
      </c>
      <c r="L1024">
        <v>9792</v>
      </c>
      <c r="M1024">
        <v>14688</v>
      </c>
      <c r="N1024" t="s">
        <v>30</v>
      </c>
      <c r="O1024" t="s">
        <v>44</v>
      </c>
      <c r="P1024" t="s">
        <v>24</v>
      </c>
      <c r="Q1024" t="str">
        <f>TEXT(clean_data[[#This Row],[Date]],"mmm")</f>
        <v>Apr</v>
      </c>
      <c r="R1024">
        <f>YEAR(clean_data[[#This Row],[Date]])</f>
        <v>2022</v>
      </c>
      <c r="S1024" s="2">
        <f>clean_data[[#This Row],[Profit]]/clean_data[[#This Row],[Revenue]]</f>
        <v>0.6</v>
      </c>
      <c r="T1024" t="str" cm="1">
        <f t="array" ref="T1024">_xlfn.IFS(clean_data[[#This Row],[Revenue]]&lt;300000,"Small",
     clean_data[[#This Row],[Revenue]]&lt;700000,"Medium",
     TRUE,"Large")</f>
        <v>Small</v>
      </c>
      <c r="U1024" t="str" cm="1">
        <f t="array" ref="U1024">_xlfn.IFS(clean_data[[#This Row],[profit margin%]]&lt;0.5,"Low Profit",
     clean_data[[#This Row],[profit margin%]]&lt;0.6,"Medium Profit",
     TRUE,"High Profit")</f>
        <v>High Profit</v>
      </c>
      <c r="V1024" t="str">
        <f>TEXT(clean_data[[#This Row],[Date]],"mmm-yyyy")</f>
        <v>Apr-2022</v>
      </c>
      <c r="W1024" s="8">
        <f>EOMONTH(clean_data[[#This Row],[Date]],-1)+1</f>
        <v>44652</v>
      </c>
    </row>
    <row r="1025" spans="1:23" x14ac:dyDescent="0.3">
      <c r="A1025" t="s">
        <v>1097</v>
      </c>
      <c r="B1025" s="1">
        <v>45159</v>
      </c>
      <c r="C1025" t="s">
        <v>17</v>
      </c>
      <c r="D1025" t="s">
        <v>42</v>
      </c>
      <c r="E1025" t="s">
        <v>56</v>
      </c>
      <c r="F1025" t="s">
        <v>65</v>
      </c>
      <c r="G1025" t="s">
        <v>79</v>
      </c>
      <c r="H1025">
        <v>45</v>
      </c>
      <c r="I1025">
        <v>900</v>
      </c>
      <c r="J1025">
        <v>5</v>
      </c>
      <c r="K1025">
        <v>38475</v>
      </c>
      <c r="L1025">
        <v>17313.75</v>
      </c>
      <c r="M1025">
        <v>21161.25</v>
      </c>
      <c r="N1025" t="s">
        <v>30</v>
      </c>
      <c r="O1025" t="s">
        <v>35</v>
      </c>
      <c r="P1025" t="s">
        <v>24</v>
      </c>
      <c r="Q1025" t="str">
        <f>TEXT(clean_data[[#This Row],[Date]],"mmm")</f>
        <v>Aug</v>
      </c>
      <c r="R1025">
        <f>YEAR(clean_data[[#This Row],[Date]])</f>
        <v>2023</v>
      </c>
      <c r="S1025" s="2">
        <f>clean_data[[#This Row],[Profit]]/clean_data[[#This Row],[Revenue]]</f>
        <v>0.55000000000000004</v>
      </c>
      <c r="T1025" t="str" cm="1">
        <f t="array" ref="T1025">_xlfn.IFS(clean_data[[#This Row],[Revenue]]&lt;300000,"Small",
     clean_data[[#This Row],[Revenue]]&lt;700000,"Medium",
     TRUE,"Large")</f>
        <v>Small</v>
      </c>
      <c r="U1025" t="str" cm="1">
        <f t="array" ref="U1025">_xlfn.IFS(clean_data[[#This Row],[profit margin%]]&lt;0.5,"Low Profit",
     clean_data[[#This Row],[profit margin%]]&lt;0.6,"Medium Profit",
     TRUE,"High Profit")</f>
        <v>Medium Profit</v>
      </c>
      <c r="V1025" t="str">
        <f>TEXT(clean_data[[#This Row],[Date]],"mmm-yyyy")</f>
        <v>Aug-2023</v>
      </c>
      <c r="W1025" s="8">
        <f>EOMONTH(clean_data[[#This Row],[Date]],-1)+1</f>
        <v>45139</v>
      </c>
    </row>
    <row r="1026" spans="1:23" x14ac:dyDescent="0.3">
      <c r="A1026" t="s">
        <v>1098</v>
      </c>
      <c r="B1026" s="1">
        <v>44854</v>
      </c>
      <c r="C1026" t="s">
        <v>26</v>
      </c>
      <c r="D1026" t="s">
        <v>27</v>
      </c>
      <c r="E1026" t="s">
        <v>19</v>
      </c>
      <c r="F1026" t="s">
        <v>20</v>
      </c>
      <c r="G1026" t="s">
        <v>21</v>
      </c>
      <c r="H1026">
        <v>31</v>
      </c>
      <c r="I1026">
        <v>3500</v>
      </c>
      <c r="J1026">
        <v>0</v>
      </c>
      <c r="K1026">
        <v>108500</v>
      </c>
      <c r="L1026">
        <v>43400</v>
      </c>
      <c r="M1026">
        <v>65100</v>
      </c>
      <c r="N1026" t="s">
        <v>49</v>
      </c>
      <c r="O1026" t="s">
        <v>23</v>
      </c>
      <c r="P1026" t="s">
        <v>40</v>
      </c>
      <c r="Q1026" t="str">
        <f>TEXT(clean_data[[#This Row],[Date]],"mmm")</f>
        <v>Oct</v>
      </c>
      <c r="R1026">
        <f>YEAR(clean_data[[#This Row],[Date]])</f>
        <v>2022</v>
      </c>
      <c r="S1026" s="2">
        <f>clean_data[[#This Row],[Profit]]/clean_data[[#This Row],[Revenue]]</f>
        <v>0.6</v>
      </c>
      <c r="T1026" t="str" cm="1">
        <f t="array" ref="T1026">_xlfn.IFS(clean_data[[#This Row],[Revenue]]&lt;300000,"Small",
     clean_data[[#This Row],[Revenue]]&lt;700000,"Medium",
     TRUE,"Large")</f>
        <v>Small</v>
      </c>
      <c r="U1026" t="str" cm="1">
        <f t="array" ref="U1026">_xlfn.IFS(clean_data[[#This Row],[profit margin%]]&lt;0.5,"Low Profit",
     clean_data[[#This Row],[profit margin%]]&lt;0.6,"Medium Profit",
     TRUE,"High Profit")</f>
        <v>High Profit</v>
      </c>
      <c r="V1026" t="str">
        <f>TEXT(clean_data[[#This Row],[Date]],"mmm-yyyy")</f>
        <v>Oct-2022</v>
      </c>
      <c r="W1026" s="8">
        <f>EOMONTH(clean_data[[#This Row],[Date]],-1)+1</f>
        <v>44835</v>
      </c>
    </row>
    <row r="1027" spans="1:23" x14ac:dyDescent="0.3">
      <c r="A1027" t="s">
        <v>1099</v>
      </c>
      <c r="B1027" s="1">
        <v>44655</v>
      </c>
      <c r="C1027" t="s">
        <v>17</v>
      </c>
      <c r="D1027" t="s">
        <v>37</v>
      </c>
      <c r="E1027" t="s">
        <v>60</v>
      </c>
      <c r="F1027" t="s">
        <v>20</v>
      </c>
      <c r="G1027" t="s">
        <v>74</v>
      </c>
      <c r="H1027">
        <v>35</v>
      </c>
      <c r="I1027">
        <v>4200</v>
      </c>
      <c r="J1027">
        <v>10</v>
      </c>
      <c r="K1027">
        <v>132300</v>
      </c>
      <c r="L1027">
        <v>52920</v>
      </c>
      <c r="M1027">
        <v>79380</v>
      </c>
      <c r="N1027" t="s">
        <v>22</v>
      </c>
      <c r="O1027" t="s">
        <v>23</v>
      </c>
      <c r="P1027" t="s">
        <v>40</v>
      </c>
      <c r="Q1027" t="str">
        <f>TEXT(clean_data[[#This Row],[Date]],"mmm")</f>
        <v>Apr</v>
      </c>
      <c r="R1027">
        <f>YEAR(clean_data[[#This Row],[Date]])</f>
        <v>2022</v>
      </c>
      <c r="S1027" s="2">
        <f>clean_data[[#This Row],[Profit]]/clean_data[[#This Row],[Revenue]]</f>
        <v>0.6</v>
      </c>
      <c r="T1027" t="str" cm="1">
        <f t="array" ref="T1027">_xlfn.IFS(clean_data[[#This Row],[Revenue]]&lt;300000,"Small",
     clean_data[[#This Row],[Revenue]]&lt;700000,"Medium",
     TRUE,"Large")</f>
        <v>Small</v>
      </c>
      <c r="U1027" t="str" cm="1">
        <f t="array" ref="U1027">_xlfn.IFS(clean_data[[#This Row],[profit margin%]]&lt;0.5,"Low Profit",
     clean_data[[#This Row],[profit margin%]]&lt;0.6,"Medium Profit",
     TRUE,"High Profit")</f>
        <v>High Profit</v>
      </c>
      <c r="V1027" t="str">
        <f>TEXT(clean_data[[#This Row],[Date]],"mmm-yyyy")</f>
        <v>Apr-2022</v>
      </c>
      <c r="W1027" s="8">
        <f>EOMONTH(clean_data[[#This Row],[Date]],-1)+1</f>
        <v>44652</v>
      </c>
    </row>
    <row r="1028" spans="1:23" x14ac:dyDescent="0.3">
      <c r="A1028" t="s">
        <v>1100</v>
      </c>
      <c r="B1028" s="1">
        <v>44787</v>
      </c>
      <c r="C1028" t="s">
        <v>46</v>
      </c>
      <c r="D1028" t="s">
        <v>47</v>
      </c>
      <c r="E1028" t="s">
        <v>78</v>
      </c>
      <c r="F1028" t="s">
        <v>20</v>
      </c>
      <c r="G1028" t="s">
        <v>74</v>
      </c>
      <c r="H1028">
        <v>11</v>
      </c>
      <c r="I1028">
        <v>4200</v>
      </c>
      <c r="J1028">
        <v>20</v>
      </c>
      <c r="K1028">
        <v>36960</v>
      </c>
      <c r="L1028">
        <v>14784</v>
      </c>
      <c r="M1028">
        <v>22176</v>
      </c>
      <c r="N1028" t="s">
        <v>30</v>
      </c>
      <c r="O1028" t="s">
        <v>23</v>
      </c>
      <c r="P1028" t="s">
        <v>40</v>
      </c>
      <c r="Q1028" t="str">
        <f>TEXT(clean_data[[#This Row],[Date]],"mmm")</f>
        <v>Aug</v>
      </c>
      <c r="R1028">
        <f>YEAR(clean_data[[#This Row],[Date]])</f>
        <v>2022</v>
      </c>
      <c r="S1028" s="2">
        <f>clean_data[[#This Row],[Profit]]/clean_data[[#This Row],[Revenue]]</f>
        <v>0.6</v>
      </c>
      <c r="T1028" t="str" cm="1">
        <f t="array" ref="T1028">_xlfn.IFS(clean_data[[#This Row],[Revenue]]&lt;300000,"Small",
     clean_data[[#This Row],[Revenue]]&lt;700000,"Medium",
     TRUE,"Large")</f>
        <v>Small</v>
      </c>
      <c r="U1028" t="str" cm="1">
        <f t="array" ref="U1028">_xlfn.IFS(clean_data[[#This Row],[profit margin%]]&lt;0.5,"Low Profit",
     clean_data[[#This Row],[profit margin%]]&lt;0.6,"Medium Profit",
     TRUE,"High Profit")</f>
        <v>High Profit</v>
      </c>
      <c r="V1028" t="str">
        <f>TEXT(clean_data[[#This Row],[Date]],"mmm-yyyy")</f>
        <v>Aug-2022</v>
      </c>
      <c r="W1028" s="8">
        <f>EOMONTH(clean_data[[#This Row],[Date]],-1)+1</f>
        <v>44774</v>
      </c>
    </row>
    <row r="1029" spans="1:23" x14ac:dyDescent="0.3">
      <c r="A1029" t="s">
        <v>1101</v>
      </c>
      <c r="B1029" s="1">
        <v>45483</v>
      </c>
      <c r="C1029" t="s">
        <v>17</v>
      </c>
      <c r="D1029" t="s">
        <v>42</v>
      </c>
      <c r="E1029" t="s">
        <v>52</v>
      </c>
      <c r="F1029" t="s">
        <v>65</v>
      </c>
      <c r="G1029" t="s">
        <v>124</v>
      </c>
      <c r="H1029">
        <v>43</v>
      </c>
      <c r="I1029">
        <v>18000</v>
      </c>
      <c r="J1029">
        <v>10</v>
      </c>
      <c r="K1029">
        <v>696600</v>
      </c>
      <c r="L1029">
        <v>313470</v>
      </c>
      <c r="M1029">
        <v>383130</v>
      </c>
      <c r="N1029" t="s">
        <v>49</v>
      </c>
      <c r="O1029" t="s">
        <v>35</v>
      </c>
      <c r="P1029" t="s">
        <v>24</v>
      </c>
      <c r="Q1029" t="str">
        <f>TEXT(clean_data[[#This Row],[Date]],"mmm")</f>
        <v>Jul</v>
      </c>
      <c r="R1029">
        <f>YEAR(clean_data[[#This Row],[Date]])</f>
        <v>2024</v>
      </c>
      <c r="S1029" s="2">
        <f>clean_data[[#This Row],[Profit]]/clean_data[[#This Row],[Revenue]]</f>
        <v>0.55000000000000004</v>
      </c>
      <c r="T1029" t="str" cm="1">
        <f t="array" ref="T1029">_xlfn.IFS(clean_data[[#This Row],[Revenue]]&lt;300000,"Small",
     clean_data[[#This Row],[Revenue]]&lt;700000,"Medium",
     TRUE,"Large")</f>
        <v>Medium</v>
      </c>
      <c r="U1029" t="str" cm="1">
        <f t="array" ref="U1029">_xlfn.IFS(clean_data[[#This Row],[profit margin%]]&lt;0.5,"Low Profit",
     clean_data[[#This Row],[profit margin%]]&lt;0.6,"Medium Profit",
     TRUE,"High Profit")</f>
        <v>Medium Profit</v>
      </c>
      <c r="V1029" t="str">
        <f>TEXT(clean_data[[#This Row],[Date]],"mmm-yyyy")</f>
        <v>Jul-2024</v>
      </c>
      <c r="W1029" s="8">
        <f>EOMONTH(clean_data[[#This Row],[Date]],-1)+1</f>
        <v>45474</v>
      </c>
    </row>
    <row r="1030" spans="1:23" x14ac:dyDescent="0.3">
      <c r="A1030" t="s">
        <v>1102</v>
      </c>
      <c r="B1030" s="1">
        <v>45457</v>
      </c>
      <c r="C1030" t="s">
        <v>58</v>
      </c>
      <c r="D1030" t="s">
        <v>84</v>
      </c>
      <c r="E1030" t="s">
        <v>56</v>
      </c>
      <c r="F1030" t="s">
        <v>33</v>
      </c>
      <c r="G1030" t="s">
        <v>48</v>
      </c>
      <c r="H1030">
        <v>8</v>
      </c>
      <c r="I1030">
        <v>1500</v>
      </c>
      <c r="J1030">
        <v>20</v>
      </c>
      <c r="K1030">
        <v>9600</v>
      </c>
      <c r="L1030">
        <v>4800</v>
      </c>
      <c r="M1030">
        <v>4800</v>
      </c>
      <c r="N1030" t="s">
        <v>30</v>
      </c>
      <c r="O1030" t="s">
        <v>67</v>
      </c>
      <c r="P1030" t="s">
        <v>24</v>
      </c>
      <c r="Q1030" t="str">
        <f>TEXT(clean_data[[#This Row],[Date]],"mmm")</f>
        <v>Jun</v>
      </c>
      <c r="R1030">
        <f>YEAR(clean_data[[#This Row],[Date]])</f>
        <v>2024</v>
      </c>
      <c r="S1030" s="2">
        <f>clean_data[[#This Row],[Profit]]/clean_data[[#This Row],[Revenue]]</f>
        <v>0.5</v>
      </c>
      <c r="T1030" t="str" cm="1">
        <f t="array" ref="T1030">_xlfn.IFS(clean_data[[#This Row],[Revenue]]&lt;300000,"Small",
     clean_data[[#This Row],[Revenue]]&lt;700000,"Medium",
     TRUE,"Large")</f>
        <v>Small</v>
      </c>
      <c r="U1030" t="str" cm="1">
        <f t="array" ref="U1030">_xlfn.IFS(clean_data[[#This Row],[profit margin%]]&lt;0.5,"Low Profit",
     clean_data[[#This Row],[profit margin%]]&lt;0.6,"Medium Profit",
     TRUE,"High Profit")</f>
        <v>Medium Profit</v>
      </c>
      <c r="V1030" t="str">
        <f>TEXT(clean_data[[#This Row],[Date]],"mmm-yyyy")</f>
        <v>Jun-2024</v>
      </c>
      <c r="W1030" s="8">
        <f>EOMONTH(clean_data[[#This Row],[Date]],-1)+1</f>
        <v>45444</v>
      </c>
    </row>
    <row r="1031" spans="1:23" x14ac:dyDescent="0.3">
      <c r="A1031" t="s">
        <v>1103</v>
      </c>
      <c r="B1031" s="1">
        <v>45140</v>
      </c>
      <c r="C1031" t="s">
        <v>58</v>
      </c>
      <c r="D1031" t="s">
        <v>84</v>
      </c>
      <c r="E1031" t="s">
        <v>70</v>
      </c>
      <c r="F1031" t="s">
        <v>20</v>
      </c>
      <c r="G1031" t="s">
        <v>115</v>
      </c>
      <c r="H1031">
        <v>47</v>
      </c>
      <c r="I1031">
        <v>2500</v>
      </c>
      <c r="J1031">
        <v>15</v>
      </c>
      <c r="K1031">
        <v>99875</v>
      </c>
      <c r="L1031">
        <v>39950</v>
      </c>
      <c r="M1031">
        <v>59925</v>
      </c>
      <c r="N1031" t="s">
        <v>30</v>
      </c>
      <c r="O1031" t="s">
        <v>44</v>
      </c>
      <c r="P1031" t="s">
        <v>24</v>
      </c>
      <c r="Q1031" t="str">
        <f>TEXT(clean_data[[#This Row],[Date]],"mmm")</f>
        <v>Aug</v>
      </c>
      <c r="R1031">
        <f>YEAR(clean_data[[#This Row],[Date]])</f>
        <v>2023</v>
      </c>
      <c r="S1031" s="2">
        <f>clean_data[[#This Row],[Profit]]/clean_data[[#This Row],[Revenue]]</f>
        <v>0.6</v>
      </c>
      <c r="T1031" t="str" cm="1">
        <f t="array" ref="T1031">_xlfn.IFS(clean_data[[#This Row],[Revenue]]&lt;300000,"Small",
     clean_data[[#This Row],[Revenue]]&lt;700000,"Medium",
     TRUE,"Large")</f>
        <v>Small</v>
      </c>
      <c r="U1031" t="str" cm="1">
        <f t="array" ref="U1031">_xlfn.IFS(clean_data[[#This Row],[profit margin%]]&lt;0.5,"Low Profit",
     clean_data[[#This Row],[profit margin%]]&lt;0.6,"Medium Profit",
     TRUE,"High Profit")</f>
        <v>High Profit</v>
      </c>
      <c r="V1031" t="str">
        <f>TEXT(clean_data[[#This Row],[Date]],"mmm-yyyy")</f>
        <v>Aug-2023</v>
      </c>
      <c r="W1031" s="8">
        <f>EOMONTH(clean_data[[#This Row],[Date]],-1)+1</f>
        <v>45139</v>
      </c>
    </row>
    <row r="1032" spans="1:23" x14ac:dyDescent="0.3">
      <c r="A1032" t="s">
        <v>1104</v>
      </c>
      <c r="B1032" s="1">
        <v>45247</v>
      </c>
      <c r="C1032" t="s">
        <v>46</v>
      </c>
      <c r="D1032" t="s">
        <v>55</v>
      </c>
      <c r="E1032" t="s">
        <v>111</v>
      </c>
      <c r="F1032" t="s">
        <v>65</v>
      </c>
      <c r="G1032" t="s">
        <v>79</v>
      </c>
      <c r="H1032">
        <v>5</v>
      </c>
      <c r="I1032">
        <v>900</v>
      </c>
      <c r="J1032">
        <v>5</v>
      </c>
      <c r="K1032">
        <v>4275</v>
      </c>
      <c r="L1032">
        <v>1923.75</v>
      </c>
      <c r="M1032">
        <v>2351.25</v>
      </c>
      <c r="N1032" t="s">
        <v>49</v>
      </c>
      <c r="O1032" t="s">
        <v>67</v>
      </c>
      <c r="P1032" t="s">
        <v>24</v>
      </c>
      <c r="Q1032" t="str">
        <f>TEXT(clean_data[[#This Row],[Date]],"mmm")</f>
        <v>Nov</v>
      </c>
      <c r="R1032">
        <f>YEAR(clean_data[[#This Row],[Date]])</f>
        <v>2023</v>
      </c>
      <c r="S1032" s="2">
        <f>clean_data[[#This Row],[Profit]]/clean_data[[#This Row],[Revenue]]</f>
        <v>0.55000000000000004</v>
      </c>
      <c r="T1032" t="str" cm="1">
        <f t="array" ref="T1032">_xlfn.IFS(clean_data[[#This Row],[Revenue]]&lt;300000,"Small",
     clean_data[[#This Row],[Revenue]]&lt;700000,"Medium",
     TRUE,"Large")</f>
        <v>Small</v>
      </c>
      <c r="U1032" t="str" cm="1">
        <f t="array" ref="U1032">_xlfn.IFS(clean_data[[#This Row],[profit margin%]]&lt;0.5,"Low Profit",
     clean_data[[#This Row],[profit margin%]]&lt;0.6,"Medium Profit",
     TRUE,"High Profit")</f>
        <v>Medium Profit</v>
      </c>
      <c r="V1032" t="str">
        <f>TEXT(clean_data[[#This Row],[Date]],"mmm-yyyy")</f>
        <v>Nov-2023</v>
      </c>
      <c r="W1032" s="8">
        <f>EOMONTH(clean_data[[#This Row],[Date]],-1)+1</f>
        <v>45231</v>
      </c>
    </row>
    <row r="1033" spans="1:23" x14ac:dyDescent="0.3">
      <c r="A1033" t="s">
        <v>1105</v>
      </c>
      <c r="B1033" s="1">
        <v>45214</v>
      </c>
      <c r="C1033" t="s">
        <v>46</v>
      </c>
      <c r="D1033" t="s">
        <v>55</v>
      </c>
      <c r="E1033" t="s">
        <v>73</v>
      </c>
      <c r="F1033" t="s">
        <v>65</v>
      </c>
      <c r="G1033" t="s">
        <v>117</v>
      </c>
      <c r="H1033">
        <v>42</v>
      </c>
      <c r="I1033">
        <v>1200</v>
      </c>
      <c r="J1033">
        <v>15</v>
      </c>
      <c r="K1033">
        <v>42840</v>
      </c>
      <c r="L1033">
        <v>19278</v>
      </c>
      <c r="M1033">
        <v>23562</v>
      </c>
      <c r="N1033" t="s">
        <v>49</v>
      </c>
      <c r="O1033" t="s">
        <v>67</v>
      </c>
      <c r="P1033" t="s">
        <v>24</v>
      </c>
      <c r="Q1033" t="str">
        <f>TEXT(clean_data[[#This Row],[Date]],"mmm")</f>
        <v>Oct</v>
      </c>
      <c r="R1033">
        <f>YEAR(clean_data[[#This Row],[Date]])</f>
        <v>2023</v>
      </c>
      <c r="S1033" s="2">
        <f>clean_data[[#This Row],[Profit]]/clean_data[[#This Row],[Revenue]]</f>
        <v>0.55000000000000004</v>
      </c>
      <c r="T1033" t="str" cm="1">
        <f t="array" ref="T1033">_xlfn.IFS(clean_data[[#This Row],[Revenue]]&lt;300000,"Small",
     clean_data[[#This Row],[Revenue]]&lt;700000,"Medium",
     TRUE,"Large")</f>
        <v>Small</v>
      </c>
      <c r="U1033" t="str" cm="1">
        <f t="array" ref="U1033">_xlfn.IFS(clean_data[[#This Row],[profit margin%]]&lt;0.5,"Low Profit",
     clean_data[[#This Row],[profit margin%]]&lt;0.6,"Medium Profit",
     TRUE,"High Profit")</f>
        <v>Medium Profit</v>
      </c>
      <c r="V1033" t="str">
        <f>TEXT(clean_data[[#This Row],[Date]],"mmm-yyyy")</f>
        <v>Oct-2023</v>
      </c>
      <c r="W1033" s="8">
        <f>EOMONTH(clean_data[[#This Row],[Date]],-1)+1</f>
        <v>45200</v>
      </c>
    </row>
    <row r="1034" spans="1:23" x14ac:dyDescent="0.3">
      <c r="A1034" t="s">
        <v>1106</v>
      </c>
      <c r="B1034" s="1">
        <v>44914</v>
      </c>
      <c r="C1034" t="s">
        <v>17</v>
      </c>
      <c r="D1034" t="s">
        <v>18</v>
      </c>
      <c r="E1034" t="s">
        <v>70</v>
      </c>
      <c r="F1034" t="s">
        <v>33</v>
      </c>
      <c r="G1034" t="s">
        <v>43</v>
      </c>
      <c r="H1034">
        <v>40</v>
      </c>
      <c r="I1034">
        <v>4000</v>
      </c>
      <c r="J1034">
        <v>15</v>
      </c>
      <c r="K1034">
        <v>136000</v>
      </c>
      <c r="L1034">
        <v>68000</v>
      </c>
      <c r="M1034">
        <v>68000</v>
      </c>
      <c r="N1034" t="s">
        <v>30</v>
      </c>
      <c r="O1034" t="s">
        <v>35</v>
      </c>
      <c r="P1034" t="s">
        <v>24</v>
      </c>
      <c r="Q1034" t="str">
        <f>TEXT(clean_data[[#This Row],[Date]],"mmm")</f>
        <v>Dec</v>
      </c>
      <c r="R1034">
        <f>YEAR(clean_data[[#This Row],[Date]])</f>
        <v>2022</v>
      </c>
      <c r="S1034" s="2">
        <f>clean_data[[#This Row],[Profit]]/clean_data[[#This Row],[Revenue]]</f>
        <v>0.5</v>
      </c>
      <c r="T1034" t="str" cm="1">
        <f t="array" ref="T1034">_xlfn.IFS(clean_data[[#This Row],[Revenue]]&lt;300000,"Small",
     clean_data[[#This Row],[Revenue]]&lt;700000,"Medium",
     TRUE,"Large")</f>
        <v>Small</v>
      </c>
      <c r="U1034" t="str" cm="1">
        <f t="array" ref="U1034">_xlfn.IFS(clean_data[[#This Row],[profit margin%]]&lt;0.5,"Low Profit",
     clean_data[[#This Row],[profit margin%]]&lt;0.6,"Medium Profit",
     TRUE,"High Profit")</f>
        <v>Medium Profit</v>
      </c>
      <c r="V1034" t="str">
        <f>TEXT(clean_data[[#This Row],[Date]],"mmm-yyyy")</f>
        <v>Dec-2022</v>
      </c>
      <c r="W1034" s="8">
        <f>EOMONTH(clean_data[[#This Row],[Date]],-1)+1</f>
        <v>44896</v>
      </c>
    </row>
    <row r="1035" spans="1:23" x14ac:dyDescent="0.3">
      <c r="A1035" t="s">
        <v>1107</v>
      </c>
      <c r="B1035" s="1">
        <v>44873</v>
      </c>
      <c r="C1035" t="s">
        <v>26</v>
      </c>
      <c r="D1035" t="s">
        <v>27</v>
      </c>
      <c r="E1035" t="s">
        <v>60</v>
      </c>
      <c r="F1035" t="s">
        <v>65</v>
      </c>
      <c r="G1035" t="s">
        <v>124</v>
      </c>
      <c r="H1035">
        <v>49</v>
      </c>
      <c r="I1035">
        <v>18000</v>
      </c>
      <c r="J1035">
        <v>5</v>
      </c>
      <c r="K1035">
        <v>837900</v>
      </c>
      <c r="L1035">
        <v>377055</v>
      </c>
      <c r="M1035">
        <v>460845</v>
      </c>
      <c r="N1035" t="s">
        <v>30</v>
      </c>
      <c r="O1035" t="s">
        <v>44</v>
      </c>
      <c r="P1035" t="s">
        <v>24</v>
      </c>
      <c r="Q1035" t="str">
        <f>TEXT(clean_data[[#This Row],[Date]],"mmm")</f>
        <v>Nov</v>
      </c>
      <c r="R1035">
        <f>YEAR(clean_data[[#This Row],[Date]])</f>
        <v>2022</v>
      </c>
      <c r="S1035" s="2">
        <f>clean_data[[#This Row],[Profit]]/clean_data[[#This Row],[Revenue]]</f>
        <v>0.55000000000000004</v>
      </c>
      <c r="T1035" t="str" cm="1">
        <f t="array" ref="T1035">_xlfn.IFS(clean_data[[#This Row],[Revenue]]&lt;300000,"Small",
     clean_data[[#This Row],[Revenue]]&lt;700000,"Medium",
     TRUE,"Large")</f>
        <v>Large</v>
      </c>
      <c r="U1035" t="str" cm="1">
        <f t="array" ref="U1035">_xlfn.IFS(clean_data[[#This Row],[profit margin%]]&lt;0.5,"Low Profit",
     clean_data[[#This Row],[profit margin%]]&lt;0.6,"Medium Profit",
     TRUE,"High Profit")</f>
        <v>Medium Profit</v>
      </c>
      <c r="V1035" t="str">
        <f>TEXT(clean_data[[#This Row],[Date]],"mmm-yyyy")</f>
        <v>Nov-2022</v>
      </c>
      <c r="W1035" s="8">
        <f>EOMONTH(clean_data[[#This Row],[Date]],-1)+1</f>
        <v>44866</v>
      </c>
    </row>
    <row r="1036" spans="1:23" x14ac:dyDescent="0.3">
      <c r="A1036" t="s">
        <v>1108</v>
      </c>
      <c r="B1036" s="1">
        <v>45316</v>
      </c>
      <c r="C1036" t="s">
        <v>58</v>
      </c>
      <c r="D1036" t="s">
        <v>84</v>
      </c>
      <c r="E1036" t="s">
        <v>56</v>
      </c>
      <c r="F1036" t="s">
        <v>33</v>
      </c>
      <c r="G1036" t="s">
        <v>39</v>
      </c>
      <c r="H1036">
        <v>3</v>
      </c>
      <c r="I1036">
        <v>5000</v>
      </c>
      <c r="J1036">
        <v>0</v>
      </c>
      <c r="K1036">
        <v>15000</v>
      </c>
      <c r="L1036">
        <v>7500</v>
      </c>
      <c r="M1036">
        <v>7500</v>
      </c>
      <c r="N1036" t="s">
        <v>49</v>
      </c>
      <c r="O1036" t="s">
        <v>67</v>
      </c>
      <c r="P1036" t="s">
        <v>24</v>
      </c>
      <c r="Q1036" t="str">
        <f>TEXT(clean_data[[#This Row],[Date]],"mmm")</f>
        <v>Jan</v>
      </c>
      <c r="R1036">
        <f>YEAR(clean_data[[#This Row],[Date]])</f>
        <v>2024</v>
      </c>
      <c r="S1036" s="2">
        <f>clean_data[[#This Row],[Profit]]/clean_data[[#This Row],[Revenue]]</f>
        <v>0.5</v>
      </c>
      <c r="T1036" t="str" cm="1">
        <f t="array" ref="T1036">_xlfn.IFS(clean_data[[#This Row],[Revenue]]&lt;300000,"Small",
     clean_data[[#This Row],[Revenue]]&lt;700000,"Medium",
     TRUE,"Large")</f>
        <v>Small</v>
      </c>
      <c r="U1036" t="str" cm="1">
        <f t="array" ref="U1036">_xlfn.IFS(clean_data[[#This Row],[profit margin%]]&lt;0.5,"Low Profit",
     clean_data[[#This Row],[profit margin%]]&lt;0.6,"Medium Profit",
     TRUE,"High Profit")</f>
        <v>Medium Profit</v>
      </c>
      <c r="V1036" t="str">
        <f>TEXT(clean_data[[#This Row],[Date]],"mmm-yyyy")</f>
        <v>Jan-2024</v>
      </c>
      <c r="W1036" s="8">
        <f>EOMONTH(clean_data[[#This Row],[Date]],-1)+1</f>
        <v>45292</v>
      </c>
    </row>
    <row r="1037" spans="1:23" x14ac:dyDescent="0.3">
      <c r="A1037" t="s">
        <v>1109</v>
      </c>
      <c r="B1037" s="1">
        <v>44598</v>
      </c>
      <c r="C1037" t="s">
        <v>17</v>
      </c>
      <c r="D1037" t="s">
        <v>18</v>
      </c>
      <c r="E1037" t="s">
        <v>60</v>
      </c>
      <c r="F1037" t="s">
        <v>65</v>
      </c>
      <c r="G1037" t="s">
        <v>104</v>
      </c>
      <c r="H1037">
        <v>41</v>
      </c>
      <c r="I1037">
        <v>3000</v>
      </c>
      <c r="J1037">
        <v>20</v>
      </c>
      <c r="K1037">
        <v>98400</v>
      </c>
      <c r="L1037">
        <v>44280</v>
      </c>
      <c r="M1037">
        <v>54120</v>
      </c>
      <c r="N1037" t="s">
        <v>30</v>
      </c>
      <c r="O1037" t="s">
        <v>44</v>
      </c>
      <c r="P1037" t="s">
        <v>40</v>
      </c>
      <c r="Q1037" t="str">
        <f>TEXT(clean_data[[#This Row],[Date]],"mmm")</f>
        <v>Feb</v>
      </c>
      <c r="R1037">
        <f>YEAR(clean_data[[#This Row],[Date]])</f>
        <v>2022</v>
      </c>
      <c r="S1037" s="2">
        <f>clean_data[[#This Row],[Profit]]/clean_data[[#This Row],[Revenue]]</f>
        <v>0.55000000000000004</v>
      </c>
      <c r="T1037" t="str" cm="1">
        <f t="array" ref="T1037">_xlfn.IFS(clean_data[[#This Row],[Revenue]]&lt;300000,"Small",
     clean_data[[#This Row],[Revenue]]&lt;700000,"Medium",
     TRUE,"Large")</f>
        <v>Small</v>
      </c>
      <c r="U1037" t="str" cm="1">
        <f t="array" ref="U1037">_xlfn.IFS(clean_data[[#This Row],[profit margin%]]&lt;0.5,"Low Profit",
     clean_data[[#This Row],[profit margin%]]&lt;0.6,"Medium Profit",
     TRUE,"High Profit")</f>
        <v>Medium Profit</v>
      </c>
      <c r="V1037" t="str">
        <f>TEXT(clean_data[[#This Row],[Date]],"mmm-yyyy")</f>
        <v>Feb-2022</v>
      </c>
      <c r="W1037" s="8">
        <f>EOMONTH(clean_data[[#This Row],[Date]],-1)+1</f>
        <v>44593</v>
      </c>
    </row>
    <row r="1038" spans="1:23" x14ac:dyDescent="0.3">
      <c r="A1038" t="s">
        <v>1110</v>
      </c>
      <c r="B1038" s="1">
        <v>45062</v>
      </c>
      <c r="C1038" t="s">
        <v>58</v>
      </c>
      <c r="D1038" t="s">
        <v>64</v>
      </c>
      <c r="E1038" t="s">
        <v>73</v>
      </c>
      <c r="F1038" t="s">
        <v>20</v>
      </c>
      <c r="G1038" t="s">
        <v>74</v>
      </c>
      <c r="H1038">
        <v>48</v>
      </c>
      <c r="I1038">
        <v>4200</v>
      </c>
      <c r="J1038">
        <v>5</v>
      </c>
      <c r="K1038">
        <v>191520</v>
      </c>
      <c r="L1038">
        <v>76608</v>
      </c>
      <c r="M1038">
        <v>114912</v>
      </c>
      <c r="N1038" t="s">
        <v>22</v>
      </c>
      <c r="O1038" t="s">
        <v>44</v>
      </c>
      <c r="P1038" t="s">
        <v>24</v>
      </c>
      <c r="Q1038" t="str">
        <f>TEXT(clean_data[[#This Row],[Date]],"mmm")</f>
        <v>May</v>
      </c>
      <c r="R1038">
        <f>YEAR(clean_data[[#This Row],[Date]])</f>
        <v>2023</v>
      </c>
      <c r="S1038" s="2">
        <f>clean_data[[#This Row],[Profit]]/clean_data[[#This Row],[Revenue]]</f>
        <v>0.6</v>
      </c>
      <c r="T1038" t="str" cm="1">
        <f t="array" ref="T1038">_xlfn.IFS(clean_data[[#This Row],[Revenue]]&lt;300000,"Small",
     clean_data[[#This Row],[Revenue]]&lt;700000,"Medium",
     TRUE,"Large")</f>
        <v>Small</v>
      </c>
      <c r="U1038" t="str" cm="1">
        <f t="array" ref="U1038">_xlfn.IFS(clean_data[[#This Row],[profit margin%]]&lt;0.5,"Low Profit",
     clean_data[[#This Row],[profit margin%]]&lt;0.6,"Medium Profit",
     TRUE,"High Profit")</f>
        <v>High Profit</v>
      </c>
      <c r="V1038" t="str">
        <f>TEXT(clean_data[[#This Row],[Date]],"mmm-yyyy")</f>
        <v>May-2023</v>
      </c>
      <c r="W1038" s="8">
        <f>EOMONTH(clean_data[[#This Row],[Date]],-1)+1</f>
        <v>45047</v>
      </c>
    </row>
    <row r="1039" spans="1:23" x14ac:dyDescent="0.3">
      <c r="A1039" t="s">
        <v>1111</v>
      </c>
      <c r="B1039" s="1">
        <v>44731</v>
      </c>
      <c r="C1039" t="s">
        <v>26</v>
      </c>
      <c r="D1039" t="s">
        <v>27</v>
      </c>
      <c r="E1039" t="s">
        <v>19</v>
      </c>
      <c r="F1039" t="s">
        <v>28</v>
      </c>
      <c r="G1039" t="s">
        <v>87</v>
      </c>
      <c r="H1039">
        <v>1</v>
      </c>
      <c r="I1039">
        <v>45000</v>
      </c>
      <c r="J1039">
        <v>10</v>
      </c>
      <c r="K1039">
        <v>40500</v>
      </c>
      <c r="L1039">
        <v>22275</v>
      </c>
      <c r="M1039">
        <v>18225</v>
      </c>
      <c r="N1039" t="s">
        <v>22</v>
      </c>
      <c r="O1039" t="s">
        <v>67</v>
      </c>
      <c r="P1039" t="s">
        <v>24</v>
      </c>
      <c r="Q1039" t="str">
        <f>TEXT(clean_data[[#This Row],[Date]],"mmm")</f>
        <v>Jun</v>
      </c>
      <c r="R1039">
        <f>YEAR(clean_data[[#This Row],[Date]])</f>
        <v>2022</v>
      </c>
      <c r="S1039" s="2">
        <f>clean_data[[#This Row],[Profit]]/clean_data[[#This Row],[Revenue]]</f>
        <v>0.45</v>
      </c>
      <c r="T1039" t="str" cm="1">
        <f t="array" ref="T1039">_xlfn.IFS(clean_data[[#This Row],[Revenue]]&lt;300000,"Small",
     clean_data[[#This Row],[Revenue]]&lt;700000,"Medium",
     TRUE,"Large")</f>
        <v>Small</v>
      </c>
      <c r="U1039" t="str" cm="1">
        <f t="array" ref="U1039">_xlfn.IFS(clean_data[[#This Row],[profit margin%]]&lt;0.5,"Low Profit",
     clean_data[[#This Row],[profit margin%]]&lt;0.6,"Medium Profit",
     TRUE,"High Profit")</f>
        <v>Low Profit</v>
      </c>
      <c r="V1039" t="str">
        <f>TEXT(clean_data[[#This Row],[Date]],"mmm-yyyy")</f>
        <v>Jun-2022</v>
      </c>
      <c r="W1039" s="8">
        <f>EOMONTH(clean_data[[#This Row],[Date]],-1)+1</f>
        <v>44713</v>
      </c>
    </row>
    <row r="1040" spans="1:23" x14ac:dyDescent="0.3">
      <c r="A1040" t="s">
        <v>1112</v>
      </c>
      <c r="B1040" s="1">
        <v>44692</v>
      </c>
      <c r="C1040" t="s">
        <v>46</v>
      </c>
      <c r="D1040" t="s">
        <v>55</v>
      </c>
      <c r="E1040" t="s">
        <v>19</v>
      </c>
      <c r="F1040" t="s">
        <v>20</v>
      </c>
      <c r="G1040" t="s">
        <v>53</v>
      </c>
      <c r="H1040">
        <v>31</v>
      </c>
      <c r="I1040">
        <v>600</v>
      </c>
      <c r="J1040">
        <v>20</v>
      </c>
      <c r="K1040">
        <v>14880</v>
      </c>
      <c r="L1040">
        <v>5952</v>
      </c>
      <c r="M1040">
        <v>8928</v>
      </c>
      <c r="N1040" t="s">
        <v>49</v>
      </c>
      <c r="O1040" t="s">
        <v>67</v>
      </c>
      <c r="P1040" t="s">
        <v>24</v>
      </c>
      <c r="Q1040" t="str">
        <f>TEXT(clean_data[[#This Row],[Date]],"mmm")</f>
        <v>May</v>
      </c>
      <c r="R1040">
        <f>YEAR(clean_data[[#This Row],[Date]])</f>
        <v>2022</v>
      </c>
      <c r="S1040" s="2">
        <f>clean_data[[#This Row],[Profit]]/clean_data[[#This Row],[Revenue]]</f>
        <v>0.6</v>
      </c>
      <c r="T1040" t="str" cm="1">
        <f t="array" ref="T1040">_xlfn.IFS(clean_data[[#This Row],[Revenue]]&lt;300000,"Small",
     clean_data[[#This Row],[Revenue]]&lt;700000,"Medium",
     TRUE,"Large")</f>
        <v>Small</v>
      </c>
      <c r="U1040" t="str" cm="1">
        <f t="array" ref="U1040">_xlfn.IFS(clean_data[[#This Row],[profit margin%]]&lt;0.5,"Low Profit",
     clean_data[[#This Row],[profit margin%]]&lt;0.6,"Medium Profit",
     TRUE,"High Profit")</f>
        <v>High Profit</v>
      </c>
      <c r="V1040" t="str">
        <f>TEXT(clean_data[[#This Row],[Date]],"mmm-yyyy")</f>
        <v>May-2022</v>
      </c>
      <c r="W1040" s="8">
        <f>EOMONTH(clean_data[[#This Row],[Date]],-1)+1</f>
        <v>44682</v>
      </c>
    </row>
    <row r="1041" spans="1:23" x14ac:dyDescent="0.3">
      <c r="A1041" t="s">
        <v>1113</v>
      </c>
      <c r="B1041" s="1">
        <v>45654</v>
      </c>
      <c r="C1041" t="s">
        <v>46</v>
      </c>
      <c r="D1041" t="s">
        <v>47</v>
      </c>
      <c r="E1041" t="s">
        <v>60</v>
      </c>
      <c r="F1041" t="s">
        <v>65</v>
      </c>
      <c r="G1041" t="s">
        <v>66</v>
      </c>
      <c r="H1041">
        <v>5</v>
      </c>
      <c r="I1041">
        <v>5500</v>
      </c>
      <c r="J1041">
        <v>20</v>
      </c>
      <c r="K1041">
        <v>22000</v>
      </c>
      <c r="L1041">
        <v>9900</v>
      </c>
      <c r="M1041">
        <v>12100</v>
      </c>
      <c r="N1041" t="s">
        <v>30</v>
      </c>
      <c r="O1041" t="s">
        <v>67</v>
      </c>
      <c r="P1041" t="s">
        <v>24</v>
      </c>
      <c r="Q1041" t="str">
        <f>TEXT(clean_data[[#This Row],[Date]],"mmm")</f>
        <v>Dec</v>
      </c>
      <c r="R1041">
        <f>YEAR(clean_data[[#This Row],[Date]])</f>
        <v>2024</v>
      </c>
      <c r="S1041" s="2">
        <f>clean_data[[#This Row],[Profit]]/clean_data[[#This Row],[Revenue]]</f>
        <v>0.55000000000000004</v>
      </c>
      <c r="T1041" t="str" cm="1">
        <f t="array" ref="T1041">_xlfn.IFS(clean_data[[#This Row],[Revenue]]&lt;300000,"Small",
     clean_data[[#This Row],[Revenue]]&lt;700000,"Medium",
     TRUE,"Large")</f>
        <v>Small</v>
      </c>
      <c r="U1041" t="str" cm="1">
        <f t="array" ref="U1041">_xlfn.IFS(clean_data[[#This Row],[profit margin%]]&lt;0.5,"Low Profit",
     clean_data[[#This Row],[profit margin%]]&lt;0.6,"Medium Profit",
     TRUE,"High Profit")</f>
        <v>Medium Profit</v>
      </c>
      <c r="V1041" t="str">
        <f>TEXT(clean_data[[#This Row],[Date]],"mmm-yyyy")</f>
        <v>Dec-2024</v>
      </c>
      <c r="W1041" s="8">
        <f>EOMONTH(clean_data[[#This Row],[Date]],-1)+1</f>
        <v>45627</v>
      </c>
    </row>
    <row r="1042" spans="1:23" x14ac:dyDescent="0.3">
      <c r="A1042" t="s">
        <v>1114</v>
      </c>
      <c r="B1042" s="1">
        <v>45142</v>
      </c>
      <c r="C1042" t="s">
        <v>26</v>
      </c>
      <c r="D1042" t="s">
        <v>69</v>
      </c>
      <c r="E1042" t="s">
        <v>19</v>
      </c>
      <c r="F1042" t="s">
        <v>28</v>
      </c>
      <c r="G1042" t="s">
        <v>29</v>
      </c>
      <c r="H1042">
        <v>35</v>
      </c>
      <c r="I1042">
        <v>15000</v>
      </c>
      <c r="J1042">
        <v>10</v>
      </c>
      <c r="K1042">
        <v>472500</v>
      </c>
      <c r="L1042">
        <v>259875</v>
      </c>
      <c r="M1042">
        <v>212625</v>
      </c>
      <c r="N1042" t="s">
        <v>30</v>
      </c>
      <c r="O1042" t="s">
        <v>50</v>
      </c>
      <c r="P1042" t="s">
        <v>24</v>
      </c>
      <c r="Q1042" t="str">
        <f>TEXT(clean_data[[#This Row],[Date]],"mmm")</f>
        <v>Aug</v>
      </c>
      <c r="R1042">
        <f>YEAR(clean_data[[#This Row],[Date]])</f>
        <v>2023</v>
      </c>
      <c r="S1042" s="2">
        <f>clean_data[[#This Row],[Profit]]/clean_data[[#This Row],[Revenue]]</f>
        <v>0.45</v>
      </c>
      <c r="T1042" t="str" cm="1">
        <f t="array" ref="T1042">_xlfn.IFS(clean_data[[#This Row],[Revenue]]&lt;300000,"Small",
     clean_data[[#This Row],[Revenue]]&lt;700000,"Medium",
     TRUE,"Large")</f>
        <v>Medium</v>
      </c>
      <c r="U1042" t="str" cm="1">
        <f t="array" ref="U1042">_xlfn.IFS(clean_data[[#This Row],[profit margin%]]&lt;0.5,"Low Profit",
     clean_data[[#This Row],[profit margin%]]&lt;0.6,"Medium Profit",
     TRUE,"High Profit")</f>
        <v>Low Profit</v>
      </c>
      <c r="V1042" t="str">
        <f>TEXT(clean_data[[#This Row],[Date]],"mmm-yyyy")</f>
        <v>Aug-2023</v>
      </c>
      <c r="W1042" s="8">
        <f>EOMONTH(clean_data[[#This Row],[Date]],-1)+1</f>
        <v>45139</v>
      </c>
    </row>
    <row r="1043" spans="1:23" x14ac:dyDescent="0.3">
      <c r="A1043" t="s">
        <v>1115</v>
      </c>
      <c r="B1043" s="1">
        <v>45059</v>
      </c>
      <c r="C1043" t="s">
        <v>17</v>
      </c>
      <c r="D1043" t="s">
        <v>18</v>
      </c>
      <c r="E1043" t="s">
        <v>78</v>
      </c>
      <c r="F1043" t="s">
        <v>33</v>
      </c>
      <c r="G1043" t="s">
        <v>39</v>
      </c>
      <c r="H1043">
        <v>35</v>
      </c>
      <c r="I1043">
        <v>5000</v>
      </c>
      <c r="J1043">
        <v>20</v>
      </c>
      <c r="K1043">
        <v>140000</v>
      </c>
      <c r="L1043">
        <v>70000</v>
      </c>
      <c r="M1043">
        <v>70000</v>
      </c>
      <c r="N1043" t="s">
        <v>22</v>
      </c>
      <c r="O1043" t="s">
        <v>67</v>
      </c>
      <c r="P1043" t="s">
        <v>24</v>
      </c>
      <c r="Q1043" t="str">
        <f>TEXT(clean_data[[#This Row],[Date]],"mmm")</f>
        <v>May</v>
      </c>
      <c r="R1043">
        <f>YEAR(clean_data[[#This Row],[Date]])</f>
        <v>2023</v>
      </c>
      <c r="S1043" s="2">
        <f>clean_data[[#This Row],[Profit]]/clean_data[[#This Row],[Revenue]]</f>
        <v>0.5</v>
      </c>
      <c r="T1043" t="str" cm="1">
        <f t="array" ref="T1043">_xlfn.IFS(clean_data[[#This Row],[Revenue]]&lt;300000,"Small",
     clean_data[[#This Row],[Revenue]]&lt;700000,"Medium",
     TRUE,"Large")</f>
        <v>Small</v>
      </c>
      <c r="U1043" t="str" cm="1">
        <f t="array" ref="U1043">_xlfn.IFS(clean_data[[#This Row],[profit margin%]]&lt;0.5,"Low Profit",
     clean_data[[#This Row],[profit margin%]]&lt;0.6,"Medium Profit",
     TRUE,"High Profit")</f>
        <v>Medium Profit</v>
      </c>
      <c r="V1043" t="str">
        <f>TEXT(clean_data[[#This Row],[Date]],"mmm-yyyy")</f>
        <v>May-2023</v>
      </c>
      <c r="W1043" s="8">
        <f>EOMONTH(clean_data[[#This Row],[Date]],-1)+1</f>
        <v>45047</v>
      </c>
    </row>
    <row r="1044" spans="1:23" x14ac:dyDescent="0.3">
      <c r="A1044" t="s">
        <v>1116</v>
      </c>
      <c r="B1044" s="1">
        <v>45545</v>
      </c>
      <c r="C1044" t="s">
        <v>58</v>
      </c>
      <c r="D1044" t="s">
        <v>64</v>
      </c>
      <c r="E1044" t="s">
        <v>56</v>
      </c>
      <c r="F1044" t="s">
        <v>28</v>
      </c>
      <c r="G1044" t="s">
        <v>29</v>
      </c>
      <c r="H1044">
        <v>31</v>
      </c>
      <c r="I1044">
        <v>15000</v>
      </c>
      <c r="J1044">
        <v>10</v>
      </c>
      <c r="K1044">
        <v>418500</v>
      </c>
      <c r="L1044">
        <v>230175</v>
      </c>
      <c r="M1044">
        <v>188325</v>
      </c>
      <c r="N1044" t="s">
        <v>30</v>
      </c>
      <c r="O1044" t="s">
        <v>50</v>
      </c>
      <c r="P1044" t="s">
        <v>24</v>
      </c>
      <c r="Q1044" t="str">
        <f>TEXT(clean_data[[#This Row],[Date]],"mmm")</f>
        <v>Sep</v>
      </c>
      <c r="R1044">
        <f>YEAR(clean_data[[#This Row],[Date]])</f>
        <v>2024</v>
      </c>
      <c r="S1044" s="2">
        <f>clean_data[[#This Row],[Profit]]/clean_data[[#This Row],[Revenue]]</f>
        <v>0.45</v>
      </c>
      <c r="T1044" t="str" cm="1">
        <f t="array" ref="T1044">_xlfn.IFS(clean_data[[#This Row],[Revenue]]&lt;300000,"Small",
     clean_data[[#This Row],[Revenue]]&lt;700000,"Medium",
     TRUE,"Large")</f>
        <v>Medium</v>
      </c>
      <c r="U1044" t="str" cm="1">
        <f t="array" ref="U1044">_xlfn.IFS(clean_data[[#This Row],[profit margin%]]&lt;0.5,"Low Profit",
     clean_data[[#This Row],[profit margin%]]&lt;0.6,"Medium Profit",
     TRUE,"High Profit")</f>
        <v>Low Profit</v>
      </c>
      <c r="V1044" t="str">
        <f>TEXT(clean_data[[#This Row],[Date]],"mmm-yyyy")</f>
        <v>Sep-2024</v>
      </c>
      <c r="W1044" s="8">
        <f>EOMONTH(clean_data[[#This Row],[Date]],-1)+1</f>
        <v>45536</v>
      </c>
    </row>
    <row r="1045" spans="1:23" x14ac:dyDescent="0.3">
      <c r="A1045" t="s">
        <v>1117</v>
      </c>
      <c r="B1045" s="1">
        <v>45360</v>
      </c>
      <c r="C1045" t="s">
        <v>46</v>
      </c>
      <c r="D1045" t="s">
        <v>55</v>
      </c>
      <c r="E1045" t="s">
        <v>56</v>
      </c>
      <c r="F1045" t="s">
        <v>20</v>
      </c>
      <c r="G1045" t="s">
        <v>74</v>
      </c>
      <c r="H1045">
        <v>36</v>
      </c>
      <c r="I1045">
        <v>4200</v>
      </c>
      <c r="J1045">
        <v>10</v>
      </c>
      <c r="K1045">
        <v>136080</v>
      </c>
      <c r="L1045">
        <v>54432</v>
      </c>
      <c r="M1045">
        <v>81648</v>
      </c>
      <c r="N1045" t="s">
        <v>30</v>
      </c>
      <c r="O1045" t="s">
        <v>23</v>
      </c>
      <c r="P1045" t="s">
        <v>24</v>
      </c>
      <c r="Q1045" t="str">
        <f>TEXT(clean_data[[#This Row],[Date]],"mmm")</f>
        <v>Mar</v>
      </c>
      <c r="R1045">
        <f>YEAR(clean_data[[#This Row],[Date]])</f>
        <v>2024</v>
      </c>
      <c r="S1045" s="2">
        <f>clean_data[[#This Row],[Profit]]/clean_data[[#This Row],[Revenue]]</f>
        <v>0.6</v>
      </c>
      <c r="T1045" t="str" cm="1">
        <f t="array" ref="T1045">_xlfn.IFS(clean_data[[#This Row],[Revenue]]&lt;300000,"Small",
     clean_data[[#This Row],[Revenue]]&lt;700000,"Medium",
     TRUE,"Large")</f>
        <v>Small</v>
      </c>
      <c r="U1045" t="str" cm="1">
        <f t="array" ref="U1045">_xlfn.IFS(clean_data[[#This Row],[profit margin%]]&lt;0.5,"Low Profit",
     clean_data[[#This Row],[profit margin%]]&lt;0.6,"Medium Profit",
     TRUE,"High Profit")</f>
        <v>High Profit</v>
      </c>
      <c r="V1045" t="str">
        <f>TEXT(clean_data[[#This Row],[Date]],"mmm-yyyy")</f>
        <v>Mar-2024</v>
      </c>
      <c r="W1045" s="8">
        <f>EOMONTH(clean_data[[#This Row],[Date]],-1)+1</f>
        <v>45352</v>
      </c>
    </row>
    <row r="1046" spans="1:23" x14ac:dyDescent="0.3">
      <c r="A1046" t="s">
        <v>1118</v>
      </c>
      <c r="B1046" s="1">
        <v>44707</v>
      </c>
      <c r="C1046" t="s">
        <v>26</v>
      </c>
      <c r="D1046" t="s">
        <v>69</v>
      </c>
      <c r="E1046" t="s">
        <v>52</v>
      </c>
      <c r="F1046" t="s">
        <v>65</v>
      </c>
      <c r="G1046" t="s">
        <v>79</v>
      </c>
      <c r="H1046">
        <v>48</v>
      </c>
      <c r="I1046">
        <v>900</v>
      </c>
      <c r="J1046">
        <v>20</v>
      </c>
      <c r="K1046">
        <v>34560</v>
      </c>
      <c r="L1046">
        <v>15552</v>
      </c>
      <c r="M1046">
        <v>19008</v>
      </c>
      <c r="N1046" t="s">
        <v>22</v>
      </c>
      <c r="O1046" t="s">
        <v>23</v>
      </c>
      <c r="P1046" t="s">
        <v>24</v>
      </c>
      <c r="Q1046" t="str">
        <f>TEXT(clean_data[[#This Row],[Date]],"mmm")</f>
        <v>May</v>
      </c>
      <c r="R1046">
        <f>YEAR(clean_data[[#This Row],[Date]])</f>
        <v>2022</v>
      </c>
      <c r="S1046" s="2">
        <f>clean_data[[#This Row],[Profit]]/clean_data[[#This Row],[Revenue]]</f>
        <v>0.55000000000000004</v>
      </c>
      <c r="T1046" t="str" cm="1">
        <f t="array" ref="T1046">_xlfn.IFS(clean_data[[#This Row],[Revenue]]&lt;300000,"Small",
     clean_data[[#This Row],[Revenue]]&lt;700000,"Medium",
     TRUE,"Large")</f>
        <v>Small</v>
      </c>
      <c r="U1046" t="str" cm="1">
        <f t="array" ref="U1046">_xlfn.IFS(clean_data[[#This Row],[profit margin%]]&lt;0.5,"Low Profit",
     clean_data[[#This Row],[profit margin%]]&lt;0.6,"Medium Profit",
     TRUE,"High Profit")</f>
        <v>Medium Profit</v>
      </c>
      <c r="V1046" t="str">
        <f>TEXT(clean_data[[#This Row],[Date]],"mmm-yyyy")</f>
        <v>May-2022</v>
      </c>
      <c r="W1046" s="8">
        <f>EOMONTH(clean_data[[#This Row],[Date]],-1)+1</f>
        <v>44682</v>
      </c>
    </row>
    <row r="1047" spans="1:23" x14ac:dyDescent="0.3">
      <c r="A1047" t="s">
        <v>1119</v>
      </c>
      <c r="B1047" s="1">
        <v>44813</v>
      </c>
      <c r="C1047" t="s">
        <v>26</v>
      </c>
      <c r="D1047" t="s">
        <v>27</v>
      </c>
      <c r="E1047" t="s">
        <v>56</v>
      </c>
      <c r="F1047" t="s">
        <v>65</v>
      </c>
      <c r="G1047" t="s">
        <v>79</v>
      </c>
      <c r="H1047">
        <v>15</v>
      </c>
      <c r="I1047">
        <v>900</v>
      </c>
      <c r="J1047">
        <v>10</v>
      </c>
      <c r="K1047">
        <v>12150</v>
      </c>
      <c r="L1047">
        <v>5467.5</v>
      </c>
      <c r="M1047">
        <v>6682.5</v>
      </c>
      <c r="N1047" t="s">
        <v>49</v>
      </c>
      <c r="O1047" t="s">
        <v>50</v>
      </c>
      <c r="P1047" t="s">
        <v>24</v>
      </c>
      <c r="Q1047" t="str">
        <f>TEXT(clean_data[[#This Row],[Date]],"mmm")</f>
        <v>Sep</v>
      </c>
      <c r="R1047">
        <f>YEAR(clean_data[[#This Row],[Date]])</f>
        <v>2022</v>
      </c>
      <c r="S1047" s="2">
        <f>clean_data[[#This Row],[Profit]]/clean_data[[#This Row],[Revenue]]</f>
        <v>0.55000000000000004</v>
      </c>
      <c r="T1047" t="str" cm="1">
        <f t="array" ref="T1047">_xlfn.IFS(clean_data[[#This Row],[Revenue]]&lt;300000,"Small",
     clean_data[[#This Row],[Revenue]]&lt;700000,"Medium",
     TRUE,"Large")</f>
        <v>Small</v>
      </c>
      <c r="U1047" t="str" cm="1">
        <f t="array" ref="U1047">_xlfn.IFS(clean_data[[#This Row],[profit margin%]]&lt;0.5,"Low Profit",
     clean_data[[#This Row],[profit margin%]]&lt;0.6,"Medium Profit",
     TRUE,"High Profit")</f>
        <v>Medium Profit</v>
      </c>
      <c r="V1047" t="str">
        <f>TEXT(clean_data[[#This Row],[Date]],"mmm-yyyy")</f>
        <v>Sep-2022</v>
      </c>
      <c r="W1047" s="8">
        <f>EOMONTH(clean_data[[#This Row],[Date]],-1)+1</f>
        <v>44805</v>
      </c>
    </row>
    <row r="1048" spans="1:23" x14ac:dyDescent="0.3">
      <c r="A1048" t="s">
        <v>1120</v>
      </c>
      <c r="B1048" s="1">
        <v>44986</v>
      </c>
      <c r="C1048" t="s">
        <v>26</v>
      </c>
      <c r="D1048" t="s">
        <v>27</v>
      </c>
      <c r="E1048" t="s">
        <v>19</v>
      </c>
      <c r="F1048" t="s">
        <v>65</v>
      </c>
      <c r="G1048" t="s">
        <v>117</v>
      </c>
      <c r="H1048">
        <v>36</v>
      </c>
      <c r="I1048">
        <v>1200</v>
      </c>
      <c r="J1048">
        <v>15</v>
      </c>
      <c r="K1048">
        <v>36720</v>
      </c>
      <c r="L1048">
        <v>16524</v>
      </c>
      <c r="M1048">
        <v>20196</v>
      </c>
      <c r="N1048" t="s">
        <v>49</v>
      </c>
      <c r="O1048" t="s">
        <v>23</v>
      </c>
      <c r="P1048" t="s">
        <v>24</v>
      </c>
      <c r="Q1048" t="str">
        <f>TEXT(clean_data[[#This Row],[Date]],"mmm")</f>
        <v>Mar</v>
      </c>
      <c r="R1048">
        <f>YEAR(clean_data[[#This Row],[Date]])</f>
        <v>2023</v>
      </c>
      <c r="S1048" s="2">
        <f>clean_data[[#This Row],[Profit]]/clean_data[[#This Row],[Revenue]]</f>
        <v>0.55000000000000004</v>
      </c>
      <c r="T1048" t="str" cm="1">
        <f t="array" ref="T1048">_xlfn.IFS(clean_data[[#This Row],[Revenue]]&lt;300000,"Small",
     clean_data[[#This Row],[Revenue]]&lt;700000,"Medium",
     TRUE,"Large")</f>
        <v>Small</v>
      </c>
      <c r="U1048" t="str" cm="1">
        <f t="array" ref="U1048">_xlfn.IFS(clean_data[[#This Row],[profit margin%]]&lt;0.5,"Low Profit",
     clean_data[[#This Row],[profit margin%]]&lt;0.6,"Medium Profit",
     TRUE,"High Profit")</f>
        <v>Medium Profit</v>
      </c>
      <c r="V1048" t="str">
        <f>TEXT(clean_data[[#This Row],[Date]],"mmm-yyyy")</f>
        <v>Mar-2023</v>
      </c>
      <c r="W1048" s="8">
        <f>EOMONTH(clean_data[[#This Row],[Date]],-1)+1</f>
        <v>44986</v>
      </c>
    </row>
    <row r="1049" spans="1:23" x14ac:dyDescent="0.3">
      <c r="A1049" t="s">
        <v>1121</v>
      </c>
      <c r="B1049" s="1">
        <v>44818</v>
      </c>
      <c r="C1049" t="s">
        <v>58</v>
      </c>
      <c r="D1049" t="s">
        <v>64</v>
      </c>
      <c r="E1049" t="s">
        <v>78</v>
      </c>
      <c r="F1049" t="s">
        <v>28</v>
      </c>
      <c r="G1049" t="s">
        <v>85</v>
      </c>
      <c r="H1049">
        <v>8</v>
      </c>
      <c r="I1049">
        <v>8000</v>
      </c>
      <c r="J1049">
        <v>20</v>
      </c>
      <c r="K1049">
        <v>51200</v>
      </c>
      <c r="L1049">
        <v>28160</v>
      </c>
      <c r="M1049">
        <v>23040</v>
      </c>
      <c r="N1049" t="s">
        <v>49</v>
      </c>
      <c r="O1049" t="s">
        <v>44</v>
      </c>
      <c r="P1049" t="s">
        <v>24</v>
      </c>
      <c r="Q1049" t="str">
        <f>TEXT(clean_data[[#This Row],[Date]],"mmm")</f>
        <v>Sep</v>
      </c>
      <c r="R1049">
        <f>YEAR(clean_data[[#This Row],[Date]])</f>
        <v>2022</v>
      </c>
      <c r="S1049" s="2">
        <f>clean_data[[#This Row],[Profit]]/clean_data[[#This Row],[Revenue]]</f>
        <v>0.45</v>
      </c>
      <c r="T1049" t="str" cm="1">
        <f t="array" ref="T1049">_xlfn.IFS(clean_data[[#This Row],[Revenue]]&lt;300000,"Small",
     clean_data[[#This Row],[Revenue]]&lt;700000,"Medium",
     TRUE,"Large")</f>
        <v>Small</v>
      </c>
      <c r="U1049" t="str" cm="1">
        <f t="array" ref="U1049">_xlfn.IFS(clean_data[[#This Row],[profit margin%]]&lt;0.5,"Low Profit",
     clean_data[[#This Row],[profit margin%]]&lt;0.6,"Medium Profit",
     TRUE,"High Profit")</f>
        <v>Low Profit</v>
      </c>
      <c r="V1049" t="str">
        <f>TEXT(clean_data[[#This Row],[Date]],"mmm-yyyy")</f>
        <v>Sep-2022</v>
      </c>
      <c r="W1049" s="8">
        <f>EOMONTH(clean_data[[#This Row],[Date]],-1)+1</f>
        <v>44805</v>
      </c>
    </row>
    <row r="1050" spans="1:23" x14ac:dyDescent="0.3">
      <c r="A1050" t="s">
        <v>1122</v>
      </c>
      <c r="B1050" s="1">
        <v>45213</v>
      </c>
      <c r="C1050" t="s">
        <v>26</v>
      </c>
      <c r="D1050" t="s">
        <v>27</v>
      </c>
      <c r="E1050" t="s">
        <v>19</v>
      </c>
      <c r="F1050" t="s">
        <v>28</v>
      </c>
      <c r="G1050" t="s">
        <v>29</v>
      </c>
      <c r="H1050">
        <v>1</v>
      </c>
      <c r="I1050">
        <v>15000</v>
      </c>
      <c r="J1050">
        <v>5</v>
      </c>
      <c r="K1050">
        <v>14250</v>
      </c>
      <c r="L1050">
        <v>7837.5</v>
      </c>
      <c r="M1050">
        <v>6412.5</v>
      </c>
      <c r="N1050" t="s">
        <v>22</v>
      </c>
      <c r="O1050" t="s">
        <v>67</v>
      </c>
      <c r="P1050" t="s">
        <v>24</v>
      </c>
      <c r="Q1050" t="str">
        <f>TEXT(clean_data[[#This Row],[Date]],"mmm")</f>
        <v>Oct</v>
      </c>
      <c r="R1050">
        <f>YEAR(clean_data[[#This Row],[Date]])</f>
        <v>2023</v>
      </c>
      <c r="S1050" s="2">
        <f>clean_data[[#This Row],[Profit]]/clean_data[[#This Row],[Revenue]]</f>
        <v>0.45</v>
      </c>
      <c r="T1050" t="str" cm="1">
        <f t="array" ref="T1050">_xlfn.IFS(clean_data[[#This Row],[Revenue]]&lt;300000,"Small",
     clean_data[[#This Row],[Revenue]]&lt;700000,"Medium",
     TRUE,"Large")</f>
        <v>Small</v>
      </c>
      <c r="U1050" t="str" cm="1">
        <f t="array" ref="U1050">_xlfn.IFS(clean_data[[#This Row],[profit margin%]]&lt;0.5,"Low Profit",
     clean_data[[#This Row],[profit margin%]]&lt;0.6,"Medium Profit",
     TRUE,"High Profit")</f>
        <v>Low Profit</v>
      </c>
      <c r="V1050" t="str">
        <f>TEXT(clean_data[[#This Row],[Date]],"mmm-yyyy")</f>
        <v>Oct-2023</v>
      </c>
      <c r="W1050" s="8">
        <f>EOMONTH(clean_data[[#This Row],[Date]],-1)+1</f>
        <v>45200</v>
      </c>
    </row>
    <row r="1051" spans="1:23" x14ac:dyDescent="0.3">
      <c r="A1051" t="s">
        <v>1123</v>
      </c>
      <c r="B1051" s="1">
        <v>44646</v>
      </c>
      <c r="C1051" t="s">
        <v>26</v>
      </c>
      <c r="D1051" t="s">
        <v>27</v>
      </c>
      <c r="E1051" t="s">
        <v>56</v>
      </c>
      <c r="F1051" t="s">
        <v>28</v>
      </c>
      <c r="G1051" t="s">
        <v>95</v>
      </c>
      <c r="H1051">
        <v>9</v>
      </c>
      <c r="I1051">
        <v>75000</v>
      </c>
      <c r="J1051">
        <v>15</v>
      </c>
      <c r="K1051">
        <v>573750</v>
      </c>
      <c r="L1051">
        <v>315562.5</v>
      </c>
      <c r="M1051">
        <v>258187.5</v>
      </c>
      <c r="N1051" t="s">
        <v>49</v>
      </c>
      <c r="O1051" t="s">
        <v>35</v>
      </c>
      <c r="P1051" t="s">
        <v>24</v>
      </c>
      <c r="Q1051" t="str">
        <f>TEXT(clean_data[[#This Row],[Date]],"mmm")</f>
        <v>Mar</v>
      </c>
      <c r="R1051">
        <f>YEAR(clean_data[[#This Row],[Date]])</f>
        <v>2022</v>
      </c>
      <c r="S1051" s="2">
        <f>clean_data[[#This Row],[Profit]]/clean_data[[#This Row],[Revenue]]</f>
        <v>0.45</v>
      </c>
      <c r="T1051" t="str" cm="1">
        <f t="array" ref="T1051">_xlfn.IFS(clean_data[[#This Row],[Revenue]]&lt;300000,"Small",
     clean_data[[#This Row],[Revenue]]&lt;700000,"Medium",
     TRUE,"Large")</f>
        <v>Medium</v>
      </c>
      <c r="U1051" t="str" cm="1">
        <f t="array" ref="U1051">_xlfn.IFS(clean_data[[#This Row],[profit margin%]]&lt;0.5,"Low Profit",
     clean_data[[#This Row],[profit margin%]]&lt;0.6,"Medium Profit",
     TRUE,"High Profit")</f>
        <v>Low Profit</v>
      </c>
      <c r="V1051" t="str">
        <f>TEXT(clean_data[[#This Row],[Date]],"mmm-yyyy")</f>
        <v>Mar-2022</v>
      </c>
      <c r="W1051" s="8">
        <f>EOMONTH(clean_data[[#This Row],[Date]],-1)+1</f>
        <v>44621</v>
      </c>
    </row>
    <row r="1052" spans="1:23" x14ac:dyDescent="0.3">
      <c r="A1052" t="s">
        <v>1124</v>
      </c>
      <c r="B1052" s="1">
        <v>45181</v>
      </c>
      <c r="C1052" t="s">
        <v>46</v>
      </c>
      <c r="D1052" t="s">
        <v>55</v>
      </c>
      <c r="E1052" t="s">
        <v>78</v>
      </c>
      <c r="F1052" t="s">
        <v>65</v>
      </c>
      <c r="G1052" t="s">
        <v>66</v>
      </c>
      <c r="H1052">
        <v>43</v>
      </c>
      <c r="I1052">
        <v>5500</v>
      </c>
      <c r="J1052">
        <v>0</v>
      </c>
      <c r="K1052">
        <v>236500</v>
      </c>
      <c r="L1052">
        <v>106425</v>
      </c>
      <c r="M1052">
        <v>130075</v>
      </c>
      <c r="N1052" t="s">
        <v>30</v>
      </c>
      <c r="O1052" t="s">
        <v>50</v>
      </c>
      <c r="P1052" t="s">
        <v>24</v>
      </c>
      <c r="Q1052" t="str">
        <f>TEXT(clean_data[[#This Row],[Date]],"mmm")</f>
        <v>Sep</v>
      </c>
      <c r="R1052">
        <f>YEAR(clean_data[[#This Row],[Date]])</f>
        <v>2023</v>
      </c>
      <c r="S1052" s="2">
        <f>clean_data[[#This Row],[Profit]]/clean_data[[#This Row],[Revenue]]</f>
        <v>0.55000000000000004</v>
      </c>
      <c r="T1052" t="str" cm="1">
        <f t="array" ref="T1052">_xlfn.IFS(clean_data[[#This Row],[Revenue]]&lt;300000,"Small",
     clean_data[[#This Row],[Revenue]]&lt;700000,"Medium",
     TRUE,"Large")</f>
        <v>Small</v>
      </c>
      <c r="U1052" t="str" cm="1">
        <f t="array" ref="U1052">_xlfn.IFS(clean_data[[#This Row],[profit margin%]]&lt;0.5,"Low Profit",
     clean_data[[#This Row],[profit margin%]]&lt;0.6,"Medium Profit",
     TRUE,"High Profit")</f>
        <v>Medium Profit</v>
      </c>
      <c r="V1052" t="str">
        <f>TEXT(clean_data[[#This Row],[Date]],"mmm-yyyy")</f>
        <v>Sep-2023</v>
      </c>
      <c r="W1052" s="8">
        <f>EOMONTH(clean_data[[#This Row],[Date]],-1)+1</f>
        <v>45170</v>
      </c>
    </row>
    <row r="1053" spans="1:23" x14ac:dyDescent="0.3">
      <c r="A1053" t="s">
        <v>1125</v>
      </c>
      <c r="B1053" s="1">
        <v>45603</v>
      </c>
      <c r="C1053" t="s">
        <v>58</v>
      </c>
      <c r="D1053" t="s">
        <v>64</v>
      </c>
      <c r="E1053" t="s">
        <v>70</v>
      </c>
      <c r="F1053" t="s">
        <v>20</v>
      </c>
      <c r="G1053" t="s">
        <v>115</v>
      </c>
      <c r="H1053">
        <v>46</v>
      </c>
      <c r="I1053">
        <v>2500</v>
      </c>
      <c r="J1053">
        <v>10</v>
      </c>
      <c r="K1053">
        <v>103500</v>
      </c>
      <c r="L1053">
        <v>41400</v>
      </c>
      <c r="M1053">
        <v>62100</v>
      </c>
      <c r="N1053" t="s">
        <v>22</v>
      </c>
      <c r="O1053" t="s">
        <v>50</v>
      </c>
      <c r="P1053" t="s">
        <v>24</v>
      </c>
      <c r="Q1053" t="str">
        <f>TEXT(clean_data[[#This Row],[Date]],"mmm")</f>
        <v>Nov</v>
      </c>
      <c r="R1053">
        <f>YEAR(clean_data[[#This Row],[Date]])</f>
        <v>2024</v>
      </c>
      <c r="S1053" s="2">
        <f>clean_data[[#This Row],[Profit]]/clean_data[[#This Row],[Revenue]]</f>
        <v>0.6</v>
      </c>
      <c r="T1053" t="str" cm="1">
        <f t="array" ref="T1053">_xlfn.IFS(clean_data[[#This Row],[Revenue]]&lt;300000,"Small",
     clean_data[[#This Row],[Revenue]]&lt;700000,"Medium",
     TRUE,"Large")</f>
        <v>Small</v>
      </c>
      <c r="U1053" t="str" cm="1">
        <f t="array" ref="U1053">_xlfn.IFS(clean_data[[#This Row],[profit margin%]]&lt;0.5,"Low Profit",
     clean_data[[#This Row],[profit margin%]]&lt;0.6,"Medium Profit",
     TRUE,"High Profit")</f>
        <v>High Profit</v>
      </c>
      <c r="V1053" t="str">
        <f>TEXT(clean_data[[#This Row],[Date]],"mmm-yyyy")</f>
        <v>Nov-2024</v>
      </c>
      <c r="W1053" s="8">
        <f>EOMONTH(clean_data[[#This Row],[Date]],-1)+1</f>
        <v>45597</v>
      </c>
    </row>
    <row r="1054" spans="1:23" x14ac:dyDescent="0.3">
      <c r="A1054" t="s">
        <v>1126</v>
      </c>
      <c r="B1054" s="1">
        <v>45033</v>
      </c>
      <c r="C1054" t="s">
        <v>17</v>
      </c>
      <c r="D1054" t="s">
        <v>37</v>
      </c>
      <c r="E1054" t="s">
        <v>111</v>
      </c>
      <c r="F1054" t="s">
        <v>28</v>
      </c>
      <c r="G1054" t="s">
        <v>95</v>
      </c>
      <c r="H1054">
        <v>23</v>
      </c>
      <c r="I1054">
        <v>75000</v>
      </c>
      <c r="J1054">
        <v>15</v>
      </c>
      <c r="K1054">
        <v>1466250</v>
      </c>
      <c r="L1054">
        <v>806437.5</v>
      </c>
      <c r="M1054">
        <v>659812.5</v>
      </c>
      <c r="N1054" t="s">
        <v>49</v>
      </c>
      <c r="O1054" t="s">
        <v>50</v>
      </c>
      <c r="P1054" t="s">
        <v>40</v>
      </c>
      <c r="Q1054" t="str">
        <f>TEXT(clean_data[[#This Row],[Date]],"mmm")</f>
        <v>Apr</v>
      </c>
      <c r="R1054">
        <f>YEAR(clean_data[[#This Row],[Date]])</f>
        <v>2023</v>
      </c>
      <c r="S1054" s="2">
        <f>clean_data[[#This Row],[Profit]]/clean_data[[#This Row],[Revenue]]</f>
        <v>0.45</v>
      </c>
      <c r="T1054" t="str" cm="1">
        <f t="array" ref="T1054">_xlfn.IFS(clean_data[[#This Row],[Revenue]]&lt;300000,"Small",
     clean_data[[#This Row],[Revenue]]&lt;700000,"Medium",
     TRUE,"Large")</f>
        <v>Large</v>
      </c>
      <c r="U1054" t="str" cm="1">
        <f t="array" ref="U1054">_xlfn.IFS(clean_data[[#This Row],[profit margin%]]&lt;0.5,"Low Profit",
     clean_data[[#This Row],[profit margin%]]&lt;0.6,"Medium Profit",
     TRUE,"High Profit")</f>
        <v>Low Profit</v>
      </c>
      <c r="V1054" t="str">
        <f>TEXT(clean_data[[#This Row],[Date]],"mmm-yyyy")</f>
        <v>Apr-2023</v>
      </c>
      <c r="W1054" s="8">
        <f>EOMONTH(clean_data[[#This Row],[Date]],-1)+1</f>
        <v>45017</v>
      </c>
    </row>
    <row r="1055" spans="1:23" x14ac:dyDescent="0.3">
      <c r="A1055" t="s">
        <v>1127</v>
      </c>
      <c r="B1055" s="1">
        <v>44719</v>
      </c>
      <c r="C1055" t="s">
        <v>46</v>
      </c>
      <c r="D1055" t="s">
        <v>47</v>
      </c>
      <c r="E1055" t="s">
        <v>73</v>
      </c>
      <c r="F1055" t="s">
        <v>20</v>
      </c>
      <c r="G1055" t="s">
        <v>21</v>
      </c>
      <c r="H1055">
        <v>24</v>
      </c>
      <c r="I1055">
        <v>3500</v>
      </c>
      <c r="J1055">
        <v>5</v>
      </c>
      <c r="K1055">
        <v>79800</v>
      </c>
      <c r="L1055">
        <v>31920</v>
      </c>
      <c r="M1055">
        <v>47880</v>
      </c>
      <c r="N1055" t="s">
        <v>30</v>
      </c>
      <c r="O1055" t="s">
        <v>23</v>
      </c>
      <c r="P1055" t="s">
        <v>24</v>
      </c>
      <c r="Q1055" t="str">
        <f>TEXT(clean_data[[#This Row],[Date]],"mmm")</f>
        <v>Jun</v>
      </c>
      <c r="R1055">
        <f>YEAR(clean_data[[#This Row],[Date]])</f>
        <v>2022</v>
      </c>
      <c r="S1055" s="2">
        <f>clean_data[[#This Row],[Profit]]/clean_data[[#This Row],[Revenue]]</f>
        <v>0.6</v>
      </c>
      <c r="T1055" t="str" cm="1">
        <f t="array" ref="T1055">_xlfn.IFS(clean_data[[#This Row],[Revenue]]&lt;300000,"Small",
     clean_data[[#This Row],[Revenue]]&lt;700000,"Medium",
     TRUE,"Large")</f>
        <v>Small</v>
      </c>
      <c r="U1055" t="str" cm="1">
        <f t="array" ref="U1055">_xlfn.IFS(clean_data[[#This Row],[profit margin%]]&lt;0.5,"Low Profit",
     clean_data[[#This Row],[profit margin%]]&lt;0.6,"Medium Profit",
     TRUE,"High Profit")</f>
        <v>High Profit</v>
      </c>
      <c r="V1055" t="str">
        <f>TEXT(clean_data[[#This Row],[Date]],"mmm-yyyy")</f>
        <v>Jun-2022</v>
      </c>
      <c r="W1055" s="8">
        <f>EOMONTH(clean_data[[#This Row],[Date]],-1)+1</f>
        <v>44713</v>
      </c>
    </row>
    <row r="1056" spans="1:23" x14ac:dyDescent="0.3">
      <c r="A1056" t="s">
        <v>1128</v>
      </c>
      <c r="B1056" s="1">
        <v>45447</v>
      </c>
      <c r="C1056" t="s">
        <v>26</v>
      </c>
      <c r="D1056" t="s">
        <v>69</v>
      </c>
      <c r="E1056" t="s">
        <v>56</v>
      </c>
      <c r="F1056" t="s">
        <v>33</v>
      </c>
      <c r="G1056" t="s">
        <v>34</v>
      </c>
      <c r="H1056">
        <v>38</v>
      </c>
      <c r="I1056">
        <v>25000</v>
      </c>
      <c r="J1056">
        <v>15</v>
      </c>
      <c r="K1056">
        <v>807500</v>
      </c>
      <c r="L1056">
        <v>403750</v>
      </c>
      <c r="M1056">
        <v>403750</v>
      </c>
      <c r="N1056" t="s">
        <v>30</v>
      </c>
      <c r="O1056" t="s">
        <v>35</v>
      </c>
      <c r="P1056" t="s">
        <v>24</v>
      </c>
      <c r="Q1056" t="str">
        <f>TEXT(clean_data[[#This Row],[Date]],"mmm")</f>
        <v>Jun</v>
      </c>
      <c r="R1056">
        <f>YEAR(clean_data[[#This Row],[Date]])</f>
        <v>2024</v>
      </c>
      <c r="S1056" s="2">
        <f>clean_data[[#This Row],[Profit]]/clean_data[[#This Row],[Revenue]]</f>
        <v>0.5</v>
      </c>
      <c r="T1056" t="str" cm="1">
        <f t="array" ref="T1056">_xlfn.IFS(clean_data[[#This Row],[Revenue]]&lt;300000,"Small",
     clean_data[[#This Row],[Revenue]]&lt;700000,"Medium",
     TRUE,"Large")</f>
        <v>Large</v>
      </c>
      <c r="U1056" t="str" cm="1">
        <f t="array" ref="U1056">_xlfn.IFS(clean_data[[#This Row],[profit margin%]]&lt;0.5,"Low Profit",
     clean_data[[#This Row],[profit margin%]]&lt;0.6,"Medium Profit",
     TRUE,"High Profit")</f>
        <v>Medium Profit</v>
      </c>
      <c r="V1056" t="str">
        <f>TEXT(clean_data[[#This Row],[Date]],"mmm-yyyy")</f>
        <v>Jun-2024</v>
      </c>
      <c r="W1056" s="8">
        <f>EOMONTH(clean_data[[#This Row],[Date]],-1)+1</f>
        <v>45444</v>
      </c>
    </row>
    <row r="1057" spans="1:23" x14ac:dyDescent="0.3">
      <c r="A1057" t="s">
        <v>1129</v>
      </c>
      <c r="B1057" s="1">
        <v>45105</v>
      </c>
      <c r="C1057" t="s">
        <v>58</v>
      </c>
      <c r="D1057" t="s">
        <v>59</v>
      </c>
      <c r="E1057" t="s">
        <v>56</v>
      </c>
      <c r="F1057" t="s">
        <v>65</v>
      </c>
      <c r="G1057" t="s">
        <v>66</v>
      </c>
      <c r="H1057">
        <v>29</v>
      </c>
      <c r="I1057">
        <v>5500</v>
      </c>
      <c r="J1057">
        <v>0</v>
      </c>
      <c r="K1057">
        <v>159500</v>
      </c>
      <c r="L1057">
        <v>71775</v>
      </c>
      <c r="M1057">
        <v>87725</v>
      </c>
      <c r="N1057" t="s">
        <v>30</v>
      </c>
      <c r="O1057" t="s">
        <v>23</v>
      </c>
      <c r="P1057" t="s">
        <v>24</v>
      </c>
      <c r="Q1057" t="str">
        <f>TEXT(clean_data[[#This Row],[Date]],"mmm")</f>
        <v>Jun</v>
      </c>
      <c r="R1057">
        <f>YEAR(clean_data[[#This Row],[Date]])</f>
        <v>2023</v>
      </c>
      <c r="S1057" s="2">
        <f>clean_data[[#This Row],[Profit]]/clean_data[[#This Row],[Revenue]]</f>
        <v>0.55000000000000004</v>
      </c>
      <c r="T1057" t="str" cm="1">
        <f t="array" ref="T1057">_xlfn.IFS(clean_data[[#This Row],[Revenue]]&lt;300000,"Small",
     clean_data[[#This Row],[Revenue]]&lt;700000,"Medium",
     TRUE,"Large")</f>
        <v>Small</v>
      </c>
      <c r="U1057" t="str" cm="1">
        <f t="array" ref="U1057">_xlfn.IFS(clean_data[[#This Row],[profit margin%]]&lt;0.5,"Low Profit",
     clean_data[[#This Row],[profit margin%]]&lt;0.6,"Medium Profit",
     TRUE,"High Profit")</f>
        <v>Medium Profit</v>
      </c>
      <c r="V1057" t="str">
        <f>TEXT(clean_data[[#This Row],[Date]],"mmm-yyyy")</f>
        <v>Jun-2023</v>
      </c>
      <c r="W1057" s="8">
        <f>EOMONTH(clean_data[[#This Row],[Date]],-1)+1</f>
        <v>45078</v>
      </c>
    </row>
    <row r="1058" spans="1:23" x14ac:dyDescent="0.3">
      <c r="A1058" t="s">
        <v>1130</v>
      </c>
      <c r="B1058" s="1">
        <v>44917</v>
      </c>
      <c r="C1058" t="s">
        <v>58</v>
      </c>
      <c r="D1058" t="s">
        <v>64</v>
      </c>
      <c r="E1058" t="s">
        <v>56</v>
      </c>
      <c r="F1058" t="s">
        <v>33</v>
      </c>
      <c r="G1058" t="s">
        <v>39</v>
      </c>
      <c r="H1058">
        <v>35</v>
      </c>
      <c r="I1058">
        <v>5000</v>
      </c>
      <c r="J1058">
        <v>10</v>
      </c>
      <c r="K1058">
        <v>157500</v>
      </c>
      <c r="L1058">
        <v>78750</v>
      </c>
      <c r="M1058">
        <v>78750</v>
      </c>
      <c r="N1058" t="s">
        <v>22</v>
      </c>
      <c r="O1058" t="s">
        <v>50</v>
      </c>
      <c r="P1058" t="s">
        <v>24</v>
      </c>
      <c r="Q1058" t="str">
        <f>TEXT(clean_data[[#This Row],[Date]],"mmm")</f>
        <v>Dec</v>
      </c>
      <c r="R1058">
        <f>YEAR(clean_data[[#This Row],[Date]])</f>
        <v>2022</v>
      </c>
      <c r="S1058" s="2">
        <f>clean_data[[#This Row],[Profit]]/clean_data[[#This Row],[Revenue]]</f>
        <v>0.5</v>
      </c>
      <c r="T1058" t="str" cm="1">
        <f t="array" ref="T1058">_xlfn.IFS(clean_data[[#This Row],[Revenue]]&lt;300000,"Small",
     clean_data[[#This Row],[Revenue]]&lt;700000,"Medium",
     TRUE,"Large")</f>
        <v>Small</v>
      </c>
      <c r="U1058" t="str" cm="1">
        <f t="array" ref="U1058">_xlfn.IFS(clean_data[[#This Row],[profit margin%]]&lt;0.5,"Low Profit",
     clean_data[[#This Row],[profit margin%]]&lt;0.6,"Medium Profit",
     TRUE,"High Profit")</f>
        <v>Medium Profit</v>
      </c>
      <c r="V1058" t="str">
        <f>TEXT(clean_data[[#This Row],[Date]],"mmm-yyyy")</f>
        <v>Dec-2022</v>
      </c>
      <c r="W1058" s="8">
        <f>EOMONTH(clean_data[[#This Row],[Date]],-1)+1</f>
        <v>44896</v>
      </c>
    </row>
    <row r="1059" spans="1:23" x14ac:dyDescent="0.3">
      <c r="A1059" t="s">
        <v>1131</v>
      </c>
      <c r="B1059" s="1">
        <v>45072</v>
      </c>
      <c r="C1059" t="s">
        <v>46</v>
      </c>
      <c r="D1059" t="s">
        <v>47</v>
      </c>
      <c r="E1059" t="s">
        <v>70</v>
      </c>
      <c r="F1059" t="s">
        <v>65</v>
      </c>
      <c r="G1059" t="s">
        <v>66</v>
      </c>
      <c r="H1059">
        <v>47</v>
      </c>
      <c r="I1059">
        <v>5500</v>
      </c>
      <c r="J1059">
        <v>0</v>
      </c>
      <c r="K1059">
        <v>258500</v>
      </c>
      <c r="L1059">
        <v>116325</v>
      </c>
      <c r="M1059">
        <v>142175</v>
      </c>
      <c r="N1059" t="s">
        <v>22</v>
      </c>
      <c r="O1059" t="s">
        <v>23</v>
      </c>
      <c r="P1059" t="s">
        <v>24</v>
      </c>
      <c r="Q1059" t="str">
        <f>TEXT(clean_data[[#This Row],[Date]],"mmm")</f>
        <v>May</v>
      </c>
      <c r="R1059">
        <f>YEAR(clean_data[[#This Row],[Date]])</f>
        <v>2023</v>
      </c>
      <c r="S1059" s="2">
        <f>clean_data[[#This Row],[Profit]]/clean_data[[#This Row],[Revenue]]</f>
        <v>0.55000000000000004</v>
      </c>
      <c r="T1059" t="str" cm="1">
        <f t="array" ref="T1059">_xlfn.IFS(clean_data[[#This Row],[Revenue]]&lt;300000,"Small",
     clean_data[[#This Row],[Revenue]]&lt;700000,"Medium",
     TRUE,"Large")</f>
        <v>Small</v>
      </c>
      <c r="U1059" t="str" cm="1">
        <f t="array" ref="U1059">_xlfn.IFS(clean_data[[#This Row],[profit margin%]]&lt;0.5,"Low Profit",
     clean_data[[#This Row],[profit margin%]]&lt;0.6,"Medium Profit",
     TRUE,"High Profit")</f>
        <v>Medium Profit</v>
      </c>
      <c r="V1059" t="str">
        <f>TEXT(clean_data[[#This Row],[Date]],"mmm-yyyy")</f>
        <v>May-2023</v>
      </c>
      <c r="W1059" s="8">
        <f>EOMONTH(clean_data[[#This Row],[Date]],-1)+1</f>
        <v>45047</v>
      </c>
    </row>
    <row r="1060" spans="1:23" x14ac:dyDescent="0.3">
      <c r="A1060" t="s">
        <v>1132</v>
      </c>
      <c r="B1060" s="1">
        <v>45135</v>
      </c>
      <c r="C1060" t="s">
        <v>58</v>
      </c>
      <c r="D1060" t="s">
        <v>59</v>
      </c>
      <c r="E1060" t="s">
        <v>38</v>
      </c>
      <c r="F1060" t="s">
        <v>33</v>
      </c>
      <c r="G1060" t="s">
        <v>76</v>
      </c>
      <c r="H1060">
        <v>25</v>
      </c>
      <c r="I1060">
        <v>8500</v>
      </c>
      <c r="J1060">
        <v>15</v>
      </c>
      <c r="K1060">
        <v>180625</v>
      </c>
      <c r="L1060">
        <v>90312.5</v>
      </c>
      <c r="M1060">
        <v>90312.5</v>
      </c>
      <c r="N1060" t="s">
        <v>30</v>
      </c>
      <c r="O1060" t="s">
        <v>35</v>
      </c>
      <c r="P1060" t="s">
        <v>24</v>
      </c>
      <c r="Q1060" t="str">
        <f>TEXT(clean_data[[#This Row],[Date]],"mmm")</f>
        <v>Jul</v>
      </c>
      <c r="R1060">
        <f>YEAR(clean_data[[#This Row],[Date]])</f>
        <v>2023</v>
      </c>
      <c r="S1060" s="2">
        <f>clean_data[[#This Row],[Profit]]/clean_data[[#This Row],[Revenue]]</f>
        <v>0.5</v>
      </c>
      <c r="T1060" t="str" cm="1">
        <f t="array" ref="T1060">_xlfn.IFS(clean_data[[#This Row],[Revenue]]&lt;300000,"Small",
     clean_data[[#This Row],[Revenue]]&lt;700000,"Medium",
     TRUE,"Large")</f>
        <v>Small</v>
      </c>
      <c r="U1060" t="str" cm="1">
        <f t="array" ref="U1060">_xlfn.IFS(clean_data[[#This Row],[profit margin%]]&lt;0.5,"Low Profit",
     clean_data[[#This Row],[profit margin%]]&lt;0.6,"Medium Profit",
     TRUE,"High Profit")</f>
        <v>Medium Profit</v>
      </c>
      <c r="V1060" t="str">
        <f>TEXT(clean_data[[#This Row],[Date]],"mmm-yyyy")</f>
        <v>Jul-2023</v>
      </c>
      <c r="W1060" s="8">
        <f>EOMONTH(clean_data[[#This Row],[Date]],-1)+1</f>
        <v>45108</v>
      </c>
    </row>
    <row r="1061" spans="1:23" x14ac:dyDescent="0.3">
      <c r="A1061" t="s">
        <v>1133</v>
      </c>
      <c r="B1061" s="1">
        <v>45103</v>
      </c>
      <c r="C1061" t="s">
        <v>17</v>
      </c>
      <c r="D1061" t="s">
        <v>18</v>
      </c>
      <c r="E1061" t="s">
        <v>19</v>
      </c>
      <c r="F1061" t="s">
        <v>33</v>
      </c>
      <c r="G1061" t="s">
        <v>34</v>
      </c>
      <c r="H1061">
        <v>37</v>
      </c>
      <c r="I1061">
        <v>25000</v>
      </c>
      <c r="J1061">
        <v>15</v>
      </c>
      <c r="K1061">
        <v>786250</v>
      </c>
      <c r="L1061">
        <v>393125</v>
      </c>
      <c r="M1061">
        <v>393125</v>
      </c>
      <c r="N1061" t="s">
        <v>22</v>
      </c>
      <c r="O1061" t="s">
        <v>50</v>
      </c>
      <c r="P1061" t="s">
        <v>24</v>
      </c>
      <c r="Q1061" t="str">
        <f>TEXT(clean_data[[#This Row],[Date]],"mmm")</f>
        <v>Jun</v>
      </c>
      <c r="R1061">
        <f>YEAR(clean_data[[#This Row],[Date]])</f>
        <v>2023</v>
      </c>
      <c r="S1061" s="2">
        <f>clean_data[[#This Row],[Profit]]/clean_data[[#This Row],[Revenue]]</f>
        <v>0.5</v>
      </c>
      <c r="T1061" t="str" cm="1">
        <f t="array" ref="T1061">_xlfn.IFS(clean_data[[#This Row],[Revenue]]&lt;300000,"Small",
     clean_data[[#This Row],[Revenue]]&lt;700000,"Medium",
     TRUE,"Large")</f>
        <v>Large</v>
      </c>
      <c r="U1061" t="str" cm="1">
        <f t="array" ref="U1061">_xlfn.IFS(clean_data[[#This Row],[profit margin%]]&lt;0.5,"Low Profit",
     clean_data[[#This Row],[profit margin%]]&lt;0.6,"Medium Profit",
     TRUE,"High Profit")</f>
        <v>Medium Profit</v>
      </c>
      <c r="V1061" t="str">
        <f>TEXT(clean_data[[#This Row],[Date]],"mmm-yyyy")</f>
        <v>Jun-2023</v>
      </c>
      <c r="W1061" s="8">
        <f>EOMONTH(clean_data[[#This Row],[Date]],-1)+1</f>
        <v>45078</v>
      </c>
    </row>
    <row r="1062" spans="1:23" x14ac:dyDescent="0.3">
      <c r="A1062" t="s">
        <v>1134</v>
      </c>
      <c r="B1062" s="1">
        <v>45269</v>
      </c>
      <c r="C1062" t="s">
        <v>17</v>
      </c>
      <c r="D1062" t="s">
        <v>42</v>
      </c>
      <c r="E1062" t="s">
        <v>38</v>
      </c>
      <c r="F1062" t="s">
        <v>28</v>
      </c>
      <c r="G1062" t="s">
        <v>95</v>
      </c>
      <c r="H1062">
        <v>20</v>
      </c>
      <c r="I1062">
        <v>75000</v>
      </c>
      <c r="J1062">
        <v>20</v>
      </c>
      <c r="K1062">
        <v>1200000</v>
      </c>
      <c r="L1062">
        <v>660000</v>
      </c>
      <c r="M1062">
        <v>540000</v>
      </c>
      <c r="N1062" t="s">
        <v>49</v>
      </c>
      <c r="O1062" t="s">
        <v>44</v>
      </c>
      <c r="P1062" t="s">
        <v>24</v>
      </c>
      <c r="Q1062" t="str">
        <f>TEXT(clean_data[[#This Row],[Date]],"mmm")</f>
        <v>Dec</v>
      </c>
      <c r="R1062">
        <f>YEAR(clean_data[[#This Row],[Date]])</f>
        <v>2023</v>
      </c>
      <c r="S1062" s="2">
        <f>clean_data[[#This Row],[Profit]]/clean_data[[#This Row],[Revenue]]</f>
        <v>0.45</v>
      </c>
      <c r="T1062" t="str" cm="1">
        <f t="array" ref="T1062">_xlfn.IFS(clean_data[[#This Row],[Revenue]]&lt;300000,"Small",
     clean_data[[#This Row],[Revenue]]&lt;700000,"Medium",
     TRUE,"Large")</f>
        <v>Large</v>
      </c>
      <c r="U1062" t="str" cm="1">
        <f t="array" ref="U1062">_xlfn.IFS(clean_data[[#This Row],[profit margin%]]&lt;0.5,"Low Profit",
     clean_data[[#This Row],[profit margin%]]&lt;0.6,"Medium Profit",
     TRUE,"High Profit")</f>
        <v>Low Profit</v>
      </c>
      <c r="V1062" t="str">
        <f>TEXT(clean_data[[#This Row],[Date]],"mmm-yyyy")</f>
        <v>Dec-2023</v>
      </c>
      <c r="W1062" s="8">
        <f>EOMONTH(clean_data[[#This Row],[Date]],-1)+1</f>
        <v>45261</v>
      </c>
    </row>
    <row r="1063" spans="1:23" x14ac:dyDescent="0.3">
      <c r="A1063" t="s">
        <v>1135</v>
      </c>
      <c r="B1063" s="1">
        <v>45427</v>
      </c>
      <c r="C1063" t="s">
        <v>26</v>
      </c>
      <c r="D1063" t="s">
        <v>69</v>
      </c>
      <c r="E1063" t="s">
        <v>56</v>
      </c>
      <c r="F1063" t="s">
        <v>65</v>
      </c>
      <c r="G1063" t="s">
        <v>117</v>
      </c>
      <c r="H1063">
        <v>23</v>
      </c>
      <c r="I1063">
        <v>1200</v>
      </c>
      <c r="J1063">
        <v>15</v>
      </c>
      <c r="K1063">
        <v>23460</v>
      </c>
      <c r="L1063">
        <v>10557</v>
      </c>
      <c r="M1063">
        <v>12903</v>
      </c>
      <c r="N1063" t="s">
        <v>30</v>
      </c>
      <c r="O1063" t="s">
        <v>23</v>
      </c>
      <c r="P1063" t="s">
        <v>40</v>
      </c>
      <c r="Q1063" t="str">
        <f>TEXT(clean_data[[#This Row],[Date]],"mmm")</f>
        <v>May</v>
      </c>
      <c r="R1063">
        <f>YEAR(clean_data[[#This Row],[Date]])</f>
        <v>2024</v>
      </c>
      <c r="S1063" s="2">
        <f>clean_data[[#This Row],[Profit]]/clean_data[[#This Row],[Revenue]]</f>
        <v>0.55000000000000004</v>
      </c>
      <c r="T1063" t="str" cm="1">
        <f t="array" ref="T1063">_xlfn.IFS(clean_data[[#This Row],[Revenue]]&lt;300000,"Small",
     clean_data[[#This Row],[Revenue]]&lt;700000,"Medium",
     TRUE,"Large")</f>
        <v>Small</v>
      </c>
      <c r="U1063" t="str" cm="1">
        <f t="array" ref="U1063">_xlfn.IFS(clean_data[[#This Row],[profit margin%]]&lt;0.5,"Low Profit",
     clean_data[[#This Row],[profit margin%]]&lt;0.6,"Medium Profit",
     TRUE,"High Profit")</f>
        <v>Medium Profit</v>
      </c>
      <c r="V1063" t="str">
        <f>TEXT(clean_data[[#This Row],[Date]],"mmm-yyyy")</f>
        <v>May-2024</v>
      </c>
      <c r="W1063" s="8">
        <f>EOMONTH(clean_data[[#This Row],[Date]],-1)+1</f>
        <v>45413</v>
      </c>
    </row>
    <row r="1064" spans="1:23" x14ac:dyDescent="0.3">
      <c r="A1064" t="s">
        <v>1136</v>
      </c>
      <c r="B1064" s="1">
        <v>44670</v>
      </c>
      <c r="C1064" t="s">
        <v>26</v>
      </c>
      <c r="D1064" t="s">
        <v>69</v>
      </c>
      <c r="E1064" t="s">
        <v>38</v>
      </c>
      <c r="F1064" t="s">
        <v>33</v>
      </c>
      <c r="G1064" t="s">
        <v>39</v>
      </c>
      <c r="H1064">
        <v>29</v>
      </c>
      <c r="I1064">
        <v>5000</v>
      </c>
      <c r="J1064">
        <v>5</v>
      </c>
      <c r="K1064">
        <v>137750</v>
      </c>
      <c r="L1064">
        <v>68875</v>
      </c>
      <c r="M1064">
        <v>68875</v>
      </c>
      <c r="N1064" t="s">
        <v>49</v>
      </c>
      <c r="O1064" t="s">
        <v>50</v>
      </c>
      <c r="P1064" t="s">
        <v>24</v>
      </c>
      <c r="Q1064" t="str">
        <f>TEXT(clean_data[[#This Row],[Date]],"mmm")</f>
        <v>Apr</v>
      </c>
      <c r="R1064">
        <f>YEAR(clean_data[[#This Row],[Date]])</f>
        <v>2022</v>
      </c>
      <c r="S1064" s="2">
        <f>clean_data[[#This Row],[Profit]]/clean_data[[#This Row],[Revenue]]</f>
        <v>0.5</v>
      </c>
      <c r="T1064" t="str" cm="1">
        <f t="array" ref="T1064">_xlfn.IFS(clean_data[[#This Row],[Revenue]]&lt;300000,"Small",
     clean_data[[#This Row],[Revenue]]&lt;700000,"Medium",
     TRUE,"Large")</f>
        <v>Small</v>
      </c>
      <c r="U1064" t="str" cm="1">
        <f t="array" ref="U1064">_xlfn.IFS(clean_data[[#This Row],[profit margin%]]&lt;0.5,"Low Profit",
     clean_data[[#This Row],[profit margin%]]&lt;0.6,"Medium Profit",
     TRUE,"High Profit")</f>
        <v>Medium Profit</v>
      </c>
      <c r="V1064" t="str">
        <f>TEXT(clean_data[[#This Row],[Date]],"mmm-yyyy")</f>
        <v>Apr-2022</v>
      </c>
      <c r="W1064" s="8">
        <f>EOMONTH(clean_data[[#This Row],[Date]],-1)+1</f>
        <v>44652</v>
      </c>
    </row>
    <row r="1065" spans="1:23" x14ac:dyDescent="0.3">
      <c r="A1065" t="s">
        <v>1137</v>
      </c>
      <c r="B1065" s="1">
        <v>45509</v>
      </c>
      <c r="C1065" t="s">
        <v>46</v>
      </c>
      <c r="D1065" t="s">
        <v>47</v>
      </c>
      <c r="E1065" t="s">
        <v>78</v>
      </c>
      <c r="F1065" t="s">
        <v>28</v>
      </c>
      <c r="G1065" t="s">
        <v>87</v>
      </c>
      <c r="H1065">
        <v>8</v>
      </c>
      <c r="I1065">
        <v>45000</v>
      </c>
      <c r="J1065">
        <v>0</v>
      </c>
      <c r="K1065">
        <v>360000</v>
      </c>
      <c r="L1065">
        <v>198000</v>
      </c>
      <c r="M1065">
        <v>162000</v>
      </c>
      <c r="N1065" t="s">
        <v>22</v>
      </c>
      <c r="O1065" t="s">
        <v>67</v>
      </c>
      <c r="P1065" t="s">
        <v>24</v>
      </c>
      <c r="Q1065" t="str">
        <f>TEXT(clean_data[[#This Row],[Date]],"mmm")</f>
        <v>Aug</v>
      </c>
      <c r="R1065">
        <f>YEAR(clean_data[[#This Row],[Date]])</f>
        <v>2024</v>
      </c>
      <c r="S1065" s="2">
        <f>clean_data[[#This Row],[Profit]]/clean_data[[#This Row],[Revenue]]</f>
        <v>0.45</v>
      </c>
      <c r="T1065" t="str" cm="1">
        <f t="array" ref="T1065">_xlfn.IFS(clean_data[[#This Row],[Revenue]]&lt;300000,"Small",
     clean_data[[#This Row],[Revenue]]&lt;700000,"Medium",
     TRUE,"Large")</f>
        <v>Medium</v>
      </c>
      <c r="U1065" t="str" cm="1">
        <f t="array" ref="U1065">_xlfn.IFS(clean_data[[#This Row],[profit margin%]]&lt;0.5,"Low Profit",
     clean_data[[#This Row],[profit margin%]]&lt;0.6,"Medium Profit",
     TRUE,"High Profit")</f>
        <v>Low Profit</v>
      </c>
      <c r="V1065" t="str">
        <f>TEXT(clean_data[[#This Row],[Date]],"mmm-yyyy")</f>
        <v>Aug-2024</v>
      </c>
      <c r="W1065" s="8">
        <f>EOMONTH(clean_data[[#This Row],[Date]],-1)+1</f>
        <v>45505</v>
      </c>
    </row>
    <row r="1066" spans="1:23" x14ac:dyDescent="0.3">
      <c r="A1066" t="s">
        <v>1138</v>
      </c>
      <c r="B1066" s="1">
        <v>45431</v>
      </c>
      <c r="C1066" t="s">
        <v>17</v>
      </c>
      <c r="D1066" t="s">
        <v>18</v>
      </c>
      <c r="E1066" t="s">
        <v>111</v>
      </c>
      <c r="F1066" t="s">
        <v>20</v>
      </c>
      <c r="G1066" t="s">
        <v>21</v>
      </c>
      <c r="H1066">
        <v>46</v>
      </c>
      <c r="I1066">
        <v>3500</v>
      </c>
      <c r="J1066">
        <v>10</v>
      </c>
      <c r="K1066">
        <v>144900</v>
      </c>
      <c r="L1066">
        <v>57960</v>
      </c>
      <c r="M1066">
        <v>86940</v>
      </c>
      <c r="N1066" t="s">
        <v>30</v>
      </c>
      <c r="O1066" t="s">
        <v>50</v>
      </c>
      <c r="P1066" t="s">
        <v>24</v>
      </c>
      <c r="Q1066" t="str">
        <f>TEXT(clean_data[[#This Row],[Date]],"mmm")</f>
        <v>May</v>
      </c>
      <c r="R1066">
        <f>YEAR(clean_data[[#This Row],[Date]])</f>
        <v>2024</v>
      </c>
      <c r="S1066" s="2">
        <f>clean_data[[#This Row],[Profit]]/clean_data[[#This Row],[Revenue]]</f>
        <v>0.6</v>
      </c>
      <c r="T1066" t="str" cm="1">
        <f t="array" ref="T1066">_xlfn.IFS(clean_data[[#This Row],[Revenue]]&lt;300000,"Small",
     clean_data[[#This Row],[Revenue]]&lt;700000,"Medium",
     TRUE,"Large")</f>
        <v>Small</v>
      </c>
      <c r="U1066" t="str" cm="1">
        <f t="array" ref="U1066">_xlfn.IFS(clean_data[[#This Row],[profit margin%]]&lt;0.5,"Low Profit",
     clean_data[[#This Row],[profit margin%]]&lt;0.6,"Medium Profit",
     TRUE,"High Profit")</f>
        <v>High Profit</v>
      </c>
      <c r="V1066" t="str">
        <f>TEXT(clean_data[[#This Row],[Date]],"mmm-yyyy")</f>
        <v>May-2024</v>
      </c>
      <c r="W1066" s="8">
        <f>EOMONTH(clean_data[[#This Row],[Date]],-1)+1</f>
        <v>45413</v>
      </c>
    </row>
    <row r="1067" spans="1:23" x14ac:dyDescent="0.3">
      <c r="A1067" t="s">
        <v>1139</v>
      </c>
      <c r="B1067" s="1">
        <v>45619</v>
      </c>
      <c r="C1067" t="s">
        <v>26</v>
      </c>
      <c r="D1067" t="s">
        <v>27</v>
      </c>
      <c r="E1067" t="s">
        <v>70</v>
      </c>
      <c r="F1067" t="s">
        <v>28</v>
      </c>
      <c r="G1067" t="s">
        <v>95</v>
      </c>
      <c r="H1067">
        <v>33</v>
      </c>
      <c r="I1067">
        <v>75000</v>
      </c>
      <c r="J1067">
        <v>15</v>
      </c>
      <c r="K1067">
        <v>2103750</v>
      </c>
      <c r="L1067">
        <v>1157062.5</v>
      </c>
      <c r="M1067">
        <v>946687.5</v>
      </c>
      <c r="N1067" t="s">
        <v>22</v>
      </c>
      <c r="O1067" t="s">
        <v>35</v>
      </c>
      <c r="P1067" t="s">
        <v>24</v>
      </c>
      <c r="Q1067" t="str">
        <f>TEXT(clean_data[[#This Row],[Date]],"mmm")</f>
        <v>Nov</v>
      </c>
      <c r="R1067">
        <f>YEAR(clean_data[[#This Row],[Date]])</f>
        <v>2024</v>
      </c>
      <c r="S1067" s="2">
        <f>clean_data[[#This Row],[Profit]]/clean_data[[#This Row],[Revenue]]</f>
        <v>0.45</v>
      </c>
      <c r="T1067" t="str" cm="1">
        <f t="array" ref="T1067">_xlfn.IFS(clean_data[[#This Row],[Revenue]]&lt;300000,"Small",
     clean_data[[#This Row],[Revenue]]&lt;700000,"Medium",
     TRUE,"Large")</f>
        <v>Large</v>
      </c>
      <c r="U1067" t="str" cm="1">
        <f t="array" ref="U1067">_xlfn.IFS(clean_data[[#This Row],[profit margin%]]&lt;0.5,"Low Profit",
     clean_data[[#This Row],[profit margin%]]&lt;0.6,"Medium Profit",
     TRUE,"High Profit")</f>
        <v>Low Profit</v>
      </c>
      <c r="V1067" t="str">
        <f>TEXT(clean_data[[#This Row],[Date]],"mmm-yyyy")</f>
        <v>Nov-2024</v>
      </c>
      <c r="W1067" s="8">
        <f>EOMONTH(clean_data[[#This Row],[Date]],-1)+1</f>
        <v>45597</v>
      </c>
    </row>
    <row r="1068" spans="1:23" x14ac:dyDescent="0.3">
      <c r="A1068" t="s">
        <v>1140</v>
      </c>
      <c r="B1068" s="1">
        <v>45023</v>
      </c>
      <c r="C1068" t="s">
        <v>17</v>
      </c>
      <c r="D1068" t="s">
        <v>42</v>
      </c>
      <c r="E1068" t="s">
        <v>70</v>
      </c>
      <c r="F1068" t="s">
        <v>65</v>
      </c>
      <c r="G1068" t="s">
        <v>117</v>
      </c>
      <c r="H1068">
        <v>42</v>
      </c>
      <c r="I1068">
        <v>1200</v>
      </c>
      <c r="J1068">
        <v>15</v>
      </c>
      <c r="K1068">
        <v>42840</v>
      </c>
      <c r="L1068">
        <v>19278</v>
      </c>
      <c r="M1068">
        <v>23562</v>
      </c>
      <c r="N1068" t="s">
        <v>30</v>
      </c>
      <c r="O1068" t="s">
        <v>35</v>
      </c>
      <c r="P1068" t="s">
        <v>24</v>
      </c>
      <c r="Q1068" t="str">
        <f>TEXT(clean_data[[#This Row],[Date]],"mmm")</f>
        <v>Apr</v>
      </c>
      <c r="R1068">
        <f>YEAR(clean_data[[#This Row],[Date]])</f>
        <v>2023</v>
      </c>
      <c r="S1068" s="2">
        <f>clean_data[[#This Row],[Profit]]/clean_data[[#This Row],[Revenue]]</f>
        <v>0.55000000000000004</v>
      </c>
      <c r="T1068" t="str" cm="1">
        <f t="array" ref="T1068">_xlfn.IFS(clean_data[[#This Row],[Revenue]]&lt;300000,"Small",
     clean_data[[#This Row],[Revenue]]&lt;700000,"Medium",
     TRUE,"Large")</f>
        <v>Small</v>
      </c>
      <c r="U1068" t="str" cm="1">
        <f t="array" ref="U1068">_xlfn.IFS(clean_data[[#This Row],[profit margin%]]&lt;0.5,"Low Profit",
     clean_data[[#This Row],[profit margin%]]&lt;0.6,"Medium Profit",
     TRUE,"High Profit")</f>
        <v>Medium Profit</v>
      </c>
      <c r="V1068" t="str">
        <f>TEXT(clean_data[[#This Row],[Date]],"mmm-yyyy")</f>
        <v>Apr-2023</v>
      </c>
      <c r="W1068" s="8">
        <f>EOMONTH(clean_data[[#This Row],[Date]],-1)+1</f>
        <v>45017</v>
      </c>
    </row>
    <row r="1069" spans="1:23" x14ac:dyDescent="0.3">
      <c r="A1069" t="s">
        <v>1141</v>
      </c>
      <c r="B1069" s="1">
        <v>45189</v>
      </c>
      <c r="C1069" t="s">
        <v>17</v>
      </c>
      <c r="D1069" t="s">
        <v>37</v>
      </c>
      <c r="E1069" t="s">
        <v>32</v>
      </c>
      <c r="F1069" t="s">
        <v>33</v>
      </c>
      <c r="G1069" t="s">
        <v>48</v>
      </c>
      <c r="H1069">
        <v>19</v>
      </c>
      <c r="I1069">
        <v>1500</v>
      </c>
      <c r="J1069">
        <v>20</v>
      </c>
      <c r="K1069">
        <v>22800</v>
      </c>
      <c r="L1069">
        <v>11400</v>
      </c>
      <c r="M1069">
        <v>11400</v>
      </c>
      <c r="N1069" t="s">
        <v>30</v>
      </c>
      <c r="O1069" t="s">
        <v>50</v>
      </c>
      <c r="P1069" t="s">
        <v>24</v>
      </c>
      <c r="Q1069" t="str">
        <f>TEXT(clean_data[[#This Row],[Date]],"mmm")</f>
        <v>Sep</v>
      </c>
      <c r="R1069">
        <f>YEAR(clean_data[[#This Row],[Date]])</f>
        <v>2023</v>
      </c>
      <c r="S1069" s="2">
        <f>clean_data[[#This Row],[Profit]]/clean_data[[#This Row],[Revenue]]</f>
        <v>0.5</v>
      </c>
      <c r="T1069" t="str" cm="1">
        <f t="array" ref="T1069">_xlfn.IFS(clean_data[[#This Row],[Revenue]]&lt;300000,"Small",
     clean_data[[#This Row],[Revenue]]&lt;700000,"Medium",
     TRUE,"Large")</f>
        <v>Small</v>
      </c>
      <c r="U1069" t="str" cm="1">
        <f t="array" ref="U1069">_xlfn.IFS(clean_data[[#This Row],[profit margin%]]&lt;0.5,"Low Profit",
     clean_data[[#This Row],[profit margin%]]&lt;0.6,"Medium Profit",
     TRUE,"High Profit")</f>
        <v>Medium Profit</v>
      </c>
      <c r="V1069" t="str">
        <f>TEXT(clean_data[[#This Row],[Date]],"mmm-yyyy")</f>
        <v>Sep-2023</v>
      </c>
      <c r="W1069" s="8">
        <f>EOMONTH(clean_data[[#This Row],[Date]],-1)+1</f>
        <v>45170</v>
      </c>
    </row>
    <row r="1070" spans="1:23" x14ac:dyDescent="0.3">
      <c r="A1070" t="s">
        <v>1142</v>
      </c>
      <c r="B1070" s="1">
        <v>44630</v>
      </c>
      <c r="C1070" t="s">
        <v>46</v>
      </c>
      <c r="D1070" t="s">
        <v>47</v>
      </c>
      <c r="E1070" t="s">
        <v>52</v>
      </c>
      <c r="F1070" t="s">
        <v>20</v>
      </c>
      <c r="G1070" t="s">
        <v>61</v>
      </c>
      <c r="H1070">
        <v>33</v>
      </c>
      <c r="I1070">
        <v>800</v>
      </c>
      <c r="J1070">
        <v>20</v>
      </c>
      <c r="K1070">
        <v>21120</v>
      </c>
      <c r="L1070">
        <v>8448</v>
      </c>
      <c r="M1070">
        <v>12672</v>
      </c>
      <c r="N1070" t="s">
        <v>22</v>
      </c>
      <c r="O1070" t="s">
        <v>50</v>
      </c>
      <c r="P1070" t="s">
        <v>40</v>
      </c>
      <c r="Q1070" t="str">
        <f>TEXT(clean_data[[#This Row],[Date]],"mmm")</f>
        <v>Mar</v>
      </c>
      <c r="R1070">
        <f>YEAR(clean_data[[#This Row],[Date]])</f>
        <v>2022</v>
      </c>
      <c r="S1070" s="2">
        <f>clean_data[[#This Row],[Profit]]/clean_data[[#This Row],[Revenue]]</f>
        <v>0.6</v>
      </c>
      <c r="T1070" t="str" cm="1">
        <f t="array" ref="T1070">_xlfn.IFS(clean_data[[#This Row],[Revenue]]&lt;300000,"Small",
     clean_data[[#This Row],[Revenue]]&lt;700000,"Medium",
     TRUE,"Large")</f>
        <v>Small</v>
      </c>
      <c r="U1070" t="str" cm="1">
        <f t="array" ref="U1070">_xlfn.IFS(clean_data[[#This Row],[profit margin%]]&lt;0.5,"Low Profit",
     clean_data[[#This Row],[profit margin%]]&lt;0.6,"Medium Profit",
     TRUE,"High Profit")</f>
        <v>High Profit</v>
      </c>
      <c r="V1070" t="str">
        <f>TEXT(clean_data[[#This Row],[Date]],"mmm-yyyy")</f>
        <v>Mar-2022</v>
      </c>
      <c r="W1070" s="8">
        <f>EOMONTH(clean_data[[#This Row],[Date]],-1)+1</f>
        <v>44621</v>
      </c>
    </row>
    <row r="1071" spans="1:23" x14ac:dyDescent="0.3">
      <c r="A1071" t="s">
        <v>1143</v>
      </c>
      <c r="B1071" s="1">
        <v>44970</v>
      </c>
      <c r="C1071" t="s">
        <v>26</v>
      </c>
      <c r="D1071" t="s">
        <v>27</v>
      </c>
      <c r="E1071" t="s">
        <v>32</v>
      </c>
      <c r="F1071" t="s">
        <v>28</v>
      </c>
      <c r="G1071" t="s">
        <v>95</v>
      </c>
      <c r="H1071">
        <v>15</v>
      </c>
      <c r="I1071">
        <v>75000</v>
      </c>
      <c r="J1071">
        <v>20</v>
      </c>
      <c r="K1071">
        <v>900000</v>
      </c>
      <c r="L1071">
        <v>495000</v>
      </c>
      <c r="M1071">
        <v>405000</v>
      </c>
      <c r="N1071" t="s">
        <v>22</v>
      </c>
      <c r="O1071" t="s">
        <v>67</v>
      </c>
      <c r="P1071" t="s">
        <v>40</v>
      </c>
      <c r="Q1071" t="str">
        <f>TEXT(clean_data[[#This Row],[Date]],"mmm")</f>
        <v>Feb</v>
      </c>
      <c r="R1071">
        <f>YEAR(clean_data[[#This Row],[Date]])</f>
        <v>2023</v>
      </c>
      <c r="S1071" s="2">
        <f>clean_data[[#This Row],[Profit]]/clean_data[[#This Row],[Revenue]]</f>
        <v>0.45</v>
      </c>
      <c r="T1071" t="str" cm="1">
        <f t="array" ref="T1071">_xlfn.IFS(clean_data[[#This Row],[Revenue]]&lt;300000,"Small",
     clean_data[[#This Row],[Revenue]]&lt;700000,"Medium",
     TRUE,"Large")</f>
        <v>Large</v>
      </c>
      <c r="U1071" t="str" cm="1">
        <f t="array" ref="U1071">_xlfn.IFS(clean_data[[#This Row],[profit margin%]]&lt;0.5,"Low Profit",
     clean_data[[#This Row],[profit margin%]]&lt;0.6,"Medium Profit",
     TRUE,"High Profit")</f>
        <v>Low Profit</v>
      </c>
      <c r="V1071" t="str">
        <f>TEXT(clean_data[[#This Row],[Date]],"mmm-yyyy")</f>
        <v>Feb-2023</v>
      </c>
      <c r="W1071" s="8">
        <f>EOMONTH(clean_data[[#This Row],[Date]],-1)+1</f>
        <v>44958</v>
      </c>
    </row>
    <row r="1072" spans="1:23" x14ac:dyDescent="0.3">
      <c r="A1072" t="s">
        <v>1144</v>
      </c>
      <c r="B1072" s="1">
        <v>45369</v>
      </c>
      <c r="C1072" t="s">
        <v>26</v>
      </c>
      <c r="D1072" t="s">
        <v>27</v>
      </c>
      <c r="E1072" t="s">
        <v>38</v>
      </c>
      <c r="F1072" t="s">
        <v>65</v>
      </c>
      <c r="G1072" t="s">
        <v>79</v>
      </c>
      <c r="H1072">
        <v>34</v>
      </c>
      <c r="I1072">
        <v>900</v>
      </c>
      <c r="J1072">
        <v>15</v>
      </c>
      <c r="K1072">
        <v>26010</v>
      </c>
      <c r="L1072">
        <v>11704.5</v>
      </c>
      <c r="M1072">
        <v>14305.5</v>
      </c>
      <c r="N1072" t="s">
        <v>49</v>
      </c>
      <c r="O1072" t="s">
        <v>44</v>
      </c>
      <c r="P1072" t="s">
        <v>24</v>
      </c>
      <c r="Q1072" t="str">
        <f>TEXT(clean_data[[#This Row],[Date]],"mmm")</f>
        <v>Mar</v>
      </c>
      <c r="R1072">
        <f>YEAR(clean_data[[#This Row],[Date]])</f>
        <v>2024</v>
      </c>
      <c r="S1072" s="2">
        <f>clean_data[[#This Row],[Profit]]/clean_data[[#This Row],[Revenue]]</f>
        <v>0.55000000000000004</v>
      </c>
      <c r="T1072" t="str" cm="1">
        <f t="array" ref="T1072">_xlfn.IFS(clean_data[[#This Row],[Revenue]]&lt;300000,"Small",
     clean_data[[#This Row],[Revenue]]&lt;700000,"Medium",
     TRUE,"Large")</f>
        <v>Small</v>
      </c>
      <c r="U1072" t="str" cm="1">
        <f t="array" ref="U1072">_xlfn.IFS(clean_data[[#This Row],[profit margin%]]&lt;0.5,"Low Profit",
     clean_data[[#This Row],[profit margin%]]&lt;0.6,"Medium Profit",
     TRUE,"High Profit")</f>
        <v>Medium Profit</v>
      </c>
      <c r="V1072" t="str">
        <f>TEXT(clean_data[[#This Row],[Date]],"mmm-yyyy")</f>
        <v>Mar-2024</v>
      </c>
      <c r="W1072" s="8">
        <f>EOMONTH(clean_data[[#This Row],[Date]],-1)+1</f>
        <v>45352</v>
      </c>
    </row>
    <row r="1073" spans="1:23" x14ac:dyDescent="0.3">
      <c r="A1073" t="s">
        <v>1145</v>
      </c>
      <c r="B1073" s="1">
        <v>45115</v>
      </c>
      <c r="C1073" t="s">
        <v>17</v>
      </c>
      <c r="D1073" t="s">
        <v>18</v>
      </c>
      <c r="E1073" t="s">
        <v>70</v>
      </c>
      <c r="F1073" t="s">
        <v>20</v>
      </c>
      <c r="G1073" t="s">
        <v>115</v>
      </c>
      <c r="H1073">
        <v>21</v>
      </c>
      <c r="I1073">
        <v>2500</v>
      </c>
      <c r="J1073">
        <v>0</v>
      </c>
      <c r="K1073">
        <v>52500</v>
      </c>
      <c r="L1073">
        <v>21000</v>
      </c>
      <c r="M1073">
        <v>31500</v>
      </c>
      <c r="N1073" t="s">
        <v>49</v>
      </c>
      <c r="O1073" t="s">
        <v>23</v>
      </c>
      <c r="P1073" t="s">
        <v>24</v>
      </c>
      <c r="Q1073" t="str">
        <f>TEXT(clean_data[[#This Row],[Date]],"mmm")</f>
        <v>Jul</v>
      </c>
      <c r="R1073">
        <f>YEAR(clean_data[[#This Row],[Date]])</f>
        <v>2023</v>
      </c>
      <c r="S1073" s="2">
        <f>clean_data[[#This Row],[Profit]]/clean_data[[#This Row],[Revenue]]</f>
        <v>0.6</v>
      </c>
      <c r="T1073" t="str" cm="1">
        <f t="array" ref="T1073">_xlfn.IFS(clean_data[[#This Row],[Revenue]]&lt;300000,"Small",
     clean_data[[#This Row],[Revenue]]&lt;700000,"Medium",
     TRUE,"Large")</f>
        <v>Small</v>
      </c>
      <c r="U1073" t="str" cm="1">
        <f t="array" ref="U1073">_xlfn.IFS(clean_data[[#This Row],[profit margin%]]&lt;0.5,"Low Profit",
     clean_data[[#This Row],[profit margin%]]&lt;0.6,"Medium Profit",
     TRUE,"High Profit")</f>
        <v>High Profit</v>
      </c>
      <c r="V1073" t="str">
        <f>TEXT(clean_data[[#This Row],[Date]],"mmm-yyyy")</f>
        <v>Jul-2023</v>
      </c>
      <c r="W1073" s="8">
        <f>EOMONTH(clean_data[[#This Row],[Date]],-1)+1</f>
        <v>45108</v>
      </c>
    </row>
    <row r="1074" spans="1:23" x14ac:dyDescent="0.3">
      <c r="A1074" t="s">
        <v>1146</v>
      </c>
      <c r="B1074" s="1">
        <v>45263</v>
      </c>
      <c r="C1074" t="s">
        <v>17</v>
      </c>
      <c r="D1074" t="s">
        <v>42</v>
      </c>
      <c r="E1074" t="s">
        <v>111</v>
      </c>
      <c r="F1074" t="s">
        <v>28</v>
      </c>
      <c r="G1074" t="s">
        <v>71</v>
      </c>
      <c r="H1074">
        <v>42</v>
      </c>
      <c r="I1074">
        <v>35000</v>
      </c>
      <c r="J1074">
        <v>15</v>
      </c>
      <c r="K1074">
        <v>1249500</v>
      </c>
      <c r="L1074">
        <v>687225</v>
      </c>
      <c r="M1074">
        <v>562275</v>
      </c>
      <c r="N1074" t="s">
        <v>30</v>
      </c>
      <c r="O1074" t="s">
        <v>23</v>
      </c>
      <c r="P1074" t="s">
        <v>40</v>
      </c>
      <c r="Q1074" t="str">
        <f>TEXT(clean_data[[#This Row],[Date]],"mmm")</f>
        <v>Dec</v>
      </c>
      <c r="R1074">
        <f>YEAR(clean_data[[#This Row],[Date]])</f>
        <v>2023</v>
      </c>
      <c r="S1074" s="2">
        <f>clean_data[[#This Row],[Profit]]/clean_data[[#This Row],[Revenue]]</f>
        <v>0.45</v>
      </c>
      <c r="T1074" t="str" cm="1">
        <f t="array" ref="T1074">_xlfn.IFS(clean_data[[#This Row],[Revenue]]&lt;300000,"Small",
     clean_data[[#This Row],[Revenue]]&lt;700000,"Medium",
     TRUE,"Large")</f>
        <v>Large</v>
      </c>
      <c r="U1074" t="str" cm="1">
        <f t="array" ref="U1074">_xlfn.IFS(clean_data[[#This Row],[profit margin%]]&lt;0.5,"Low Profit",
     clean_data[[#This Row],[profit margin%]]&lt;0.6,"Medium Profit",
     TRUE,"High Profit")</f>
        <v>Low Profit</v>
      </c>
      <c r="V1074" t="str">
        <f>TEXT(clean_data[[#This Row],[Date]],"mmm-yyyy")</f>
        <v>Dec-2023</v>
      </c>
      <c r="W1074" s="8">
        <f>EOMONTH(clean_data[[#This Row],[Date]],-1)+1</f>
        <v>45261</v>
      </c>
    </row>
    <row r="1075" spans="1:23" x14ac:dyDescent="0.3">
      <c r="A1075" t="s">
        <v>1147</v>
      </c>
      <c r="B1075" s="1">
        <v>45359</v>
      </c>
      <c r="C1075" t="s">
        <v>46</v>
      </c>
      <c r="D1075" t="s">
        <v>47</v>
      </c>
      <c r="E1075" t="s">
        <v>32</v>
      </c>
      <c r="F1075" t="s">
        <v>20</v>
      </c>
      <c r="G1075" t="s">
        <v>53</v>
      </c>
      <c r="H1075">
        <v>17</v>
      </c>
      <c r="I1075">
        <v>600</v>
      </c>
      <c r="J1075">
        <v>10</v>
      </c>
      <c r="K1075">
        <v>9180</v>
      </c>
      <c r="L1075">
        <v>3672</v>
      </c>
      <c r="M1075">
        <v>5508</v>
      </c>
      <c r="N1075" t="s">
        <v>49</v>
      </c>
      <c r="O1075" t="s">
        <v>35</v>
      </c>
      <c r="P1075" t="s">
        <v>24</v>
      </c>
      <c r="Q1075" t="str">
        <f>TEXT(clean_data[[#This Row],[Date]],"mmm")</f>
        <v>Mar</v>
      </c>
      <c r="R1075">
        <f>YEAR(clean_data[[#This Row],[Date]])</f>
        <v>2024</v>
      </c>
      <c r="S1075" s="2">
        <f>clean_data[[#This Row],[Profit]]/clean_data[[#This Row],[Revenue]]</f>
        <v>0.6</v>
      </c>
      <c r="T1075" t="str" cm="1">
        <f t="array" ref="T1075">_xlfn.IFS(clean_data[[#This Row],[Revenue]]&lt;300000,"Small",
     clean_data[[#This Row],[Revenue]]&lt;700000,"Medium",
     TRUE,"Large")</f>
        <v>Small</v>
      </c>
      <c r="U1075" t="str" cm="1">
        <f t="array" ref="U1075">_xlfn.IFS(clean_data[[#This Row],[profit margin%]]&lt;0.5,"Low Profit",
     clean_data[[#This Row],[profit margin%]]&lt;0.6,"Medium Profit",
     TRUE,"High Profit")</f>
        <v>High Profit</v>
      </c>
      <c r="V1075" t="str">
        <f>TEXT(clean_data[[#This Row],[Date]],"mmm-yyyy")</f>
        <v>Mar-2024</v>
      </c>
      <c r="W1075" s="8">
        <f>EOMONTH(clean_data[[#This Row],[Date]],-1)+1</f>
        <v>45352</v>
      </c>
    </row>
    <row r="1076" spans="1:23" x14ac:dyDescent="0.3">
      <c r="A1076" t="s">
        <v>1148</v>
      </c>
      <c r="B1076" s="1">
        <v>44726</v>
      </c>
      <c r="C1076" t="s">
        <v>58</v>
      </c>
      <c r="D1076" t="s">
        <v>64</v>
      </c>
      <c r="E1076" t="s">
        <v>78</v>
      </c>
      <c r="F1076" t="s">
        <v>65</v>
      </c>
      <c r="G1076" t="s">
        <v>104</v>
      </c>
      <c r="H1076">
        <v>12</v>
      </c>
      <c r="I1076">
        <v>3000</v>
      </c>
      <c r="J1076">
        <v>15</v>
      </c>
      <c r="K1076">
        <v>30600</v>
      </c>
      <c r="L1076">
        <v>13770</v>
      </c>
      <c r="M1076">
        <v>16830</v>
      </c>
      <c r="N1076" t="s">
        <v>30</v>
      </c>
      <c r="O1076" t="s">
        <v>35</v>
      </c>
      <c r="P1076" t="s">
        <v>24</v>
      </c>
      <c r="Q1076" t="str">
        <f>TEXT(clean_data[[#This Row],[Date]],"mmm")</f>
        <v>Jun</v>
      </c>
      <c r="R1076">
        <f>YEAR(clean_data[[#This Row],[Date]])</f>
        <v>2022</v>
      </c>
      <c r="S1076" s="2">
        <f>clean_data[[#This Row],[Profit]]/clean_data[[#This Row],[Revenue]]</f>
        <v>0.55000000000000004</v>
      </c>
      <c r="T1076" t="str" cm="1">
        <f t="array" ref="T1076">_xlfn.IFS(clean_data[[#This Row],[Revenue]]&lt;300000,"Small",
     clean_data[[#This Row],[Revenue]]&lt;700000,"Medium",
     TRUE,"Large")</f>
        <v>Small</v>
      </c>
      <c r="U1076" t="str" cm="1">
        <f t="array" ref="U1076">_xlfn.IFS(clean_data[[#This Row],[profit margin%]]&lt;0.5,"Low Profit",
     clean_data[[#This Row],[profit margin%]]&lt;0.6,"Medium Profit",
     TRUE,"High Profit")</f>
        <v>Medium Profit</v>
      </c>
      <c r="V1076" t="str">
        <f>TEXT(clean_data[[#This Row],[Date]],"mmm-yyyy")</f>
        <v>Jun-2022</v>
      </c>
      <c r="W1076" s="8">
        <f>EOMONTH(clean_data[[#This Row],[Date]],-1)+1</f>
        <v>44713</v>
      </c>
    </row>
    <row r="1077" spans="1:23" x14ac:dyDescent="0.3">
      <c r="A1077" t="s">
        <v>1149</v>
      </c>
      <c r="B1077" s="1">
        <v>45360</v>
      </c>
      <c r="C1077" t="s">
        <v>58</v>
      </c>
      <c r="D1077" t="s">
        <v>64</v>
      </c>
      <c r="E1077" t="s">
        <v>52</v>
      </c>
      <c r="F1077" t="s">
        <v>20</v>
      </c>
      <c r="G1077" t="s">
        <v>21</v>
      </c>
      <c r="H1077">
        <v>28</v>
      </c>
      <c r="I1077">
        <v>3500</v>
      </c>
      <c r="J1077">
        <v>0</v>
      </c>
      <c r="K1077">
        <v>98000</v>
      </c>
      <c r="L1077">
        <v>39200</v>
      </c>
      <c r="M1077">
        <v>58800</v>
      </c>
      <c r="N1077" t="s">
        <v>30</v>
      </c>
      <c r="O1077" t="s">
        <v>44</v>
      </c>
      <c r="P1077" t="s">
        <v>24</v>
      </c>
      <c r="Q1077" t="str">
        <f>TEXT(clean_data[[#This Row],[Date]],"mmm")</f>
        <v>Mar</v>
      </c>
      <c r="R1077">
        <f>YEAR(clean_data[[#This Row],[Date]])</f>
        <v>2024</v>
      </c>
      <c r="S1077" s="2">
        <f>clean_data[[#This Row],[Profit]]/clean_data[[#This Row],[Revenue]]</f>
        <v>0.6</v>
      </c>
      <c r="T1077" t="str" cm="1">
        <f t="array" ref="T1077">_xlfn.IFS(clean_data[[#This Row],[Revenue]]&lt;300000,"Small",
     clean_data[[#This Row],[Revenue]]&lt;700000,"Medium",
     TRUE,"Large")</f>
        <v>Small</v>
      </c>
      <c r="U1077" t="str" cm="1">
        <f t="array" ref="U1077">_xlfn.IFS(clean_data[[#This Row],[profit margin%]]&lt;0.5,"Low Profit",
     clean_data[[#This Row],[profit margin%]]&lt;0.6,"Medium Profit",
     TRUE,"High Profit")</f>
        <v>High Profit</v>
      </c>
      <c r="V1077" t="str">
        <f>TEXT(clean_data[[#This Row],[Date]],"mmm-yyyy")</f>
        <v>Mar-2024</v>
      </c>
      <c r="W1077" s="8">
        <f>EOMONTH(clean_data[[#This Row],[Date]],-1)+1</f>
        <v>45352</v>
      </c>
    </row>
    <row r="1078" spans="1:23" x14ac:dyDescent="0.3">
      <c r="A1078" t="s">
        <v>1150</v>
      </c>
      <c r="B1078" s="1">
        <v>45563</v>
      </c>
      <c r="C1078" t="s">
        <v>58</v>
      </c>
      <c r="D1078" t="s">
        <v>59</v>
      </c>
      <c r="E1078" t="s">
        <v>70</v>
      </c>
      <c r="F1078" t="s">
        <v>20</v>
      </c>
      <c r="G1078" t="s">
        <v>115</v>
      </c>
      <c r="H1078">
        <v>45</v>
      </c>
      <c r="I1078">
        <v>2500</v>
      </c>
      <c r="J1078">
        <v>20</v>
      </c>
      <c r="K1078">
        <v>90000</v>
      </c>
      <c r="L1078">
        <v>36000</v>
      </c>
      <c r="M1078">
        <v>54000</v>
      </c>
      <c r="N1078" t="s">
        <v>22</v>
      </c>
      <c r="O1078" t="s">
        <v>50</v>
      </c>
      <c r="P1078" t="s">
        <v>24</v>
      </c>
      <c r="Q1078" t="str">
        <f>TEXT(clean_data[[#This Row],[Date]],"mmm")</f>
        <v>Sep</v>
      </c>
      <c r="R1078">
        <f>YEAR(clean_data[[#This Row],[Date]])</f>
        <v>2024</v>
      </c>
      <c r="S1078" s="2">
        <f>clean_data[[#This Row],[Profit]]/clean_data[[#This Row],[Revenue]]</f>
        <v>0.6</v>
      </c>
      <c r="T1078" t="str" cm="1">
        <f t="array" ref="T1078">_xlfn.IFS(clean_data[[#This Row],[Revenue]]&lt;300000,"Small",
     clean_data[[#This Row],[Revenue]]&lt;700000,"Medium",
     TRUE,"Large")</f>
        <v>Small</v>
      </c>
      <c r="U1078" t="str" cm="1">
        <f t="array" ref="U1078">_xlfn.IFS(clean_data[[#This Row],[profit margin%]]&lt;0.5,"Low Profit",
     clean_data[[#This Row],[profit margin%]]&lt;0.6,"Medium Profit",
     TRUE,"High Profit")</f>
        <v>High Profit</v>
      </c>
      <c r="V1078" t="str">
        <f>TEXT(clean_data[[#This Row],[Date]],"mmm-yyyy")</f>
        <v>Sep-2024</v>
      </c>
      <c r="W1078" s="8">
        <f>EOMONTH(clean_data[[#This Row],[Date]],-1)+1</f>
        <v>45536</v>
      </c>
    </row>
    <row r="1079" spans="1:23" x14ac:dyDescent="0.3">
      <c r="A1079" t="s">
        <v>1151</v>
      </c>
      <c r="B1079" s="1">
        <v>44784</v>
      </c>
      <c r="C1079" t="s">
        <v>17</v>
      </c>
      <c r="D1079" t="s">
        <v>42</v>
      </c>
      <c r="E1079" t="s">
        <v>38</v>
      </c>
      <c r="F1079" t="s">
        <v>28</v>
      </c>
      <c r="G1079" t="s">
        <v>95</v>
      </c>
      <c r="H1079">
        <v>5</v>
      </c>
      <c r="I1079">
        <v>75000</v>
      </c>
      <c r="J1079">
        <v>10</v>
      </c>
      <c r="K1079">
        <v>337500</v>
      </c>
      <c r="L1079">
        <v>185625</v>
      </c>
      <c r="M1079">
        <v>151875</v>
      </c>
      <c r="N1079" t="s">
        <v>49</v>
      </c>
      <c r="O1079" t="s">
        <v>23</v>
      </c>
      <c r="P1079" t="s">
        <v>24</v>
      </c>
      <c r="Q1079" t="str">
        <f>TEXT(clean_data[[#This Row],[Date]],"mmm")</f>
        <v>Aug</v>
      </c>
      <c r="R1079">
        <f>YEAR(clean_data[[#This Row],[Date]])</f>
        <v>2022</v>
      </c>
      <c r="S1079" s="2">
        <f>clean_data[[#This Row],[Profit]]/clean_data[[#This Row],[Revenue]]</f>
        <v>0.45</v>
      </c>
      <c r="T1079" t="str" cm="1">
        <f t="array" ref="T1079">_xlfn.IFS(clean_data[[#This Row],[Revenue]]&lt;300000,"Small",
     clean_data[[#This Row],[Revenue]]&lt;700000,"Medium",
     TRUE,"Large")</f>
        <v>Medium</v>
      </c>
      <c r="U1079" t="str" cm="1">
        <f t="array" ref="U1079">_xlfn.IFS(clean_data[[#This Row],[profit margin%]]&lt;0.5,"Low Profit",
     clean_data[[#This Row],[profit margin%]]&lt;0.6,"Medium Profit",
     TRUE,"High Profit")</f>
        <v>Low Profit</v>
      </c>
      <c r="V1079" t="str">
        <f>TEXT(clean_data[[#This Row],[Date]],"mmm-yyyy")</f>
        <v>Aug-2022</v>
      </c>
      <c r="W1079" s="8">
        <f>EOMONTH(clean_data[[#This Row],[Date]],-1)+1</f>
        <v>44774</v>
      </c>
    </row>
    <row r="1080" spans="1:23" x14ac:dyDescent="0.3">
      <c r="A1080" t="s">
        <v>1152</v>
      </c>
      <c r="B1080" s="1">
        <v>45392</v>
      </c>
      <c r="C1080" t="s">
        <v>58</v>
      </c>
      <c r="D1080" t="s">
        <v>64</v>
      </c>
      <c r="E1080" t="s">
        <v>78</v>
      </c>
      <c r="F1080" t="s">
        <v>20</v>
      </c>
      <c r="G1080" t="s">
        <v>53</v>
      </c>
      <c r="H1080">
        <v>33</v>
      </c>
      <c r="I1080">
        <v>600</v>
      </c>
      <c r="J1080">
        <v>0</v>
      </c>
      <c r="K1080">
        <v>19800</v>
      </c>
      <c r="L1080">
        <v>7920</v>
      </c>
      <c r="M1080">
        <v>11880</v>
      </c>
      <c r="N1080" t="s">
        <v>30</v>
      </c>
      <c r="O1080" t="s">
        <v>67</v>
      </c>
      <c r="P1080" t="s">
        <v>24</v>
      </c>
      <c r="Q1080" t="str">
        <f>TEXT(clean_data[[#This Row],[Date]],"mmm")</f>
        <v>Apr</v>
      </c>
      <c r="R1080">
        <f>YEAR(clean_data[[#This Row],[Date]])</f>
        <v>2024</v>
      </c>
      <c r="S1080" s="2">
        <f>clean_data[[#This Row],[Profit]]/clean_data[[#This Row],[Revenue]]</f>
        <v>0.6</v>
      </c>
      <c r="T1080" t="str" cm="1">
        <f t="array" ref="T1080">_xlfn.IFS(clean_data[[#This Row],[Revenue]]&lt;300000,"Small",
     clean_data[[#This Row],[Revenue]]&lt;700000,"Medium",
     TRUE,"Large")</f>
        <v>Small</v>
      </c>
      <c r="U1080" t="str" cm="1">
        <f t="array" ref="U1080">_xlfn.IFS(clean_data[[#This Row],[profit margin%]]&lt;0.5,"Low Profit",
     clean_data[[#This Row],[profit margin%]]&lt;0.6,"Medium Profit",
     TRUE,"High Profit")</f>
        <v>High Profit</v>
      </c>
      <c r="V1080" t="str">
        <f>TEXT(clean_data[[#This Row],[Date]],"mmm-yyyy")</f>
        <v>Apr-2024</v>
      </c>
      <c r="W1080" s="8">
        <f>EOMONTH(clean_data[[#This Row],[Date]],-1)+1</f>
        <v>45383</v>
      </c>
    </row>
    <row r="1081" spans="1:23" x14ac:dyDescent="0.3">
      <c r="A1081" t="s">
        <v>1153</v>
      </c>
      <c r="B1081" s="1">
        <v>45282</v>
      </c>
      <c r="C1081" t="s">
        <v>58</v>
      </c>
      <c r="D1081" t="s">
        <v>59</v>
      </c>
      <c r="E1081" t="s">
        <v>70</v>
      </c>
      <c r="F1081" t="s">
        <v>65</v>
      </c>
      <c r="G1081" t="s">
        <v>104</v>
      </c>
      <c r="H1081">
        <v>33</v>
      </c>
      <c r="I1081">
        <v>3000</v>
      </c>
      <c r="J1081">
        <v>20</v>
      </c>
      <c r="K1081">
        <v>79200</v>
      </c>
      <c r="L1081">
        <v>35640</v>
      </c>
      <c r="M1081">
        <v>43560</v>
      </c>
      <c r="N1081" t="s">
        <v>30</v>
      </c>
      <c r="O1081" t="s">
        <v>44</v>
      </c>
      <c r="P1081" t="s">
        <v>24</v>
      </c>
      <c r="Q1081" t="str">
        <f>TEXT(clean_data[[#This Row],[Date]],"mmm")</f>
        <v>Dec</v>
      </c>
      <c r="R1081">
        <f>YEAR(clean_data[[#This Row],[Date]])</f>
        <v>2023</v>
      </c>
      <c r="S1081" s="2">
        <f>clean_data[[#This Row],[Profit]]/clean_data[[#This Row],[Revenue]]</f>
        <v>0.55000000000000004</v>
      </c>
      <c r="T1081" t="str" cm="1">
        <f t="array" ref="T1081">_xlfn.IFS(clean_data[[#This Row],[Revenue]]&lt;300000,"Small",
     clean_data[[#This Row],[Revenue]]&lt;700000,"Medium",
     TRUE,"Large")</f>
        <v>Small</v>
      </c>
      <c r="U1081" t="str" cm="1">
        <f t="array" ref="U1081">_xlfn.IFS(clean_data[[#This Row],[profit margin%]]&lt;0.5,"Low Profit",
     clean_data[[#This Row],[profit margin%]]&lt;0.6,"Medium Profit",
     TRUE,"High Profit")</f>
        <v>Medium Profit</v>
      </c>
      <c r="V1081" t="str">
        <f>TEXT(clean_data[[#This Row],[Date]],"mmm-yyyy")</f>
        <v>Dec-2023</v>
      </c>
      <c r="W1081" s="8">
        <f>EOMONTH(clean_data[[#This Row],[Date]],-1)+1</f>
        <v>45261</v>
      </c>
    </row>
    <row r="1082" spans="1:23" x14ac:dyDescent="0.3">
      <c r="A1082" t="s">
        <v>1154</v>
      </c>
      <c r="B1082" s="1">
        <v>45154</v>
      </c>
      <c r="C1082" t="s">
        <v>17</v>
      </c>
      <c r="D1082" t="s">
        <v>18</v>
      </c>
      <c r="E1082" t="s">
        <v>38</v>
      </c>
      <c r="F1082" t="s">
        <v>65</v>
      </c>
      <c r="G1082" t="s">
        <v>124</v>
      </c>
      <c r="H1082">
        <v>21</v>
      </c>
      <c r="I1082">
        <v>18000</v>
      </c>
      <c r="J1082">
        <v>15</v>
      </c>
      <c r="K1082">
        <v>321300</v>
      </c>
      <c r="L1082">
        <v>144585</v>
      </c>
      <c r="M1082">
        <v>176715</v>
      </c>
      <c r="N1082" t="s">
        <v>30</v>
      </c>
      <c r="O1082" t="s">
        <v>44</v>
      </c>
      <c r="P1082" t="s">
        <v>24</v>
      </c>
      <c r="Q1082" t="str">
        <f>TEXT(clean_data[[#This Row],[Date]],"mmm")</f>
        <v>Aug</v>
      </c>
      <c r="R1082">
        <f>YEAR(clean_data[[#This Row],[Date]])</f>
        <v>2023</v>
      </c>
      <c r="S1082" s="2">
        <f>clean_data[[#This Row],[Profit]]/clean_data[[#This Row],[Revenue]]</f>
        <v>0.55000000000000004</v>
      </c>
      <c r="T1082" t="str" cm="1">
        <f t="array" ref="T1082">_xlfn.IFS(clean_data[[#This Row],[Revenue]]&lt;300000,"Small",
     clean_data[[#This Row],[Revenue]]&lt;700000,"Medium",
     TRUE,"Large")</f>
        <v>Medium</v>
      </c>
      <c r="U1082" t="str" cm="1">
        <f t="array" ref="U1082">_xlfn.IFS(clean_data[[#This Row],[profit margin%]]&lt;0.5,"Low Profit",
     clean_data[[#This Row],[profit margin%]]&lt;0.6,"Medium Profit",
     TRUE,"High Profit")</f>
        <v>Medium Profit</v>
      </c>
      <c r="V1082" t="str">
        <f>TEXT(clean_data[[#This Row],[Date]],"mmm-yyyy")</f>
        <v>Aug-2023</v>
      </c>
      <c r="W1082" s="8">
        <f>EOMONTH(clean_data[[#This Row],[Date]],-1)+1</f>
        <v>45139</v>
      </c>
    </row>
    <row r="1083" spans="1:23" x14ac:dyDescent="0.3">
      <c r="A1083" t="s">
        <v>1155</v>
      </c>
      <c r="B1083" s="1">
        <v>44647</v>
      </c>
      <c r="C1083" t="s">
        <v>46</v>
      </c>
      <c r="D1083" t="s">
        <v>55</v>
      </c>
      <c r="E1083" t="s">
        <v>111</v>
      </c>
      <c r="F1083" t="s">
        <v>33</v>
      </c>
      <c r="G1083" t="s">
        <v>43</v>
      </c>
      <c r="H1083">
        <v>40</v>
      </c>
      <c r="I1083">
        <v>4000</v>
      </c>
      <c r="J1083">
        <v>10</v>
      </c>
      <c r="K1083">
        <v>144000</v>
      </c>
      <c r="L1083">
        <v>72000</v>
      </c>
      <c r="M1083">
        <v>72000</v>
      </c>
      <c r="N1083" t="s">
        <v>49</v>
      </c>
      <c r="O1083" t="s">
        <v>50</v>
      </c>
      <c r="P1083" t="s">
        <v>24</v>
      </c>
      <c r="Q1083" t="str">
        <f>TEXT(clean_data[[#This Row],[Date]],"mmm")</f>
        <v>Mar</v>
      </c>
      <c r="R1083">
        <f>YEAR(clean_data[[#This Row],[Date]])</f>
        <v>2022</v>
      </c>
      <c r="S1083" s="2">
        <f>clean_data[[#This Row],[Profit]]/clean_data[[#This Row],[Revenue]]</f>
        <v>0.5</v>
      </c>
      <c r="T1083" t="str" cm="1">
        <f t="array" ref="T1083">_xlfn.IFS(clean_data[[#This Row],[Revenue]]&lt;300000,"Small",
     clean_data[[#This Row],[Revenue]]&lt;700000,"Medium",
     TRUE,"Large")</f>
        <v>Small</v>
      </c>
      <c r="U1083" t="str" cm="1">
        <f t="array" ref="U1083">_xlfn.IFS(clean_data[[#This Row],[profit margin%]]&lt;0.5,"Low Profit",
     clean_data[[#This Row],[profit margin%]]&lt;0.6,"Medium Profit",
     TRUE,"High Profit")</f>
        <v>Medium Profit</v>
      </c>
      <c r="V1083" t="str">
        <f>TEXT(clean_data[[#This Row],[Date]],"mmm-yyyy")</f>
        <v>Mar-2022</v>
      </c>
      <c r="W1083" s="8">
        <f>EOMONTH(clean_data[[#This Row],[Date]],-1)+1</f>
        <v>44621</v>
      </c>
    </row>
    <row r="1084" spans="1:23" x14ac:dyDescent="0.3">
      <c r="A1084" t="s">
        <v>1156</v>
      </c>
      <c r="B1084" s="1">
        <v>44869</v>
      </c>
      <c r="C1084" t="s">
        <v>17</v>
      </c>
      <c r="D1084" t="s">
        <v>37</v>
      </c>
      <c r="E1084" t="s">
        <v>60</v>
      </c>
      <c r="F1084" t="s">
        <v>65</v>
      </c>
      <c r="G1084" t="s">
        <v>104</v>
      </c>
      <c r="H1084">
        <v>11</v>
      </c>
      <c r="I1084">
        <v>3000</v>
      </c>
      <c r="J1084">
        <v>10</v>
      </c>
      <c r="K1084">
        <v>29700</v>
      </c>
      <c r="L1084">
        <v>13365</v>
      </c>
      <c r="M1084">
        <v>16335</v>
      </c>
      <c r="N1084" t="s">
        <v>22</v>
      </c>
      <c r="O1084" t="s">
        <v>35</v>
      </c>
      <c r="P1084" t="s">
        <v>24</v>
      </c>
      <c r="Q1084" t="str">
        <f>TEXT(clean_data[[#This Row],[Date]],"mmm")</f>
        <v>Nov</v>
      </c>
      <c r="R1084">
        <f>YEAR(clean_data[[#This Row],[Date]])</f>
        <v>2022</v>
      </c>
      <c r="S1084" s="2">
        <f>clean_data[[#This Row],[Profit]]/clean_data[[#This Row],[Revenue]]</f>
        <v>0.55000000000000004</v>
      </c>
      <c r="T1084" t="str" cm="1">
        <f t="array" ref="T1084">_xlfn.IFS(clean_data[[#This Row],[Revenue]]&lt;300000,"Small",
     clean_data[[#This Row],[Revenue]]&lt;700000,"Medium",
     TRUE,"Large")</f>
        <v>Small</v>
      </c>
      <c r="U1084" t="str" cm="1">
        <f t="array" ref="U1084">_xlfn.IFS(clean_data[[#This Row],[profit margin%]]&lt;0.5,"Low Profit",
     clean_data[[#This Row],[profit margin%]]&lt;0.6,"Medium Profit",
     TRUE,"High Profit")</f>
        <v>Medium Profit</v>
      </c>
      <c r="V1084" t="str">
        <f>TEXT(clean_data[[#This Row],[Date]],"mmm-yyyy")</f>
        <v>Nov-2022</v>
      </c>
      <c r="W1084" s="8">
        <f>EOMONTH(clean_data[[#This Row],[Date]],-1)+1</f>
        <v>44866</v>
      </c>
    </row>
    <row r="1085" spans="1:23" x14ac:dyDescent="0.3">
      <c r="A1085" t="s">
        <v>1157</v>
      </c>
      <c r="B1085" s="1">
        <v>45007</v>
      </c>
      <c r="C1085" t="s">
        <v>17</v>
      </c>
      <c r="D1085" t="s">
        <v>18</v>
      </c>
      <c r="E1085" t="s">
        <v>52</v>
      </c>
      <c r="F1085" t="s">
        <v>20</v>
      </c>
      <c r="G1085" t="s">
        <v>53</v>
      </c>
      <c r="H1085">
        <v>33</v>
      </c>
      <c r="I1085">
        <v>600</v>
      </c>
      <c r="J1085">
        <v>5</v>
      </c>
      <c r="K1085">
        <v>18810</v>
      </c>
      <c r="L1085">
        <v>7524</v>
      </c>
      <c r="M1085">
        <v>11286</v>
      </c>
      <c r="N1085" t="s">
        <v>22</v>
      </c>
      <c r="O1085" t="s">
        <v>35</v>
      </c>
      <c r="P1085" t="s">
        <v>24</v>
      </c>
      <c r="Q1085" t="str">
        <f>TEXT(clean_data[[#This Row],[Date]],"mmm")</f>
        <v>Mar</v>
      </c>
      <c r="R1085">
        <f>YEAR(clean_data[[#This Row],[Date]])</f>
        <v>2023</v>
      </c>
      <c r="S1085" s="2">
        <f>clean_data[[#This Row],[Profit]]/clean_data[[#This Row],[Revenue]]</f>
        <v>0.6</v>
      </c>
      <c r="T1085" t="str" cm="1">
        <f t="array" ref="T1085">_xlfn.IFS(clean_data[[#This Row],[Revenue]]&lt;300000,"Small",
     clean_data[[#This Row],[Revenue]]&lt;700000,"Medium",
     TRUE,"Large")</f>
        <v>Small</v>
      </c>
      <c r="U1085" t="str" cm="1">
        <f t="array" ref="U1085">_xlfn.IFS(clean_data[[#This Row],[profit margin%]]&lt;0.5,"Low Profit",
     clean_data[[#This Row],[profit margin%]]&lt;0.6,"Medium Profit",
     TRUE,"High Profit")</f>
        <v>High Profit</v>
      </c>
      <c r="V1085" t="str">
        <f>TEXT(clean_data[[#This Row],[Date]],"mmm-yyyy")</f>
        <v>Mar-2023</v>
      </c>
      <c r="W1085" s="8">
        <f>EOMONTH(clean_data[[#This Row],[Date]],-1)+1</f>
        <v>44986</v>
      </c>
    </row>
    <row r="1086" spans="1:23" x14ac:dyDescent="0.3">
      <c r="A1086" t="s">
        <v>1158</v>
      </c>
      <c r="B1086" s="1">
        <v>45614</v>
      </c>
      <c r="C1086" t="s">
        <v>46</v>
      </c>
      <c r="D1086" t="s">
        <v>47</v>
      </c>
      <c r="E1086" t="s">
        <v>60</v>
      </c>
      <c r="F1086" t="s">
        <v>28</v>
      </c>
      <c r="G1086" t="s">
        <v>71</v>
      </c>
      <c r="H1086">
        <v>14</v>
      </c>
      <c r="I1086">
        <v>35000</v>
      </c>
      <c r="J1086">
        <v>10</v>
      </c>
      <c r="K1086">
        <v>441000</v>
      </c>
      <c r="L1086">
        <v>242550</v>
      </c>
      <c r="M1086">
        <v>198450</v>
      </c>
      <c r="N1086" t="s">
        <v>49</v>
      </c>
      <c r="O1086" t="s">
        <v>23</v>
      </c>
      <c r="P1086" t="s">
        <v>40</v>
      </c>
      <c r="Q1086" t="str">
        <f>TEXT(clean_data[[#This Row],[Date]],"mmm")</f>
        <v>Nov</v>
      </c>
      <c r="R1086">
        <f>YEAR(clean_data[[#This Row],[Date]])</f>
        <v>2024</v>
      </c>
      <c r="S1086" s="2">
        <f>clean_data[[#This Row],[Profit]]/clean_data[[#This Row],[Revenue]]</f>
        <v>0.45</v>
      </c>
      <c r="T1086" t="str" cm="1">
        <f t="array" ref="T1086">_xlfn.IFS(clean_data[[#This Row],[Revenue]]&lt;300000,"Small",
     clean_data[[#This Row],[Revenue]]&lt;700000,"Medium",
     TRUE,"Large")</f>
        <v>Medium</v>
      </c>
      <c r="U1086" t="str" cm="1">
        <f t="array" ref="U1086">_xlfn.IFS(clean_data[[#This Row],[profit margin%]]&lt;0.5,"Low Profit",
     clean_data[[#This Row],[profit margin%]]&lt;0.6,"Medium Profit",
     TRUE,"High Profit")</f>
        <v>Low Profit</v>
      </c>
      <c r="V1086" t="str">
        <f>TEXT(clean_data[[#This Row],[Date]],"mmm-yyyy")</f>
        <v>Nov-2024</v>
      </c>
      <c r="W1086" s="8">
        <f>EOMONTH(clean_data[[#This Row],[Date]],-1)+1</f>
        <v>45597</v>
      </c>
    </row>
    <row r="1087" spans="1:23" x14ac:dyDescent="0.3">
      <c r="A1087" t="s">
        <v>1159</v>
      </c>
      <c r="B1087" s="1">
        <v>45570</v>
      </c>
      <c r="C1087" t="s">
        <v>58</v>
      </c>
      <c r="D1087" t="s">
        <v>59</v>
      </c>
      <c r="E1087" t="s">
        <v>52</v>
      </c>
      <c r="F1087" t="s">
        <v>28</v>
      </c>
      <c r="G1087" t="s">
        <v>85</v>
      </c>
      <c r="H1087">
        <v>28</v>
      </c>
      <c r="I1087">
        <v>8000</v>
      </c>
      <c r="J1087">
        <v>15</v>
      </c>
      <c r="K1087">
        <v>190400</v>
      </c>
      <c r="L1087">
        <v>104720</v>
      </c>
      <c r="M1087">
        <v>85680</v>
      </c>
      <c r="N1087" t="s">
        <v>30</v>
      </c>
      <c r="O1087" t="s">
        <v>44</v>
      </c>
      <c r="P1087" t="s">
        <v>24</v>
      </c>
      <c r="Q1087" t="str">
        <f>TEXT(clean_data[[#This Row],[Date]],"mmm")</f>
        <v>Oct</v>
      </c>
      <c r="R1087">
        <f>YEAR(clean_data[[#This Row],[Date]])</f>
        <v>2024</v>
      </c>
      <c r="S1087" s="2">
        <f>clean_data[[#This Row],[Profit]]/clean_data[[#This Row],[Revenue]]</f>
        <v>0.45</v>
      </c>
      <c r="T1087" t="str" cm="1">
        <f t="array" ref="T1087">_xlfn.IFS(clean_data[[#This Row],[Revenue]]&lt;300000,"Small",
     clean_data[[#This Row],[Revenue]]&lt;700000,"Medium",
     TRUE,"Large")</f>
        <v>Small</v>
      </c>
      <c r="U1087" t="str" cm="1">
        <f t="array" ref="U1087">_xlfn.IFS(clean_data[[#This Row],[profit margin%]]&lt;0.5,"Low Profit",
     clean_data[[#This Row],[profit margin%]]&lt;0.6,"Medium Profit",
     TRUE,"High Profit")</f>
        <v>Low Profit</v>
      </c>
      <c r="V1087" t="str">
        <f>TEXT(clean_data[[#This Row],[Date]],"mmm-yyyy")</f>
        <v>Oct-2024</v>
      </c>
      <c r="W1087" s="8">
        <f>EOMONTH(clean_data[[#This Row],[Date]],-1)+1</f>
        <v>45566</v>
      </c>
    </row>
    <row r="1088" spans="1:23" x14ac:dyDescent="0.3">
      <c r="A1088" t="s">
        <v>1160</v>
      </c>
      <c r="B1088" s="1">
        <v>45101</v>
      </c>
      <c r="C1088" t="s">
        <v>26</v>
      </c>
      <c r="D1088" t="s">
        <v>69</v>
      </c>
      <c r="E1088" t="s">
        <v>52</v>
      </c>
      <c r="F1088" t="s">
        <v>20</v>
      </c>
      <c r="G1088" t="s">
        <v>21</v>
      </c>
      <c r="H1088">
        <v>21</v>
      </c>
      <c r="I1088">
        <v>3500</v>
      </c>
      <c r="J1088">
        <v>5</v>
      </c>
      <c r="K1088">
        <v>69825</v>
      </c>
      <c r="L1088">
        <v>27930</v>
      </c>
      <c r="M1088">
        <v>41895</v>
      </c>
      <c r="N1088" t="s">
        <v>49</v>
      </c>
      <c r="O1088" t="s">
        <v>50</v>
      </c>
      <c r="P1088" t="s">
        <v>40</v>
      </c>
      <c r="Q1088" t="str">
        <f>TEXT(clean_data[[#This Row],[Date]],"mmm")</f>
        <v>Jun</v>
      </c>
      <c r="R1088">
        <f>YEAR(clean_data[[#This Row],[Date]])</f>
        <v>2023</v>
      </c>
      <c r="S1088" s="2">
        <f>clean_data[[#This Row],[Profit]]/clean_data[[#This Row],[Revenue]]</f>
        <v>0.6</v>
      </c>
      <c r="T1088" t="str" cm="1">
        <f t="array" ref="T1088">_xlfn.IFS(clean_data[[#This Row],[Revenue]]&lt;300000,"Small",
     clean_data[[#This Row],[Revenue]]&lt;700000,"Medium",
     TRUE,"Large")</f>
        <v>Small</v>
      </c>
      <c r="U1088" t="str" cm="1">
        <f t="array" ref="U1088">_xlfn.IFS(clean_data[[#This Row],[profit margin%]]&lt;0.5,"Low Profit",
     clean_data[[#This Row],[profit margin%]]&lt;0.6,"Medium Profit",
     TRUE,"High Profit")</f>
        <v>High Profit</v>
      </c>
      <c r="V1088" t="str">
        <f>TEXT(clean_data[[#This Row],[Date]],"mmm-yyyy")</f>
        <v>Jun-2023</v>
      </c>
      <c r="W1088" s="8">
        <f>EOMONTH(clean_data[[#This Row],[Date]],-1)+1</f>
        <v>45078</v>
      </c>
    </row>
    <row r="1089" spans="1:23" x14ac:dyDescent="0.3">
      <c r="A1089" t="s">
        <v>1161</v>
      </c>
      <c r="B1089" s="1">
        <v>45464</v>
      </c>
      <c r="C1089" t="s">
        <v>26</v>
      </c>
      <c r="D1089" t="s">
        <v>69</v>
      </c>
      <c r="E1089" t="s">
        <v>56</v>
      </c>
      <c r="F1089" t="s">
        <v>65</v>
      </c>
      <c r="G1089" t="s">
        <v>117</v>
      </c>
      <c r="H1089">
        <v>46</v>
      </c>
      <c r="I1089">
        <v>1200</v>
      </c>
      <c r="J1089">
        <v>20</v>
      </c>
      <c r="K1089">
        <v>44160</v>
      </c>
      <c r="L1089">
        <v>19872</v>
      </c>
      <c r="M1089">
        <v>24288</v>
      </c>
      <c r="N1089" t="s">
        <v>30</v>
      </c>
      <c r="O1089" t="s">
        <v>67</v>
      </c>
      <c r="P1089" t="s">
        <v>24</v>
      </c>
      <c r="Q1089" t="str">
        <f>TEXT(clean_data[[#This Row],[Date]],"mmm")</f>
        <v>Jun</v>
      </c>
      <c r="R1089">
        <f>YEAR(clean_data[[#This Row],[Date]])</f>
        <v>2024</v>
      </c>
      <c r="S1089" s="2">
        <f>clean_data[[#This Row],[Profit]]/clean_data[[#This Row],[Revenue]]</f>
        <v>0.55000000000000004</v>
      </c>
      <c r="T1089" t="str" cm="1">
        <f t="array" ref="T1089">_xlfn.IFS(clean_data[[#This Row],[Revenue]]&lt;300000,"Small",
     clean_data[[#This Row],[Revenue]]&lt;700000,"Medium",
     TRUE,"Large")</f>
        <v>Small</v>
      </c>
      <c r="U1089" t="str" cm="1">
        <f t="array" ref="U1089">_xlfn.IFS(clean_data[[#This Row],[profit margin%]]&lt;0.5,"Low Profit",
     clean_data[[#This Row],[profit margin%]]&lt;0.6,"Medium Profit",
     TRUE,"High Profit")</f>
        <v>Medium Profit</v>
      </c>
      <c r="V1089" t="str">
        <f>TEXT(clean_data[[#This Row],[Date]],"mmm-yyyy")</f>
        <v>Jun-2024</v>
      </c>
      <c r="W1089" s="8">
        <f>EOMONTH(clean_data[[#This Row],[Date]],-1)+1</f>
        <v>45444</v>
      </c>
    </row>
    <row r="1090" spans="1:23" x14ac:dyDescent="0.3">
      <c r="A1090" t="s">
        <v>1162</v>
      </c>
      <c r="B1090" s="1">
        <v>44641</v>
      </c>
      <c r="C1090" t="s">
        <v>26</v>
      </c>
      <c r="D1090" t="s">
        <v>27</v>
      </c>
      <c r="E1090" t="s">
        <v>78</v>
      </c>
      <c r="F1090" t="s">
        <v>65</v>
      </c>
      <c r="G1090" t="s">
        <v>104</v>
      </c>
      <c r="H1090">
        <v>44</v>
      </c>
      <c r="I1090">
        <v>3000</v>
      </c>
      <c r="J1090">
        <v>5</v>
      </c>
      <c r="K1090">
        <v>125400</v>
      </c>
      <c r="L1090">
        <v>56430</v>
      </c>
      <c r="M1090">
        <v>68970</v>
      </c>
      <c r="N1090" t="s">
        <v>49</v>
      </c>
      <c r="O1090" t="s">
        <v>44</v>
      </c>
      <c r="P1090" t="s">
        <v>24</v>
      </c>
      <c r="Q1090" t="str">
        <f>TEXT(clean_data[[#This Row],[Date]],"mmm")</f>
        <v>Mar</v>
      </c>
      <c r="R1090">
        <f>YEAR(clean_data[[#This Row],[Date]])</f>
        <v>2022</v>
      </c>
      <c r="S1090" s="2">
        <f>clean_data[[#This Row],[Profit]]/clean_data[[#This Row],[Revenue]]</f>
        <v>0.55000000000000004</v>
      </c>
      <c r="T1090" t="str" cm="1">
        <f t="array" ref="T1090">_xlfn.IFS(clean_data[[#This Row],[Revenue]]&lt;300000,"Small",
     clean_data[[#This Row],[Revenue]]&lt;700000,"Medium",
     TRUE,"Large")</f>
        <v>Small</v>
      </c>
      <c r="U1090" t="str" cm="1">
        <f t="array" ref="U1090">_xlfn.IFS(clean_data[[#This Row],[profit margin%]]&lt;0.5,"Low Profit",
     clean_data[[#This Row],[profit margin%]]&lt;0.6,"Medium Profit",
     TRUE,"High Profit")</f>
        <v>Medium Profit</v>
      </c>
      <c r="V1090" t="str">
        <f>TEXT(clean_data[[#This Row],[Date]],"mmm-yyyy")</f>
        <v>Mar-2022</v>
      </c>
      <c r="W1090" s="8">
        <f>EOMONTH(clean_data[[#This Row],[Date]],-1)+1</f>
        <v>44621</v>
      </c>
    </row>
    <row r="1091" spans="1:23" x14ac:dyDescent="0.3">
      <c r="A1091" t="s">
        <v>1163</v>
      </c>
      <c r="B1091" s="1">
        <v>45531</v>
      </c>
      <c r="C1091" t="s">
        <v>46</v>
      </c>
      <c r="D1091" t="s">
        <v>55</v>
      </c>
      <c r="E1091" t="s">
        <v>73</v>
      </c>
      <c r="F1091" t="s">
        <v>20</v>
      </c>
      <c r="G1091" t="s">
        <v>74</v>
      </c>
      <c r="H1091">
        <v>41</v>
      </c>
      <c r="I1091">
        <v>4200</v>
      </c>
      <c r="J1091">
        <v>0</v>
      </c>
      <c r="K1091">
        <v>172200</v>
      </c>
      <c r="L1091">
        <v>68880</v>
      </c>
      <c r="M1091">
        <v>103320</v>
      </c>
      <c r="N1091" t="s">
        <v>22</v>
      </c>
      <c r="O1091" t="s">
        <v>44</v>
      </c>
      <c r="P1091" t="s">
        <v>40</v>
      </c>
      <c r="Q1091" t="str">
        <f>TEXT(clean_data[[#This Row],[Date]],"mmm")</f>
        <v>Aug</v>
      </c>
      <c r="R1091">
        <f>YEAR(clean_data[[#This Row],[Date]])</f>
        <v>2024</v>
      </c>
      <c r="S1091" s="2">
        <f>clean_data[[#This Row],[Profit]]/clean_data[[#This Row],[Revenue]]</f>
        <v>0.6</v>
      </c>
      <c r="T1091" t="str" cm="1">
        <f t="array" ref="T1091">_xlfn.IFS(clean_data[[#This Row],[Revenue]]&lt;300000,"Small",
     clean_data[[#This Row],[Revenue]]&lt;700000,"Medium",
     TRUE,"Large")</f>
        <v>Small</v>
      </c>
      <c r="U1091" t="str" cm="1">
        <f t="array" ref="U1091">_xlfn.IFS(clean_data[[#This Row],[profit margin%]]&lt;0.5,"Low Profit",
     clean_data[[#This Row],[profit margin%]]&lt;0.6,"Medium Profit",
     TRUE,"High Profit")</f>
        <v>High Profit</v>
      </c>
      <c r="V1091" t="str">
        <f>TEXT(clean_data[[#This Row],[Date]],"mmm-yyyy")</f>
        <v>Aug-2024</v>
      </c>
      <c r="W1091" s="8">
        <f>EOMONTH(clean_data[[#This Row],[Date]],-1)+1</f>
        <v>45505</v>
      </c>
    </row>
    <row r="1092" spans="1:23" x14ac:dyDescent="0.3">
      <c r="A1092" t="s">
        <v>1164</v>
      </c>
      <c r="B1092" s="1">
        <v>44575</v>
      </c>
      <c r="C1092" t="s">
        <v>26</v>
      </c>
      <c r="D1092" t="s">
        <v>69</v>
      </c>
      <c r="E1092" t="s">
        <v>111</v>
      </c>
      <c r="F1092" t="s">
        <v>20</v>
      </c>
      <c r="G1092" t="s">
        <v>74</v>
      </c>
      <c r="H1092">
        <v>3</v>
      </c>
      <c r="I1092">
        <v>4200</v>
      </c>
      <c r="J1092">
        <v>15</v>
      </c>
      <c r="K1092">
        <v>10710</v>
      </c>
      <c r="L1092">
        <v>4284</v>
      </c>
      <c r="M1092">
        <v>6426</v>
      </c>
      <c r="N1092" t="s">
        <v>22</v>
      </c>
      <c r="O1092" t="s">
        <v>23</v>
      </c>
      <c r="P1092" t="s">
        <v>24</v>
      </c>
      <c r="Q1092" t="str">
        <f>TEXT(clean_data[[#This Row],[Date]],"mmm")</f>
        <v>Jan</v>
      </c>
      <c r="R1092">
        <f>YEAR(clean_data[[#This Row],[Date]])</f>
        <v>2022</v>
      </c>
      <c r="S1092" s="2">
        <f>clean_data[[#This Row],[Profit]]/clean_data[[#This Row],[Revenue]]</f>
        <v>0.6</v>
      </c>
      <c r="T1092" t="str" cm="1">
        <f t="array" ref="T1092">_xlfn.IFS(clean_data[[#This Row],[Revenue]]&lt;300000,"Small",
     clean_data[[#This Row],[Revenue]]&lt;700000,"Medium",
     TRUE,"Large")</f>
        <v>Small</v>
      </c>
      <c r="U1092" t="str" cm="1">
        <f t="array" ref="U1092">_xlfn.IFS(clean_data[[#This Row],[profit margin%]]&lt;0.5,"Low Profit",
     clean_data[[#This Row],[profit margin%]]&lt;0.6,"Medium Profit",
     TRUE,"High Profit")</f>
        <v>High Profit</v>
      </c>
      <c r="V1092" t="str">
        <f>TEXT(clean_data[[#This Row],[Date]],"mmm-yyyy")</f>
        <v>Jan-2022</v>
      </c>
      <c r="W1092" s="8">
        <f>EOMONTH(clean_data[[#This Row],[Date]],-1)+1</f>
        <v>44562</v>
      </c>
    </row>
    <row r="1093" spans="1:23" x14ac:dyDescent="0.3">
      <c r="A1093" t="s">
        <v>1165</v>
      </c>
      <c r="B1093" s="1">
        <v>45037</v>
      </c>
      <c r="C1093" t="s">
        <v>17</v>
      </c>
      <c r="D1093" t="s">
        <v>37</v>
      </c>
      <c r="E1093" t="s">
        <v>111</v>
      </c>
      <c r="F1093" t="s">
        <v>20</v>
      </c>
      <c r="G1093" t="s">
        <v>61</v>
      </c>
      <c r="H1093">
        <v>15</v>
      </c>
      <c r="I1093">
        <v>800</v>
      </c>
      <c r="J1093">
        <v>10</v>
      </c>
      <c r="K1093">
        <v>10800</v>
      </c>
      <c r="L1093">
        <v>4320</v>
      </c>
      <c r="M1093">
        <v>6480</v>
      </c>
      <c r="N1093" t="s">
        <v>49</v>
      </c>
      <c r="O1093" t="s">
        <v>23</v>
      </c>
      <c r="P1093" t="s">
        <v>24</v>
      </c>
      <c r="Q1093" t="str">
        <f>TEXT(clean_data[[#This Row],[Date]],"mmm")</f>
        <v>Apr</v>
      </c>
      <c r="R1093">
        <f>YEAR(clean_data[[#This Row],[Date]])</f>
        <v>2023</v>
      </c>
      <c r="S1093" s="2">
        <f>clean_data[[#This Row],[Profit]]/clean_data[[#This Row],[Revenue]]</f>
        <v>0.6</v>
      </c>
      <c r="T1093" t="str" cm="1">
        <f t="array" ref="T1093">_xlfn.IFS(clean_data[[#This Row],[Revenue]]&lt;300000,"Small",
     clean_data[[#This Row],[Revenue]]&lt;700000,"Medium",
     TRUE,"Large")</f>
        <v>Small</v>
      </c>
      <c r="U1093" t="str" cm="1">
        <f t="array" ref="U1093">_xlfn.IFS(clean_data[[#This Row],[profit margin%]]&lt;0.5,"Low Profit",
     clean_data[[#This Row],[profit margin%]]&lt;0.6,"Medium Profit",
     TRUE,"High Profit")</f>
        <v>High Profit</v>
      </c>
      <c r="V1093" t="str">
        <f>TEXT(clean_data[[#This Row],[Date]],"mmm-yyyy")</f>
        <v>Apr-2023</v>
      </c>
      <c r="W1093" s="8">
        <f>EOMONTH(clean_data[[#This Row],[Date]],-1)+1</f>
        <v>45017</v>
      </c>
    </row>
    <row r="1094" spans="1:23" x14ac:dyDescent="0.3">
      <c r="A1094" t="s">
        <v>1166</v>
      </c>
      <c r="B1094" s="1">
        <v>45248</v>
      </c>
      <c r="C1094" t="s">
        <v>58</v>
      </c>
      <c r="D1094" t="s">
        <v>59</v>
      </c>
      <c r="E1094" t="s">
        <v>52</v>
      </c>
      <c r="F1094" t="s">
        <v>20</v>
      </c>
      <c r="G1094" t="s">
        <v>21</v>
      </c>
      <c r="H1094">
        <v>49</v>
      </c>
      <c r="I1094">
        <v>3500</v>
      </c>
      <c r="J1094">
        <v>10</v>
      </c>
      <c r="K1094">
        <v>154350</v>
      </c>
      <c r="L1094">
        <v>61740</v>
      </c>
      <c r="M1094">
        <v>92610</v>
      </c>
      <c r="N1094" t="s">
        <v>49</v>
      </c>
      <c r="O1094" t="s">
        <v>50</v>
      </c>
      <c r="P1094" t="s">
        <v>24</v>
      </c>
      <c r="Q1094" t="str">
        <f>TEXT(clean_data[[#This Row],[Date]],"mmm")</f>
        <v>Nov</v>
      </c>
      <c r="R1094">
        <f>YEAR(clean_data[[#This Row],[Date]])</f>
        <v>2023</v>
      </c>
      <c r="S1094" s="2">
        <f>clean_data[[#This Row],[Profit]]/clean_data[[#This Row],[Revenue]]</f>
        <v>0.6</v>
      </c>
      <c r="T1094" t="str" cm="1">
        <f t="array" ref="T1094">_xlfn.IFS(clean_data[[#This Row],[Revenue]]&lt;300000,"Small",
     clean_data[[#This Row],[Revenue]]&lt;700000,"Medium",
     TRUE,"Large")</f>
        <v>Small</v>
      </c>
      <c r="U1094" t="str" cm="1">
        <f t="array" ref="U1094">_xlfn.IFS(clean_data[[#This Row],[profit margin%]]&lt;0.5,"Low Profit",
     clean_data[[#This Row],[profit margin%]]&lt;0.6,"Medium Profit",
     TRUE,"High Profit")</f>
        <v>High Profit</v>
      </c>
      <c r="V1094" t="str">
        <f>TEXT(clean_data[[#This Row],[Date]],"mmm-yyyy")</f>
        <v>Nov-2023</v>
      </c>
      <c r="W1094" s="8">
        <f>EOMONTH(clean_data[[#This Row],[Date]],-1)+1</f>
        <v>45231</v>
      </c>
    </row>
    <row r="1095" spans="1:23" x14ac:dyDescent="0.3">
      <c r="A1095" t="s">
        <v>1167</v>
      </c>
      <c r="B1095" s="1">
        <v>45038</v>
      </c>
      <c r="C1095" t="s">
        <v>58</v>
      </c>
      <c r="D1095" t="s">
        <v>84</v>
      </c>
      <c r="E1095" t="s">
        <v>78</v>
      </c>
      <c r="F1095" t="s">
        <v>65</v>
      </c>
      <c r="G1095" t="s">
        <v>124</v>
      </c>
      <c r="H1095">
        <v>43</v>
      </c>
      <c r="I1095">
        <v>18000</v>
      </c>
      <c r="J1095">
        <v>0</v>
      </c>
      <c r="K1095">
        <v>774000</v>
      </c>
      <c r="L1095">
        <v>348300</v>
      </c>
      <c r="M1095">
        <v>425700</v>
      </c>
      <c r="N1095" t="s">
        <v>22</v>
      </c>
      <c r="O1095" t="s">
        <v>23</v>
      </c>
      <c r="P1095" t="s">
        <v>24</v>
      </c>
      <c r="Q1095" t="str">
        <f>TEXT(clean_data[[#This Row],[Date]],"mmm")</f>
        <v>Apr</v>
      </c>
      <c r="R1095">
        <f>YEAR(clean_data[[#This Row],[Date]])</f>
        <v>2023</v>
      </c>
      <c r="S1095" s="2">
        <f>clean_data[[#This Row],[Profit]]/clean_data[[#This Row],[Revenue]]</f>
        <v>0.55000000000000004</v>
      </c>
      <c r="T1095" t="str" cm="1">
        <f t="array" ref="T1095">_xlfn.IFS(clean_data[[#This Row],[Revenue]]&lt;300000,"Small",
     clean_data[[#This Row],[Revenue]]&lt;700000,"Medium",
     TRUE,"Large")</f>
        <v>Large</v>
      </c>
      <c r="U1095" t="str" cm="1">
        <f t="array" ref="U1095">_xlfn.IFS(clean_data[[#This Row],[profit margin%]]&lt;0.5,"Low Profit",
     clean_data[[#This Row],[profit margin%]]&lt;0.6,"Medium Profit",
     TRUE,"High Profit")</f>
        <v>Medium Profit</v>
      </c>
      <c r="V1095" t="str">
        <f>TEXT(clean_data[[#This Row],[Date]],"mmm-yyyy")</f>
        <v>Apr-2023</v>
      </c>
      <c r="W1095" s="8">
        <f>EOMONTH(clean_data[[#This Row],[Date]],-1)+1</f>
        <v>45017</v>
      </c>
    </row>
    <row r="1096" spans="1:23" x14ac:dyDescent="0.3">
      <c r="A1096" t="s">
        <v>1168</v>
      </c>
      <c r="B1096" s="1">
        <v>44829</v>
      </c>
      <c r="C1096" t="s">
        <v>58</v>
      </c>
      <c r="D1096" t="s">
        <v>59</v>
      </c>
      <c r="E1096" t="s">
        <v>38</v>
      </c>
      <c r="F1096" t="s">
        <v>65</v>
      </c>
      <c r="G1096" t="s">
        <v>104</v>
      </c>
      <c r="H1096">
        <v>2</v>
      </c>
      <c r="I1096">
        <v>3000</v>
      </c>
      <c r="J1096">
        <v>10</v>
      </c>
      <c r="K1096">
        <v>5400</v>
      </c>
      <c r="L1096">
        <v>2430</v>
      </c>
      <c r="M1096">
        <v>2970</v>
      </c>
      <c r="N1096" t="s">
        <v>22</v>
      </c>
      <c r="O1096" t="s">
        <v>44</v>
      </c>
      <c r="P1096" t="s">
        <v>24</v>
      </c>
      <c r="Q1096" t="str">
        <f>TEXT(clean_data[[#This Row],[Date]],"mmm")</f>
        <v>Sep</v>
      </c>
      <c r="R1096">
        <f>YEAR(clean_data[[#This Row],[Date]])</f>
        <v>2022</v>
      </c>
      <c r="S1096" s="2">
        <f>clean_data[[#This Row],[Profit]]/clean_data[[#This Row],[Revenue]]</f>
        <v>0.55000000000000004</v>
      </c>
      <c r="T1096" t="str" cm="1">
        <f t="array" ref="T1096">_xlfn.IFS(clean_data[[#This Row],[Revenue]]&lt;300000,"Small",
     clean_data[[#This Row],[Revenue]]&lt;700000,"Medium",
     TRUE,"Large")</f>
        <v>Small</v>
      </c>
      <c r="U1096" t="str" cm="1">
        <f t="array" ref="U1096">_xlfn.IFS(clean_data[[#This Row],[profit margin%]]&lt;0.5,"Low Profit",
     clean_data[[#This Row],[profit margin%]]&lt;0.6,"Medium Profit",
     TRUE,"High Profit")</f>
        <v>Medium Profit</v>
      </c>
      <c r="V1096" t="str">
        <f>TEXT(clean_data[[#This Row],[Date]],"mmm-yyyy")</f>
        <v>Sep-2022</v>
      </c>
      <c r="W1096" s="8">
        <f>EOMONTH(clean_data[[#This Row],[Date]],-1)+1</f>
        <v>44805</v>
      </c>
    </row>
    <row r="1097" spans="1:23" x14ac:dyDescent="0.3">
      <c r="A1097" t="s">
        <v>1169</v>
      </c>
      <c r="B1097" s="1">
        <v>45353</v>
      </c>
      <c r="C1097" t="s">
        <v>17</v>
      </c>
      <c r="D1097" t="s">
        <v>37</v>
      </c>
      <c r="E1097" t="s">
        <v>70</v>
      </c>
      <c r="F1097" t="s">
        <v>65</v>
      </c>
      <c r="G1097" t="s">
        <v>66</v>
      </c>
      <c r="H1097">
        <v>29</v>
      </c>
      <c r="I1097">
        <v>5500</v>
      </c>
      <c r="J1097">
        <v>15</v>
      </c>
      <c r="K1097">
        <v>135575</v>
      </c>
      <c r="L1097">
        <v>61008.75</v>
      </c>
      <c r="M1097">
        <v>74566.25</v>
      </c>
      <c r="N1097" t="s">
        <v>49</v>
      </c>
      <c r="O1097" t="s">
        <v>35</v>
      </c>
      <c r="P1097" t="s">
        <v>24</v>
      </c>
      <c r="Q1097" t="str">
        <f>TEXT(clean_data[[#This Row],[Date]],"mmm")</f>
        <v>Mar</v>
      </c>
      <c r="R1097">
        <f>YEAR(clean_data[[#This Row],[Date]])</f>
        <v>2024</v>
      </c>
      <c r="S1097" s="2">
        <f>clean_data[[#This Row],[Profit]]/clean_data[[#This Row],[Revenue]]</f>
        <v>0.55000000000000004</v>
      </c>
      <c r="T1097" t="str" cm="1">
        <f t="array" ref="T1097">_xlfn.IFS(clean_data[[#This Row],[Revenue]]&lt;300000,"Small",
     clean_data[[#This Row],[Revenue]]&lt;700000,"Medium",
     TRUE,"Large")</f>
        <v>Small</v>
      </c>
      <c r="U1097" t="str" cm="1">
        <f t="array" ref="U1097">_xlfn.IFS(clean_data[[#This Row],[profit margin%]]&lt;0.5,"Low Profit",
     clean_data[[#This Row],[profit margin%]]&lt;0.6,"Medium Profit",
     TRUE,"High Profit")</f>
        <v>Medium Profit</v>
      </c>
      <c r="V1097" t="str">
        <f>TEXT(clean_data[[#This Row],[Date]],"mmm-yyyy")</f>
        <v>Mar-2024</v>
      </c>
      <c r="W1097" s="8">
        <f>EOMONTH(clean_data[[#This Row],[Date]],-1)+1</f>
        <v>45352</v>
      </c>
    </row>
    <row r="1098" spans="1:23" x14ac:dyDescent="0.3">
      <c r="A1098" t="s">
        <v>1170</v>
      </c>
      <c r="B1098" s="1">
        <v>45093</v>
      </c>
      <c r="C1098" t="s">
        <v>46</v>
      </c>
      <c r="D1098" t="s">
        <v>55</v>
      </c>
      <c r="E1098" t="s">
        <v>56</v>
      </c>
      <c r="F1098" t="s">
        <v>33</v>
      </c>
      <c r="G1098" t="s">
        <v>48</v>
      </c>
      <c r="H1098">
        <v>27</v>
      </c>
      <c r="I1098">
        <v>1500</v>
      </c>
      <c r="J1098">
        <v>5</v>
      </c>
      <c r="K1098">
        <v>38475</v>
      </c>
      <c r="L1098">
        <v>19237.5</v>
      </c>
      <c r="M1098">
        <v>19237.5</v>
      </c>
      <c r="N1098" t="s">
        <v>30</v>
      </c>
      <c r="O1098" t="s">
        <v>67</v>
      </c>
      <c r="P1098" t="s">
        <v>40</v>
      </c>
      <c r="Q1098" t="str">
        <f>TEXT(clean_data[[#This Row],[Date]],"mmm")</f>
        <v>Jun</v>
      </c>
      <c r="R1098">
        <f>YEAR(clean_data[[#This Row],[Date]])</f>
        <v>2023</v>
      </c>
      <c r="S1098" s="2">
        <f>clean_data[[#This Row],[Profit]]/clean_data[[#This Row],[Revenue]]</f>
        <v>0.5</v>
      </c>
      <c r="T1098" t="str" cm="1">
        <f t="array" ref="T1098">_xlfn.IFS(clean_data[[#This Row],[Revenue]]&lt;300000,"Small",
     clean_data[[#This Row],[Revenue]]&lt;700000,"Medium",
     TRUE,"Large")</f>
        <v>Small</v>
      </c>
      <c r="U1098" t="str" cm="1">
        <f t="array" ref="U1098">_xlfn.IFS(clean_data[[#This Row],[profit margin%]]&lt;0.5,"Low Profit",
     clean_data[[#This Row],[profit margin%]]&lt;0.6,"Medium Profit",
     TRUE,"High Profit")</f>
        <v>Medium Profit</v>
      </c>
      <c r="V1098" t="str">
        <f>TEXT(clean_data[[#This Row],[Date]],"mmm-yyyy")</f>
        <v>Jun-2023</v>
      </c>
      <c r="W1098" s="8">
        <f>EOMONTH(clean_data[[#This Row],[Date]],-1)+1</f>
        <v>45078</v>
      </c>
    </row>
    <row r="1099" spans="1:23" x14ac:dyDescent="0.3">
      <c r="A1099" t="s">
        <v>1171</v>
      </c>
      <c r="B1099" s="1">
        <v>44982</v>
      </c>
      <c r="C1099" t="s">
        <v>26</v>
      </c>
      <c r="D1099" t="s">
        <v>69</v>
      </c>
      <c r="E1099" t="s">
        <v>78</v>
      </c>
      <c r="F1099" t="s">
        <v>28</v>
      </c>
      <c r="G1099" t="s">
        <v>95</v>
      </c>
      <c r="H1099">
        <v>25</v>
      </c>
      <c r="I1099">
        <v>75000</v>
      </c>
      <c r="J1099">
        <v>0</v>
      </c>
      <c r="K1099">
        <v>1875000</v>
      </c>
      <c r="L1099">
        <v>1031250</v>
      </c>
      <c r="M1099">
        <v>843750</v>
      </c>
      <c r="N1099" t="s">
        <v>49</v>
      </c>
      <c r="O1099" t="s">
        <v>67</v>
      </c>
      <c r="P1099" t="s">
        <v>24</v>
      </c>
      <c r="Q1099" t="str">
        <f>TEXT(clean_data[[#This Row],[Date]],"mmm")</f>
        <v>Feb</v>
      </c>
      <c r="R1099">
        <f>YEAR(clean_data[[#This Row],[Date]])</f>
        <v>2023</v>
      </c>
      <c r="S1099" s="2">
        <f>clean_data[[#This Row],[Profit]]/clean_data[[#This Row],[Revenue]]</f>
        <v>0.45</v>
      </c>
      <c r="T1099" t="str" cm="1">
        <f t="array" ref="T1099">_xlfn.IFS(clean_data[[#This Row],[Revenue]]&lt;300000,"Small",
     clean_data[[#This Row],[Revenue]]&lt;700000,"Medium",
     TRUE,"Large")</f>
        <v>Large</v>
      </c>
      <c r="U1099" t="str" cm="1">
        <f t="array" ref="U1099">_xlfn.IFS(clean_data[[#This Row],[profit margin%]]&lt;0.5,"Low Profit",
     clean_data[[#This Row],[profit margin%]]&lt;0.6,"Medium Profit",
     TRUE,"High Profit")</f>
        <v>Low Profit</v>
      </c>
      <c r="V1099" t="str">
        <f>TEXT(clean_data[[#This Row],[Date]],"mmm-yyyy")</f>
        <v>Feb-2023</v>
      </c>
      <c r="W1099" s="8">
        <f>EOMONTH(clean_data[[#This Row],[Date]],-1)+1</f>
        <v>44958</v>
      </c>
    </row>
    <row r="1100" spans="1:23" x14ac:dyDescent="0.3">
      <c r="A1100" t="s">
        <v>1172</v>
      </c>
      <c r="B1100" s="1">
        <v>44702</v>
      </c>
      <c r="C1100" t="s">
        <v>26</v>
      </c>
      <c r="D1100" t="s">
        <v>27</v>
      </c>
      <c r="E1100" t="s">
        <v>70</v>
      </c>
      <c r="F1100" t="s">
        <v>20</v>
      </c>
      <c r="G1100" t="s">
        <v>74</v>
      </c>
      <c r="H1100">
        <v>35</v>
      </c>
      <c r="I1100">
        <v>4200</v>
      </c>
      <c r="J1100">
        <v>15</v>
      </c>
      <c r="K1100">
        <v>124950</v>
      </c>
      <c r="L1100">
        <v>49980</v>
      </c>
      <c r="M1100">
        <v>74970</v>
      </c>
      <c r="N1100" t="s">
        <v>49</v>
      </c>
      <c r="O1100" t="s">
        <v>44</v>
      </c>
      <c r="P1100" t="s">
        <v>24</v>
      </c>
      <c r="Q1100" t="str">
        <f>TEXT(clean_data[[#This Row],[Date]],"mmm")</f>
        <v>May</v>
      </c>
      <c r="R1100">
        <f>YEAR(clean_data[[#This Row],[Date]])</f>
        <v>2022</v>
      </c>
      <c r="S1100" s="2">
        <f>clean_data[[#This Row],[Profit]]/clean_data[[#This Row],[Revenue]]</f>
        <v>0.6</v>
      </c>
      <c r="T1100" t="str" cm="1">
        <f t="array" ref="T1100">_xlfn.IFS(clean_data[[#This Row],[Revenue]]&lt;300000,"Small",
     clean_data[[#This Row],[Revenue]]&lt;700000,"Medium",
     TRUE,"Large")</f>
        <v>Small</v>
      </c>
      <c r="U1100" t="str" cm="1">
        <f t="array" ref="U1100">_xlfn.IFS(clean_data[[#This Row],[profit margin%]]&lt;0.5,"Low Profit",
     clean_data[[#This Row],[profit margin%]]&lt;0.6,"Medium Profit",
     TRUE,"High Profit")</f>
        <v>High Profit</v>
      </c>
      <c r="V1100" t="str">
        <f>TEXT(clean_data[[#This Row],[Date]],"mmm-yyyy")</f>
        <v>May-2022</v>
      </c>
      <c r="W1100" s="8">
        <f>EOMONTH(clean_data[[#This Row],[Date]],-1)+1</f>
        <v>44682</v>
      </c>
    </row>
    <row r="1101" spans="1:23" x14ac:dyDescent="0.3">
      <c r="A1101" t="s">
        <v>1173</v>
      </c>
      <c r="B1101" s="1">
        <v>45271</v>
      </c>
      <c r="C1101" t="s">
        <v>58</v>
      </c>
      <c r="D1101" t="s">
        <v>84</v>
      </c>
      <c r="E1101" t="s">
        <v>111</v>
      </c>
      <c r="F1101" t="s">
        <v>20</v>
      </c>
      <c r="G1101" t="s">
        <v>21</v>
      </c>
      <c r="H1101">
        <v>3</v>
      </c>
      <c r="I1101">
        <v>3500</v>
      </c>
      <c r="J1101">
        <v>0</v>
      </c>
      <c r="K1101">
        <v>10500</v>
      </c>
      <c r="L1101">
        <v>4200</v>
      </c>
      <c r="M1101">
        <v>6300</v>
      </c>
      <c r="N1101" t="s">
        <v>30</v>
      </c>
      <c r="O1101" t="s">
        <v>67</v>
      </c>
      <c r="P1101" t="s">
        <v>40</v>
      </c>
      <c r="Q1101" t="str">
        <f>TEXT(clean_data[[#This Row],[Date]],"mmm")</f>
        <v>Dec</v>
      </c>
      <c r="R1101">
        <f>YEAR(clean_data[[#This Row],[Date]])</f>
        <v>2023</v>
      </c>
      <c r="S1101" s="2">
        <f>clean_data[[#This Row],[Profit]]/clean_data[[#This Row],[Revenue]]</f>
        <v>0.6</v>
      </c>
      <c r="T1101" t="str" cm="1">
        <f t="array" ref="T1101">_xlfn.IFS(clean_data[[#This Row],[Revenue]]&lt;300000,"Small",
     clean_data[[#This Row],[Revenue]]&lt;700000,"Medium",
     TRUE,"Large")</f>
        <v>Small</v>
      </c>
      <c r="U1101" t="str" cm="1">
        <f t="array" ref="U1101">_xlfn.IFS(clean_data[[#This Row],[profit margin%]]&lt;0.5,"Low Profit",
     clean_data[[#This Row],[profit margin%]]&lt;0.6,"Medium Profit",
     TRUE,"High Profit")</f>
        <v>High Profit</v>
      </c>
      <c r="V1101" t="str">
        <f>TEXT(clean_data[[#This Row],[Date]],"mmm-yyyy")</f>
        <v>Dec-2023</v>
      </c>
      <c r="W1101" s="8">
        <f>EOMONTH(clean_data[[#This Row],[Date]],-1)+1</f>
        <v>45261</v>
      </c>
    </row>
    <row r="1102" spans="1:23" x14ac:dyDescent="0.3">
      <c r="A1102" t="s">
        <v>1174</v>
      </c>
      <c r="B1102" s="1">
        <v>45348</v>
      </c>
      <c r="C1102" t="s">
        <v>58</v>
      </c>
      <c r="D1102" t="s">
        <v>84</v>
      </c>
      <c r="E1102" t="s">
        <v>78</v>
      </c>
      <c r="F1102" t="s">
        <v>33</v>
      </c>
      <c r="G1102" t="s">
        <v>34</v>
      </c>
      <c r="H1102">
        <v>2</v>
      </c>
      <c r="I1102">
        <v>25000</v>
      </c>
      <c r="J1102">
        <v>5</v>
      </c>
      <c r="K1102">
        <v>47500</v>
      </c>
      <c r="L1102">
        <v>23750</v>
      </c>
      <c r="M1102">
        <v>23750</v>
      </c>
      <c r="N1102" t="s">
        <v>30</v>
      </c>
      <c r="O1102" t="s">
        <v>50</v>
      </c>
      <c r="P1102" t="s">
        <v>24</v>
      </c>
      <c r="Q1102" t="str">
        <f>TEXT(clean_data[[#This Row],[Date]],"mmm")</f>
        <v>Feb</v>
      </c>
      <c r="R1102">
        <f>YEAR(clean_data[[#This Row],[Date]])</f>
        <v>2024</v>
      </c>
      <c r="S1102" s="2">
        <f>clean_data[[#This Row],[Profit]]/clean_data[[#This Row],[Revenue]]</f>
        <v>0.5</v>
      </c>
      <c r="T1102" t="str" cm="1">
        <f t="array" ref="T1102">_xlfn.IFS(clean_data[[#This Row],[Revenue]]&lt;300000,"Small",
     clean_data[[#This Row],[Revenue]]&lt;700000,"Medium",
     TRUE,"Large")</f>
        <v>Small</v>
      </c>
      <c r="U1102" t="str" cm="1">
        <f t="array" ref="U1102">_xlfn.IFS(clean_data[[#This Row],[profit margin%]]&lt;0.5,"Low Profit",
     clean_data[[#This Row],[profit margin%]]&lt;0.6,"Medium Profit",
     TRUE,"High Profit")</f>
        <v>Medium Profit</v>
      </c>
      <c r="V1102" t="str">
        <f>TEXT(clean_data[[#This Row],[Date]],"mmm-yyyy")</f>
        <v>Feb-2024</v>
      </c>
      <c r="W1102" s="8">
        <f>EOMONTH(clean_data[[#This Row],[Date]],-1)+1</f>
        <v>45323</v>
      </c>
    </row>
    <row r="1103" spans="1:23" x14ac:dyDescent="0.3">
      <c r="A1103" t="s">
        <v>1175</v>
      </c>
      <c r="B1103" s="1">
        <v>44800</v>
      </c>
      <c r="C1103" t="s">
        <v>58</v>
      </c>
      <c r="D1103" t="s">
        <v>64</v>
      </c>
      <c r="E1103" t="s">
        <v>32</v>
      </c>
      <c r="F1103" t="s">
        <v>20</v>
      </c>
      <c r="G1103" t="s">
        <v>61</v>
      </c>
      <c r="H1103">
        <v>6</v>
      </c>
      <c r="I1103">
        <v>800</v>
      </c>
      <c r="J1103">
        <v>0</v>
      </c>
      <c r="K1103">
        <v>4800</v>
      </c>
      <c r="L1103">
        <v>1920</v>
      </c>
      <c r="M1103">
        <v>2880</v>
      </c>
      <c r="N1103" t="s">
        <v>22</v>
      </c>
      <c r="O1103" t="s">
        <v>23</v>
      </c>
      <c r="P1103" t="s">
        <v>24</v>
      </c>
      <c r="Q1103" t="str">
        <f>TEXT(clean_data[[#This Row],[Date]],"mmm")</f>
        <v>Aug</v>
      </c>
      <c r="R1103">
        <f>YEAR(clean_data[[#This Row],[Date]])</f>
        <v>2022</v>
      </c>
      <c r="S1103" s="2">
        <f>clean_data[[#This Row],[Profit]]/clean_data[[#This Row],[Revenue]]</f>
        <v>0.6</v>
      </c>
      <c r="T1103" t="str" cm="1">
        <f t="array" ref="T1103">_xlfn.IFS(clean_data[[#This Row],[Revenue]]&lt;300000,"Small",
     clean_data[[#This Row],[Revenue]]&lt;700000,"Medium",
     TRUE,"Large")</f>
        <v>Small</v>
      </c>
      <c r="U1103" t="str" cm="1">
        <f t="array" ref="U1103">_xlfn.IFS(clean_data[[#This Row],[profit margin%]]&lt;0.5,"Low Profit",
     clean_data[[#This Row],[profit margin%]]&lt;0.6,"Medium Profit",
     TRUE,"High Profit")</f>
        <v>High Profit</v>
      </c>
      <c r="V1103" t="str">
        <f>TEXT(clean_data[[#This Row],[Date]],"mmm-yyyy")</f>
        <v>Aug-2022</v>
      </c>
      <c r="W1103" s="8">
        <f>EOMONTH(clean_data[[#This Row],[Date]],-1)+1</f>
        <v>44774</v>
      </c>
    </row>
    <row r="1104" spans="1:23" x14ac:dyDescent="0.3">
      <c r="A1104" t="s">
        <v>1176</v>
      </c>
      <c r="B1104" s="1">
        <v>44593</v>
      </c>
      <c r="C1104" t="s">
        <v>46</v>
      </c>
      <c r="D1104" t="s">
        <v>47</v>
      </c>
      <c r="E1104" t="s">
        <v>38</v>
      </c>
      <c r="F1104" t="s">
        <v>65</v>
      </c>
      <c r="G1104" t="s">
        <v>104</v>
      </c>
      <c r="H1104">
        <v>39</v>
      </c>
      <c r="I1104">
        <v>3000</v>
      </c>
      <c r="J1104">
        <v>10</v>
      </c>
      <c r="K1104">
        <v>105300</v>
      </c>
      <c r="L1104">
        <v>47385</v>
      </c>
      <c r="M1104">
        <v>57915</v>
      </c>
      <c r="N1104" t="s">
        <v>49</v>
      </c>
      <c r="O1104" t="s">
        <v>67</v>
      </c>
      <c r="P1104" t="s">
        <v>24</v>
      </c>
      <c r="Q1104" t="str">
        <f>TEXT(clean_data[[#This Row],[Date]],"mmm")</f>
        <v>Feb</v>
      </c>
      <c r="R1104">
        <f>YEAR(clean_data[[#This Row],[Date]])</f>
        <v>2022</v>
      </c>
      <c r="S1104" s="2">
        <f>clean_data[[#This Row],[Profit]]/clean_data[[#This Row],[Revenue]]</f>
        <v>0.55000000000000004</v>
      </c>
      <c r="T1104" t="str" cm="1">
        <f t="array" ref="T1104">_xlfn.IFS(clean_data[[#This Row],[Revenue]]&lt;300000,"Small",
     clean_data[[#This Row],[Revenue]]&lt;700000,"Medium",
     TRUE,"Large")</f>
        <v>Small</v>
      </c>
      <c r="U1104" t="str" cm="1">
        <f t="array" ref="U1104">_xlfn.IFS(clean_data[[#This Row],[profit margin%]]&lt;0.5,"Low Profit",
     clean_data[[#This Row],[profit margin%]]&lt;0.6,"Medium Profit",
     TRUE,"High Profit")</f>
        <v>Medium Profit</v>
      </c>
      <c r="V1104" t="str">
        <f>TEXT(clean_data[[#This Row],[Date]],"mmm-yyyy")</f>
        <v>Feb-2022</v>
      </c>
      <c r="W1104" s="8">
        <f>EOMONTH(clean_data[[#This Row],[Date]],-1)+1</f>
        <v>44593</v>
      </c>
    </row>
    <row r="1105" spans="1:23" x14ac:dyDescent="0.3">
      <c r="A1105" t="s">
        <v>1177</v>
      </c>
      <c r="B1105" s="1">
        <v>44602</v>
      </c>
      <c r="C1105" t="s">
        <v>17</v>
      </c>
      <c r="D1105" t="s">
        <v>37</v>
      </c>
      <c r="E1105" t="s">
        <v>19</v>
      </c>
      <c r="F1105" t="s">
        <v>28</v>
      </c>
      <c r="G1105" t="s">
        <v>71</v>
      </c>
      <c r="H1105">
        <v>42</v>
      </c>
      <c r="I1105">
        <v>35000</v>
      </c>
      <c r="J1105">
        <v>20</v>
      </c>
      <c r="K1105">
        <v>1176000</v>
      </c>
      <c r="L1105">
        <v>646800</v>
      </c>
      <c r="M1105">
        <v>529200</v>
      </c>
      <c r="N1105" t="s">
        <v>49</v>
      </c>
      <c r="O1105" t="s">
        <v>50</v>
      </c>
      <c r="P1105" t="s">
        <v>24</v>
      </c>
      <c r="Q1105" t="str">
        <f>TEXT(clean_data[[#This Row],[Date]],"mmm")</f>
        <v>Feb</v>
      </c>
      <c r="R1105">
        <f>YEAR(clean_data[[#This Row],[Date]])</f>
        <v>2022</v>
      </c>
      <c r="S1105" s="2">
        <f>clean_data[[#This Row],[Profit]]/clean_data[[#This Row],[Revenue]]</f>
        <v>0.45</v>
      </c>
      <c r="T1105" t="str" cm="1">
        <f t="array" ref="T1105">_xlfn.IFS(clean_data[[#This Row],[Revenue]]&lt;300000,"Small",
     clean_data[[#This Row],[Revenue]]&lt;700000,"Medium",
     TRUE,"Large")</f>
        <v>Large</v>
      </c>
      <c r="U1105" t="str" cm="1">
        <f t="array" ref="U1105">_xlfn.IFS(clean_data[[#This Row],[profit margin%]]&lt;0.5,"Low Profit",
     clean_data[[#This Row],[profit margin%]]&lt;0.6,"Medium Profit",
     TRUE,"High Profit")</f>
        <v>Low Profit</v>
      </c>
      <c r="V1105" t="str">
        <f>TEXT(clean_data[[#This Row],[Date]],"mmm-yyyy")</f>
        <v>Feb-2022</v>
      </c>
      <c r="W1105" s="8">
        <f>EOMONTH(clean_data[[#This Row],[Date]],-1)+1</f>
        <v>44593</v>
      </c>
    </row>
    <row r="1106" spans="1:23" x14ac:dyDescent="0.3">
      <c r="A1106" t="s">
        <v>1178</v>
      </c>
      <c r="B1106" s="1">
        <v>45385</v>
      </c>
      <c r="C1106" t="s">
        <v>46</v>
      </c>
      <c r="D1106" t="s">
        <v>55</v>
      </c>
      <c r="E1106" t="s">
        <v>111</v>
      </c>
      <c r="F1106" t="s">
        <v>33</v>
      </c>
      <c r="G1106" t="s">
        <v>48</v>
      </c>
      <c r="H1106">
        <v>19</v>
      </c>
      <c r="I1106">
        <v>1500</v>
      </c>
      <c r="J1106">
        <v>20</v>
      </c>
      <c r="K1106">
        <v>22800</v>
      </c>
      <c r="L1106">
        <v>11400</v>
      </c>
      <c r="M1106">
        <v>11400</v>
      </c>
      <c r="N1106" t="s">
        <v>30</v>
      </c>
      <c r="O1106" t="s">
        <v>23</v>
      </c>
      <c r="P1106" t="s">
        <v>40</v>
      </c>
      <c r="Q1106" t="str">
        <f>TEXT(clean_data[[#This Row],[Date]],"mmm")</f>
        <v>Apr</v>
      </c>
      <c r="R1106">
        <f>YEAR(clean_data[[#This Row],[Date]])</f>
        <v>2024</v>
      </c>
      <c r="S1106" s="2">
        <f>clean_data[[#This Row],[Profit]]/clean_data[[#This Row],[Revenue]]</f>
        <v>0.5</v>
      </c>
      <c r="T1106" t="str" cm="1">
        <f t="array" ref="T1106">_xlfn.IFS(clean_data[[#This Row],[Revenue]]&lt;300000,"Small",
     clean_data[[#This Row],[Revenue]]&lt;700000,"Medium",
     TRUE,"Large")</f>
        <v>Small</v>
      </c>
      <c r="U1106" t="str" cm="1">
        <f t="array" ref="U1106">_xlfn.IFS(clean_data[[#This Row],[profit margin%]]&lt;0.5,"Low Profit",
     clean_data[[#This Row],[profit margin%]]&lt;0.6,"Medium Profit",
     TRUE,"High Profit")</f>
        <v>Medium Profit</v>
      </c>
      <c r="V1106" t="str">
        <f>TEXT(clean_data[[#This Row],[Date]],"mmm-yyyy")</f>
        <v>Apr-2024</v>
      </c>
      <c r="W1106" s="8">
        <f>EOMONTH(clean_data[[#This Row],[Date]],-1)+1</f>
        <v>45383</v>
      </c>
    </row>
    <row r="1107" spans="1:23" x14ac:dyDescent="0.3">
      <c r="A1107" t="s">
        <v>1179</v>
      </c>
      <c r="B1107" s="1">
        <v>44608</v>
      </c>
      <c r="C1107" t="s">
        <v>58</v>
      </c>
      <c r="D1107" t="s">
        <v>59</v>
      </c>
      <c r="E1107" t="s">
        <v>111</v>
      </c>
      <c r="F1107" t="s">
        <v>28</v>
      </c>
      <c r="G1107" t="s">
        <v>85</v>
      </c>
      <c r="H1107">
        <v>15</v>
      </c>
      <c r="I1107">
        <v>8000</v>
      </c>
      <c r="J1107">
        <v>20</v>
      </c>
      <c r="K1107">
        <v>96000</v>
      </c>
      <c r="L1107">
        <v>52800</v>
      </c>
      <c r="M1107">
        <v>43200</v>
      </c>
      <c r="N1107" t="s">
        <v>49</v>
      </c>
      <c r="O1107" t="s">
        <v>44</v>
      </c>
      <c r="P1107" t="s">
        <v>24</v>
      </c>
      <c r="Q1107" t="str">
        <f>TEXT(clean_data[[#This Row],[Date]],"mmm")</f>
        <v>Feb</v>
      </c>
      <c r="R1107">
        <f>YEAR(clean_data[[#This Row],[Date]])</f>
        <v>2022</v>
      </c>
      <c r="S1107" s="2">
        <f>clean_data[[#This Row],[Profit]]/clean_data[[#This Row],[Revenue]]</f>
        <v>0.45</v>
      </c>
      <c r="T1107" t="str" cm="1">
        <f t="array" ref="T1107">_xlfn.IFS(clean_data[[#This Row],[Revenue]]&lt;300000,"Small",
     clean_data[[#This Row],[Revenue]]&lt;700000,"Medium",
     TRUE,"Large")</f>
        <v>Small</v>
      </c>
      <c r="U1107" t="str" cm="1">
        <f t="array" ref="U1107">_xlfn.IFS(clean_data[[#This Row],[profit margin%]]&lt;0.5,"Low Profit",
     clean_data[[#This Row],[profit margin%]]&lt;0.6,"Medium Profit",
     TRUE,"High Profit")</f>
        <v>Low Profit</v>
      </c>
      <c r="V1107" t="str">
        <f>TEXT(clean_data[[#This Row],[Date]],"mmm-yyyy")</f>
        <v>Feb-2022</v>
      </c>
      <c r="W1107" s="8">
        <f>EOMONTH(clean_data[[#This Row],[Date]],-1)+1</f>
        <v>44593</v>
      </c>
    </row>
    <row r="1108" spans="1:23" x14ac:dyDescent="0.3">
      <c r="A1108" t="s">
        <v>1180</v>
      </c>
      <c r="B1108" s="1">
        <v>45424</v>
      </c>
      <c r="C1108" t="s">
        <v>58</v>
      </c>
      <c r="D1108" t="s">
        <v>64</v>
      </c>
      <c r="E1108" t="s">
        <v>52</v>
      </c>
      <c r="F1108" t="s">
        <v>33</v>
      </c>
      <c r="G1108" t="s">
        <v>34</v>
      </c>
      <c r="H1108">
        <v>10</v>
      </c>
      <c r="I1108">
        <v>25000</v>
      </c>
      <c r="J1108">
        <v>0</v>
      </c>
      <c r="K1108">
        <v>250000</v>
      </c>
      <c r="L1108">
        <v>125000</v>
      </c>
      <c r="M1108">
        <v>125000</v>
      </c>
      <c r="N1108" t="s">
        <v>22</v>
      </c>
      <c r="O1108" t="s">
        <v>44</v>
      </c>
      <c r="P1108" t="s">
        <v>24</v>
      </c>
      <c r="Q1108" t="str">
        <f>TEXT(clean_data[[#This Row],[Date]],"mmm")</f>
        <v>May</v>
      </c>
      <c r="R1108">
        <f>YEAR(clean_data[[#This Row],[Date]])</f>
        <v>2024</v>
      </c>
      <c r="S1108" s="2">
        <f>clean_data[[#This Row],[Profit]]/clean_data[[#This Row],[Revenue]]</f>
        <v>0.5</v>
      </c>
      <c r="T1108" t="str" cm="1">
        <f t="array" ref="T1108">_xlfn.IFS(clean_data[[#This Row],[Revenue]]&lt;300000,"Small",
     clean_data[[#This Row],[Revenue]]&lt;700000,"Medium",
     TRUE,"Large")</f>
        <v>Small</v>
      </c>
      <c r="U1108" t="str" cm="1">
        <f t="array" ref="U1108">_xlfn.IFS(clean_data[[#This Row],[profit margin%]]&lt;0.5,"Low Profit",
     clean_data[[#This Row],[profit margin%]]&lt;0.6,"Medium Profit",
     TRUE,"High Profit")</f>
        <v>Medium Profit</v>
      </c>
      <c r="V1108" t="str">
        <f>TEXT(clean_data[[#This Row],[Date]],"mmm-yyyy")</f>
        <v>May-2024</v>
      </c>
      <c r="W1108" s="8">
        <f>EOMONTH(clean_data[[#This Row],[Date]],-1)+1</f>
        <v>45413</v>
      </c>
    </row>
    <row r="1109" spans="1:23" x14ac:dyDescent="0.3">
      <c r="A1109" t="s">
        <v>1181</v>
      </c>
      <c r="B1109" s="1">
        <v>44985</v>
      </c>
      <c r="C1109" t="s">
        <v>58</v>
      </c>
      <c r="D1109" t="s">
        <v>64</v>
      </c>
      <c r="E1109" t="s">
        <v>19</v>
      </c>
      <c r="F1109" t="s">
        <v>28</v>
      </c>
      <c r="G1109" t="s">
        <v>87</v>
      </c>
      <c r="H1109">
        <v>26</v>
      </c>
      <c r="I1109">
        <v>45000</v>
      </c>
      <c r="J1109">
        <v>20</v>
      </c>
      <c r="K1109">
        <v>936000</v>
      </c>
      <c r="L1109">
        <v>514800</v>
      </c>
      <c r="M1109">
        <v>421200</v>
      </c>
      <c r="N1109" t="s">
        <v>22</v>
      </c>
      <c r="O1109" t="s">
        <v>67</v>
      </c>
      <c r="P1109" t="s">
        <v>24</v>
      </c>
      <c r="Q1109" t="str">
        <f>TEXT(clean_data[[#This Row],[Date]],"mmm")</f>
        <v>Feb</v>
      </c>
      <c r="R1109">
        <f>YEAR(clean_data[[#This Row],[Date]])</f>
        <v>2023</v>
      </c>
      <c r="S1109" s="2">
        <f>clean_data[[#This Row],[Profit]]/clean_data[[#This Row],[Revenue]]</f>
        <v>0.45</v>
      </c>
      <c r="T1109" t="str" cm="1">
        <f t="array" ref="T1109">_xlfn.IFS(clean_data[[#This Row],[Revenue]]&lt;300000,"Small",
     clean_data[[#This Row],[Revenue]]&lt;700000,"Medium",
     TRUE,"Large")</f>
        <v>Large</v>
      </c>
      <c r="U1109" t="str" cm="1">
        <f t="array" ref="U1109">_xlfn.IFS(clean_data[[#This Row],[profit margin%]]&lt;0.5,"Low Profit",
     clean_data[[#This Row],[profit margin%]]&lt;0.6,"Medium Profit",
     TRUE,"High Profit")</f>
        <v>Low Profit</v>
      </c>
      <c r="V1109" t="str">
        <f>TEXT(clean_data[[#This Row],[Date]],"mmm-yyyy")</f>
        <v>Feb-2023</v>
      </c>
      <c r="W1109" s="8">
        <f>EOMONTH(clean_data[[#This Row],[Date]],-1)+1</f>
        <v>44958</v>
      </c>
    </row>
    <row r="1110" spans="1:23" x14ac:dyDescent="0.3">
      <c r="A1110" t="s">
        <v>1182</v>
      </c>
      <c r="B1110" s="1">
        <v>44987</v>
      </c>
      <c r="C1110" t="s">
        <v>58</v>
      </c>
      <c r="D1110" t="s">
        <v>59</v>
      </c>
      <c r="E1110" t="s">
        <v>32</v>
      </c>
      <c r="F1110" t="s">
        <v>33</v>
      </c>
      <c r="G1110" t="s">
        <v>34</v>
      </c>
      <c r="H1110">
        <v>10</v>
      </c>
      <c r="I1110">
        <v>25000</v>
      </c>
      <c r="J1110">
        <v>0</v>
      </c>
      <c r="K1110">
        <v>250000</v>
      </c>
      <c r="L1110">
        <v>125000</v>
      </c>
      <c r="M1110">
        <v>125000</v>
      </c>
      <c r="N1110" t="s">
        <v>22</v>
      </c>
      <c r="O1110" t="s">
        <v>67</v>
      </c>
      <c r="P1110" t="s">
        <v>24</v>
      </c>
      <c r="Q1110" t="str">
        <f>TEXT(clean_data[[#This Row],[Date]],"mmm")</f>
        <v>Mar</v>
      </c>
      <c r="R1110">
        <f>YEAR(clean_data[[#This Row],[Date]])</f>
        <v>2023</v>
      </c>
      <c r="S1110" s="2">
        <f>clean_data[[#This Row],[Profit]]/clean_data[[#This Row],[Revenue]]</f>
        <v>0.5</v>
      </c>
      <c r="T1110" t="str" cm="1">
        <f t="array" ref="T1110">_xlfn.IFS(clean_data[[#This Row],[Revenue]]&lt;300000,"Small",
     clean_data[[#This Row],[Revenue]]&lt;700000,"Medium",
     TRUE,"Large")</f>
        <v>Small</v>
      </c>
      <c r="U1110" t="str" cm="1">
        <f t="array" ref="U1110">_xlfn.IFS(clean_data[[#This Row],[profit margin%]]&lt;0.5,"Low Profit",
     clean_data[[#This Row],[profit margin%]]&lt;0.6,"Medium Profit",
     TRUE,"High Profit")</f>
        <v>Medium Profit</v>
      </c>
      <c r="V1110" t="str">
        <f>TEXT(clean_data[[#This Row],[Date]],"mmm-yyyy")</f>
        <v>Mar-2023</v>
      </c>
      <c r="W1110" s="8">
        <f>EOMONTH(clean_data[[#This Row],[Date]],-1)+1</f>
        <v>44986</v>
      </c>
    </row>
    <row r="1111" spans="1:23" x14ac:dyDescent="0.3">
      <c r="A1111" t="s">
        <v>1183</v>
      </c>
      <c r="B1111" s="1">
        <v>45379</v>
      </c>
      <c r="C1111" t="s">
        <v>26</v>
      </c>
      <c r="D1111" t="s">
        <v>69</v>
      </c>
      <c r="E1111" t="s">
        <v>19</v>
      </c>
      <c r="F1111" t="s">
        <v>65</v>
      </c>
      <c r="G1111" t="s">
        <v>79</v>
      </c>
      <c r="H1111">
        <v>32</v>
      </c>
      <c r="I1111">
        <v>900</v>
      </c>
      <c r="J1111">
        <v>10</v>
      </c>
      <c r="K1111">
        <v>25920</v>
      </c>
      <c r="L1111">
        <v>11664</v>
      </c>
      <c r="M1111">
        <v>14256</v>
      </c>
      <c r="N1111" t="s">
        <v>49</v>
      </c>
      <c r="O1111" t="s">
        <v>23</v>
      </c>
      <c r="P1111" t="s">
        <v>24</v>
      </c>
      <c r="Q1111" t="str">
        <f>TEXT(clean_data[[#This Row],[Date]],"mmm")</f>
        <v>Mar</v>
      </c>
      <c r="R1111">
        <f>YEAR(clean_data[[#This Row],[Date]])</f>
        <v>2024</v>
      </c>
      <c r="S1111" s="2">
        <f>clean_data[[#This Row],[Profit]]/clean_data[[#This Row],[Revenue]]</f>
        <v>0.55000000000000004</v>
      </c>
      <c r="T1111" t="str" cm="1">
        <f t="array" ref="T1111">_xlfn.IFS(clean_data[[#This Row],[Revenue]]&lt;300000,"Small",
     clean_data[[#This Row],[Revenue]]&lt;700000,"Medium",
     TRUE,"Large")</f>
        <v>Small</v>
      </c>
      <c r="U1111" t="str" cm="1">
        <f t="array" ref="U1111">_xlfn.IFS(clean_data[[#This Row],[profit margin%]]&lt;0.5,"Low Profit",
     clean_data[[#This Row],[profit margin%]]&lt;0.6,"Medium Profit",
     TRUE,"High Profit")</f>
        <v>Medium Profit</v>
      </c>
      <c r="V1111" t="str">
        <f>TEXT(clean_data[[#This Row],[Date]],"mmm-yyyy")</f>
        <v>Mar-2024</v>
      </c>
      <c r="W1111" s="8">
        <f>EOMONTH(clean_data[[#This Row],[Date]],-1)+1</f>
        <v>45352</v>
      </c>
    </row>
    <row r="1112" spans="1:23" x14ac:dyDescent="0.3">
      <c r="A1112" t="s">
        <v>1184</v>
      </c>
      <c r="B1112" s="1">
        <v>45490</v>
      </c>
      <c r="C1112" t="s">
        <v>26</v>
      </c>
      <c r="D1112" t="s">
        <v>27</v>
      </c>
      <c r="E1112" t="s">
        <v>32</v>
      </c>
      <c r="F1112" t="s">
        <v>28</v>
      </c>
      <c r="G1112" t="s">
        <v>85</v>
      </c>
      <c r="H1112">
        <v>9</v>
      </c>
      <c r="I1112">
        <v>8000</v>
      </c>
      <c r="J1112">
        <v>0</v>
      </c>
      <c r="K1112">
        <v>72000</v>
      </c>
      <c r="L1112">
        <v>39600</v>
      </c>
      <c r="M1112">
        <v>32400</v>
      </c>
      <c r="N1112" t="s">
        <v>22</v>
      </c>
      <c r="O1112" t="s">
        <v>35</v>
      </c>
      <c r="P1112" t="s">
        <v>24</v>
      </c>
      <c r="Q1112" t="str">
        <f>TEXT(clean_data[[#This Row],[Date]],"mmm")</f>
        <v>Jul</v>
      </c>
      <c r="R1112">
        <f>YEAR(clean_data[[#This Row],[Date]])</f>
        <v>2024</v>
      </c>
      <c r="S1112" s="2">
        <f>clean_data[[#This Row],[Profit]]/clean_data[[#This Row],[Revenue]]</f>
        <v>0.45</v>
      </c>
      <c r="T1112" t="str" cm="1">
        <f t="array" ref="T1112">_xlfn.IFS(clean_data[[#This Row],[Revenue]]&lt;300000,"Small",
     clean_data[[#This Row],[Revenue]]&lt;700000,"Medium",
     TRUE,"Large")</f>
        <v>Small</v>
      </c>
      <c r="U1112" t="str" cm="1">
        <f t="array" ref="U1112">_xlfn.IFS(clean_data[[#This Row],[profit margin%]]&lt;0.5,"Low Profit",
     clean_data[[#This Row],[profit margin%]]&lt;0.6,"Medium Profit",
     TRUE,"High Profit")</f>
        <v>Low Profit</v>
      </c>
      <c r="V1112" t="str">
        <f>TEXT(clean_data[[#This Row],[Date]],"mmm-yyyy")</f>
        <v>Jul-2024</v>
      </c>
      <c r="W1112" s="8">
        <f>EOMONTH(clean_data[[#This Row],[Date]],-1)+1</f>
        <v>45474</v>
      </c>
    </row>
    <row r="1113" spans="1:23" x14ac:dyDescent="0.3">
      <c r="A1113" t="s">
        <v>1185</v>
      </c>
      <c r="B1113" s="1">
        <v>44872</v>
      </c>
      <c r="C1113" t="s">
        <v>58</v>
      </c>
      <c r="D1113" t="s">
        <v>84</v>
      </c>
      <c r="E1113" t="s">
        <v>56</v>
      </c>
      <c r="F1113" t="s">
        <v>65</v>
      </c>
      <c r="G1113" t="s">
        <v>66</v>
      </c>
      <c r="H1113">
        <v>11</v>
      </c>
      <c r="I1113">
        <v>5500</v>
      </c>
      <c r="J1113">
        <v>20</v>
      </c>
      <c r="K1113">
        <v>48400</v>
      </c>
      <c r="L1113">
        <v>21780</v>
      </c>
      <c r="M1113">
        <v>26620</v>
      </c>
      <c r="N1113" t="s">
        <v>30</v>
      </c>
      <c r="O1113" t="s">
        <v>67</v>
      </c>
      <c r="P1113" t="s">
        <v>24</v>
      </c>
      <c r="Q1113" t="str">
        <f>TEXT(clean_data[[#This Row],[Date]],"mmm")</f>
        <v>Nov</v>
      </c>
      <c r="R1113">
        <f>YEAR(clean_data[[#This Row],[Date]])</f>
        <v>2022</v>
      </c>
      <c r="S1113" s="2">
        <f>clean_data[[#This Row],[Profit]]/clean_data[[#This Row],[Revenue]]</f>
        <v>0.55000000000000004</v>
      </c>
      <c r="T1113" t="str" cm="1">
        <f t="array" ref="T1113">_xlfn.IFS(clean_data[[#This Row],[Revenue]]&lt;300000,"Small",
     clean_data[[#This Row],[Revenue]]&lt;700000,"Medium",
     TRUE,"Large")</f>
        <v>Small</v>
      </c>
      <c r="U1113" t="str" cm="1">
        <f t="array" ref="U1113">_xlfn.IFS(clean_data[[#This Row],[profit margin%]]&lt;0.5,"Low Profit",
     clean_data[[#This Row],[profit margin%]]&lt;0.6,"Medium Profit",
     TRUE,"High Profit")</f>
        <v>Medium Profit</v>
      </c>
      <c r="V1113" t="str">
        <f>TEXT(clean_data[[#This Row],[Date]],"mmm-yyyy")</f>
        <v>Nov-2022</v>
      </c>
      <c r="W1113" s="8">
        <f>EOMONTH(clean_data[[#This Row],[Date]],-1)+1</f>
        <v>44866</v>
      </c>
    </row>
    <row r="1114" spans="1:23" x14ac:dyDescent="0.3">
      <c r="A1114" t="s">
        <v>1186</v>
      </c>
      <c r="B1114" s="1">
        <v>45364</v>
      </c>
      <c r="C1114" t="s">
        <v>26</v>
      </c>
      <c r="D1114" t="s">
        <v>69</v>
      </c>
      <c r="E1114" t="s">
        <v>52</v>
      </c>
      <c r="F1114" t="s">
        <v>65</v>
      </c>
      <c r="G1114" t="s">
        <v>124</v>
      </c>
      <c r="H1114">
        <v>47</v>
      </c>
      <c r="I1114">
        <v>18000</v>
      </c>
      <c r="J1114">
        <v>10</v>
      </c>
      <c r="K1114">
        <v>761400</v>
      </c>
      <c r="L1114">
        <v>342630</v>
      </c>
      <c r="M1114">
        <v>418770</v>
      </c>
      <c r="N1114" t="s">
        <v>49</v>
      </c>
      <c r="O1114" t="s">
        <v>67</v>
      </c>
      <c r="P1114" t="s">
        <v>40</v>
      </c>
      <c r="Q1114" t="str">
        <f>TEXT(clean_data[[#This Row],[Date]],"mmm")</f>
        <v>Mar</v>
      </c>
      <c r="R1114">
        <f>YEAR(clean_data[[#This Row],[Date]])</f>
        <v>2024</v>
      </c>
      <c r="S1114" s="2">
        <f>clean_data[[#This Row],[Profit]]/clean_data[[#This Row],[Revenue]]</f>
        <v>0.55000000000000004</v>
      </c>
      <c r="T1114" t="str" cm="1">
        <f t="array" ref="T1114">_xlfn.IFS(clean_data[[#This Row],[Revenue]]&lt;300000,"Small",
     clean_data[[#This Row],[Revenue]]&lt;700000,"Medium",
     TRUE,"Large")</f>
        <v>Large</v>
      </c>
      <c r="U1114" t="str" cm="1">
        <f t="array" ref="U1114">_xlfn.IFS(clean_data[[#This Row],[profit margin%]]&lt;0.5,"Low Profit",
     clean_data[[#This Row],[profit margin%]]&lt;0.6,"Medium Profit",
     TRUE,"High Profit")</f>
        <v>Medium Profit</v>
      </c>
      <c r="V1114" t="str">
        <f>TEXT(clean_data[[#This Row],[Date]],"mmm-yyyy")</f>
        <v>Mar-2024</v>
      </c>
      <c r="W1114" s="8">
        <f>EOMONTH(clean_data[[#This Row],[Date]],-1)+1</f>
        <v>45352</v>
      </c>
    </row>
    <row r="1115" spans="1:23" x14ac:dyDescent="0.3">
      <c r="A1115" t="s">
        <v>1187</v>
      </c>
      <c r="B1115" s="1">
        <v>45279</v>
      </c>
      <c r="C1115" t="s">
        <v>46</v>
      </c>
      <c r="D1115" t="s">
        <v>47</v>
      </c>
      <c r="E1115" t="s">
        <v>73</v>
      </c>
      <c r="F1115" t="s">
        <v>20</v>
      </c>
      <c r="G1115" t="s">
        <v>53</v>
      </c>
      <c r="H1115">
        <v>46</v>
      </c>
      <c r="I1115">
        <v>600</v>
      </c>
      <c r="J1115">
        <v>10</v>
      </c>
      <c r="K1115">
        <v>24840</v>
      </c>
      <c r="L1115">
        <v>9936</v>
      </c>
      <c r="M1115">
        <v>14904</v>
      </c>
      <c r="N1115" t="s">
        <v>22</v>
      </c>
      <c r="O1115" t="s">
        <v>50</v>
      </c>
      <c r="P1115" t="s">
        <v>40</v>
      </c>
      <c r="Q1115" t="str">
        <f>TEXT(clean_data[[#This Row],[Date]],"mmm")</f>
        <v>Dec</v>
      </c>
      <c r="R1115">
        <f>YEAR(clean_data[[#This Row],[Date]])</f>
        <v>2023</v>
      </c>
      <c r="S1115" s="2">
        <f>clean_data[[#This Row],[Profit]]/clean_data[[#This Row],[Revenue]]</f>
        <v>0.6</v>
      </c>
      <c r="T1115" t="str" cm="1">
        <f t="array" ref="T1115">_xlfn.IFS(clean_data[[#This Row],[Revenue]]&lt;300000,"Small",
     clean_data[[#This Row],[Revenue]]&lt;700000,"Medium",
     TRUE,"Large")</f>
        <v>Small</v>
      </c>
      <c r="U1115" t="str" cm="1">
        <f t="array" ref="U1115">_xlfn.IFS(clean_data[[#This Row],[profit margin%]]&lt;0.5,"Low Profit",
     clean_data[[#This Row],[profit margin%]]&lt;0.6,"Medium Profit",
     TRUE,"High Profit")</f>
        <v>High Profit</v>
      </c>
      <c r="V1115" t="str">
        <f>TEXT(clean_data[[#This Row],[Date]],"mmm-yyyy")</f>
        <v>Dec-2023</v>
      </c>
      <c r="W1115" s="8">
        <f>EOMONTH(clean_data[[#This Row],[Date]],-1)+1</f>
        <v>45261</v>
      </c>
    </row>
    <row r="1116" spans="1:23" x14ac:dyDescent="0.3">
      <c r="A1116" t="s">
        <v>1188</v>
      </c>
      <c r="B1116" s="1">
        <v>45488</v>
      </c>
      <c r="C1116" t="s">
        <v>46</v>
      </c>
      <c r="D1116" t="s">
        <v>55</v>
      </c>
      <c r="E1116" t="s">
        <v>78</v>
      </c>
      <c r="F1116" t="s">
        <v>20</v>
      </c>
      <c r="G1116" t="s">
        <v>53</v>
      </c>
      <c r="H1116">
        <v>46</v>
      </c>
      <c r="I1116">
        <v>600</v>
      </c>
      <c r="J1116">
        <v>15</v>
      </c>
      <c r="K1116">
        <v>23460</v>
      </c>
      <c r="L1116">
        <v>9384</v>
      </c>
      <c r="M1116">
        <v>14076</v>
      </c>
      <c r="N1116" t="s">
        <v>49</v>
      </c>
      <c r="O1116" t="s">
        <v>23</v>
      </c>
      <c r="P1116" t="s">
        <v>24</v>
      </c>
      <c r="Q1116" t="str">
        <f>TEXT(clean_data[[#This Row],[Date]],"mmm")</f>
        <v>Jul</v>
      </c>
      <c r="R1116">
        <f>YEAR(clean_data[[#This Row],[Date]])</f>
        <v>2024</v>
      </c>
      <c r="S1116" s="2">
        <f>clean_data[[#This Row],[Profit]]/clean_data[[#This Row],[Revenue]]</f>
        <v>0.6</v>
      </c>
      <c r="T1116" t="str" cm="1">
        <f t="array" ref="T1116">_xlfn.IFS(clean_data[[#This Row],[Revenue]]&lt;300000,"Small",
     clean_data[[#This Row],[Revenue]]&lt;700000,"Medium",
     TRUE,"Large")</f>
        <v>Small</v>
      </c>
      <c r="U1116" t="str" cm="1">
        <f t="array" ref="U1116">_xlfn.IFS(clean_data[[#This Row],[profit margin%]]&lt;0.5,"Low Profit",
     clean_data[[#This Row],[profit margin%]]&lt;0.6,"Medium Profit",
     TRUE,"High Profit")</f>
        <v>High Profit</v>
      </c>
      <c r="V1116" t="str">
        <f>TEXT(clean_data[[#This Row],[Date]],"mmm-yyyy")</f>
        <v>Jul-2024</v>
      </c>
      <c r="W1116" s="8">
        <f>EOMONTH(clean_data[[#This Row],[Date]],-1)+1</f>
        <v>45474</v>
      </c>
    </row>
    <row r="1117" spans="1:23" x14ac:dyDescent="0.3">
      <c r="A1117" t="s">
        <v>1189</v>
      </c>
      <c r="B1117" s="1">
        <v>44900</v>
      </c>
      <c r="C1117" t="s">
        <v>58</v>
      </c>
      <c r="D1117" t="s">
        <v>84</v>
      </c>
      <c r="E1117" t="s">
        <v>56</v>
      </c>
      <c r="F1117" t="s">
        <v>33</v>
      </c>
      <c r="G1117" t="s">
        <v>76</v>
      </c>
      <c r="H1117">
        <v>13</v>
      </c>
      <c r="I1117">
        <v>8500</v>
      </c>
      <c r="J1117">
        <v>0</v>
      </c>
      <c r="K1117">
        <v>110500</v>
      </c>
      <c r="L1117">
        <v>55250</v>
      </c>
      <c r="M1117">
        <v>55250</v>
      </c>
      <c r="N1117" t="s">
        <v>49</v>
      </c>
      <c r="O1117" t="s">
        <v>50</v>
      </c>
      <c r="P1117" t="s">
        <v>40</v>
      </c>
      <c r="Q1117" t="str">
        <f>TEXT(clean_data[[#This Row],[Date]],"mmm")</f>
        <v>Dec</v>
      </c>
      <c r="R1117">
        <f>YEAR(clean_data[[#This Row],[Date]])</f>
        <v>2022</v>
      </c>
      <c r="S1117" s="2">
        <f>clean_data[[#This Row],[Profit]]/clean_data[[#This Row],[Revenue]]</f>
        <v>0.5</v>
      </c>
      <c r="T1117" t="str" cm="1">
        <f t="array" ref="T1117">_xlfn.IFS(clean_data[[#This Row],[Revenue]]&lt;300000,"Small",
     clean_data[[#This Row],[Revenue]]&lt;700000,"Medium",
     TRUE,"Large")</f>
        <v>Small</v>
      </c>
      <c r="U1117" t="str" cm="1">
        <f t="array" ref="U1117">_xlfn.IFS(clean_data[[#This Row],[profit margin%]]&lt;0.5,"Low Profit",
     clean_data[[#This Row],[profit margin%]]&lt;0.6,"Medium Profit",
     TRUE,"High Profit")</f>
        <v>Medium Profit</v>
      </c>
      <c r="V1117" t="str">
        <f>TEXT(clean_data[[#This Row],[Date]],"mmm-yyyy")</f>
        <v>Dec-2022</v>
      </c>
      <c r="W1117" s="8">
        <f>EOMONTH(clean_data[[#This Row],[Date]],-1)+1</f>
        <v>44896</v>
      </c>
    </row>
    <row r="1118" spans="1:23" x14ac:dyDescent="0.3">
      <c r="A1118" t="s">
        <v>1190</v>
      </c>
      <c r="B1118" s="1">
        <v>44744</v>
      </c>
      <c r="C1118" t="s">
        <v>58</v>
      </c>
      <c r="D1118" t="s">
        <v>64</v>
      </c>
      <c r="E1118" t="s">
        <v>78</v>
      </c>
      <c r="F1118" t="s">
        <v>28</v>
      </c>
      <c r="G1118" t="s">
        <v>71</v>
      </c>
      <c r="H1118">
        <v>41</v>
      </c>
      <c r="I1118">
        <v>35000</v>
      </c>
      <c r="J1118">
        <v>20</v>
      </c>
      <c r="K1118">
        <v>1148000</v>
      </c>
      <c r="L1118">
        <v>631400</v>
      </c>
      <c r="M1118">
        <v>516600</v>
      </c>
      <c r="N1118" t="s">
        <v>49</v>
      </c>
      <c r="O1118" t="s">
        <v>35</v>
      </c>
      <c r="P1118" t="s">
        <v>24</v>
      </c>
      <c r="Q1118" t="str">
        <f>TEXT(clean_data[[#This Row],[Date]],"mmm")</f>
        <v>Jul</v>
      </c>
      <c r="R1118">
        <f>YEAR(clean_data[[#This Row],[Date]])</f>
        <v>2022</v>
      </c>
      <c r="S1118" s="2">
        <f>clean_data[[#This Row],[Profit]]/clean_data[[#This Row],[Revenue]]</f>
        <v>0.45</v>
      </c>
      <c r="T1118" t="str" cm="1">
        <f t="array" ref="T1118">_xlfn.IFS(clean_data[[#This Row],[Revenue]]&lt;300000,"Small",
     clean_data[[#This Row],[Revenue]]&lt;700000,"Medium",
     TRUE,"Large")</f>
        <v>Large</v>
      </c>
      <c r="U1118" t="str" cm="1">
        <f t="array" ref="U1118">_xlfn.IFS(clean_data[[#This Row],[profit margin%]]&lt;0.5,"Low Profit",
     clean_data[[#This Row],[profit margin%]]&lt;0.6,"Medium Profit",
     TRUE,"High Profit")</f>
        <v>Low Profit</v>
      </c>
      <c r="V1118" t="str">
        <f>TEXT(clean_data[[#This Row],[Date]],"mmm-yyyy")</f>
        <v>Jul-2022</v>
      </c>
      <c r="W1118" s="8">
        <f>EOMONTH(clean_data[[#This Row],[Date]],-1)+1</f>
        <v>44743</v>
      </c>
    </row>
    <row r="1119" spans="1:23" x14ac:dyDescent="0.3">
      <c r="A1119" t="s">
        <v>1191</v>
      </c>
      <c r="B1119" s="1">
        <v>44935</v>
      </c>
      <c r="C1119" t="s">
        <v>17</v>
      </c>
      <c r="D1119" t="s">
        <v>37</v>
      </c>
      <c r="E1119" t="s">
        <v>38</v>
      </c>
      <c r="F1119" t="s">
        <v>33</v>
      </c>
      <c r="G1119" t="s">
        <v>34</v>
      </c>
      <c r="H1119">
        <v>40</v>
      </c>
      <c r="I1119">
        <v>25000</v>
      </c>
      <c r="J1119">
        <v>15</v>
      </c>
      <c r="K1119">
        <v>850000</v>
      </c>
      <c r="L1119">
        <v>425000</v>
      </c>
      <c r="M1119">
        <v>425000</v>
      </c>
      <c r="N1119" t="s">
        <v>22</v>
      </c>
      <c r="O1119" t="s">
        <v>67</v>
      </c>
      <c r="P1119" t="s">
        <v>24</v>
      </c>
      <c r="Q1119" t="str">
        <f>TEXT(clean_data[[#This Row],[Date]],"mmm")</f>
        <v>Jan</v>
      </c>
      <c r="R1119">
        <f>YEAR(clean_data[[#This Row],[Date]])</f>
        <v>2023</v>
      </c>
      <c r="S1119" s="2">
        <f>clean_data[[#This Row],[Profit]]/clean_data[[#This Row],[Revenue]]</f>
        <v>0.5</v>
      </c>
      <c r="T1119" t="str" cm="1">
        <f t="array" ref="T1119">_xlfn.IFS(clean_data[[#This Row],[Revenue]]&lt;300000,"Small",
     clean_data[[#This Row],[Revenue]]&lt;700000,"Medium",
     TRUE,"Large")</f>
        <v>Large</v>
      </c>
      <c r="U1119" t="str" cm="1">
        <f t="array" ref="U1119">_xlfn.IFS(clean_data[[#This Row],[profit margin%]]&lt;0.5,"Low Profit",
     clean_data[[#This Row],[profit margin%]]&lt;0.6,"Medium Profit",
     TRUE,"High Profit")</f>
        <v>Medium Profit</v>
      </c>
      <c r="V1119" t="str">
        <f>TEXT(clean_data[[#This Row],[Date]],"mmm-yyyy")</f>
        <v>Jan-2023</v>
      </c>
      <c r="W1119" s="8">
        <f>EOMONTH(clean_data[[#This Row],[Date]],-1)+1</f>
        <v>44927</v>
      </c>
    </row>
    <row r="1120" spans="1:23" x14ac:dyDescent="0.3">
      <c r="A1120" t="s">
        <v>1192</v>
      </c>
      <c r="B1120" s="1">
        <v>44929</v>
      </c>
      <c r="C1120" t="s">
        <v>46</v>
      </c>
      <c r="D1120" t="s">
        <v>47</v>
      </c>
      <c r="E1120" t="s">
        <v>19</v>
      </c>
      <c r="F1120" t="s">
        <v>33</v>
      </c>
      <c r="G1120" t="s">
        <v>76</v>
      </c>
      <c r="H1120">
        <v>17</v>
      </c>
      <c r="I1120">
        <v>8500</v>
      </c>
      <c r="J1120">
        <v>20</v>
      </c>
      <c r="K1120">
        <v>115600</v>
      </c>
      <c r="L1120">
        <v>57800</v>
      </c>
      <c r="M1120">
        <v>57800</v>
      </c>
      <c r="N1120" t="s">
        <v>30</v>
      </c>
      <c r="O1120" t="s">
        <v>67</v>
      </c>
      <c r="P1120" t="s">
        <v>24</v>
      </c>
      <c r="Q1120" t="str">
        <f>TEXT(clean_data[[#This Row],[Date]],"mmm")</f>
        <v>Jan</v>
      </c>
      <c r="R1120">
        <f>YEAR(clean_data[[#This Row],[Date]])</f>
        <v>2023</v>
      </c>
      <c r="S1120" s="2">
        <f>clean_data[[#This Row],[Profit]]/clean_data[[#This Row],[Revenue]]</f>
        <v>0.5</v>
      </c>
      <c r="T1120" t="str" cm="1">
        <f t="array" ref="T1120">_xlfn.IFS(clean_data[[#This Row],[Revenue]]&lt;300000,"Small",
     clean_data[[#This Row],[Revenue]]&lt;700000,"Medium",
     TRUE,"Large")</f>
        <v>Small</v>
      </c>
      <c r="U1120" t="str" cm="1">
        <f t="array" ref="U1120">_xlfn.IFS(clean_data[[#This Row],[profit margin%]]&lt;0.5,"Low Profit",
     clean_data[[#This Row],[profit margin%]]&lt;0.6,"Medium Profit",
     TRUE,"High Profit")</f>
        <v>Medium Profit</v>
      </c>
      <c r="V1120" t="str">
        <f>TEXT(clean_data[[#This Row],[Date]],"mmm-yyyy")</f>
        <v>Jan-2023</v>
      </c>
      <c r="W1120" s="8">
        <f>EOMONTH(clean_data[[#This Row],[Date]],-1)+1</f>
        <v>44927</v>
      </c>
    </row>
    <row r="1121" spans="1:23" x14ac:dyDescent="0.3">
      <c r="A1121" t="s">
        <v>1193</v>
      </c>
      <c r="B1121" s="1">
        <v>45302</v>
      </c>
      <c r="C1121" t="s">
        <v>17</v>
      </c>
      <c r="D1121" t="s">
        <v>42</v>
      </c>
      <c r="E1121" t="s">
        <v>38</v>
      </c>
      <c r="F1121" t="s">
        <v>65</v>
      </c>
      <c r="G1121" t="s">
        <v>104</v>
      </c>
      <c r="H1121">
        <v>11</v>
      </c>
      <c r="I1121">
        <v>3000</v>
      </c>
      <c r="J1121">
        <v>0</v>
      </c>
      <c r="K1121">
        <v>33000</v>
      </c>
      <c r="L1121">
        <v>14850</v>
      </c>
      <c r="M1121">
        <v>18150</v>
      </c>
      <c r="N1121" t="s">
        <v>30</v>
      </c>
      <c r="O1121" t="s">
        <v>35</v>
      </c>
      <c r="P1121" t="s">
        <v>24</v>
      </c>
      <c r="Q1121" t="str">
        <f>TEXT(clean_data[[#This Row],[Date]],"mmm")</f>
        <v>Jan</v>
      </c>
      <c r="R1121">
        <f>YEAR(clean_data[[#This Row],[Date]])</f>
        <v>2024</v>
      </c>
      <c r="S1121" s="2">
        <f>clean_data[[#This Row],[Profit]]/clean_data[[#This Row],[Revenue]]</f>
        <v>0.55000000000000004</v>
      </c>
      <c r="T1121" t="str" cm="1">
        <f t="array" ref="T1121">_xlfn.IFS(clean_data[[#This Row],[Revenue]]&lt;300000,"Small",
     clean_data[[#This Row],[Revenue]]&lt;700000,"Medium",
     TRUE,"Large")</f>
        <v>Small</v>
      </c>
      <c r="U1121" t="str" cm="1">
        <f t="array" ref="U1121">_xlfn.IFS(clean_data[[#This Row],[profit margin%]]&lt;0.5,"Low Profit",
     clean_data[[#This Row],[profit margin%]]&lt;0.6,"Medium Profit",
     TRUE,"High Profit")</f>
        <v>Medium Profit</v>
      </c>
      <c r="V1121" t="str">
        <f>TEXT(clean_data[[#This Row],[Date]],"mmm-yyyy")</f>
        <v>Jan-2024</v>
      </c>
      <c r="W1121" s="8">
        <f>EOMONTH(clean_data[[#This Row],[Date]],-1)+1</f>
        <v>45292</v>
      </c>
    </row>
    <row r="1122" spans="1:23" x14ac:dyDescent="0.3">
      <c r="A1122" t="s">
        <v>1194</v>
      </c>
      <c r="B1122" s="1">
        <v>44839</v>
      </c>
      <c r="C1122" t="s">
        <v>46</v>
      </c>
      <c r="D1122" t="s">
        <v>55</v>
      </c>
      <c r="E1122" t="s">
        <v>56</v>
      </c>
      <c r="F1122" t="s">
        <v>33</v>
      </c>
      <c r="G1122" t="s">
        <v>39</v>
      </c>
      <c r="H1122">
        <v>4</v>
      </c>
      <c r="I1122">
        <v>5000</v>
      </c>
      <c r="J1122">
        <v>5</v>
      </c>
      <c r="K1122">
        <v>19000</v>
      </c>
      <c r="L1122">
        <v>9500</v>
      </c>
      <c r="M1122">
        <v>9500</v>
      </c>
      <c r="N1122" t="s">
        <v>49</v>
      </c>
      <c r="O1122" t="s">
        <v>23</v>
      </c>
      <c r="P1122" t="s">
        <v>40</v>
      </c>
      <c r="Q1122" t="str">
        <f>TEXT(clean_data[[#This Row],[Date]],"mmm")</f>
        <v>Oct</v>
      </c>
      <c r="R1122">
        <f>YEAR(clean_data[[#This Row],[Date]])</f>
        <v>2022</v>
      </c>
      <c r="S1122" s="2">
        <f>clean_data[[#This Row],[Profit]]/clean_data[[#This Row],[Revenue]]</f>
        <v>0.5</v>
      </c>
      <c r="T1122" t="str" cm="1">
        <f t="array" ref="T1122">_xlfn.IFS(clean_data[[#This Row],[Revenue]]&lt;300000,"Small",
     clean_data[[#This Row],[Revenue]]&lt;700000,"Medium",
     TRUE,"Large")</f>
        <v>Small</v>
      </c>
      <c r="U1122" t="str" cm="1">
        <f t="array" ref="U1122">_xlfn.IFS(clean_data[[#This Row],[profit margin%]]&lt;0.5,"Low Profit",
     clean_data[[#This Row],[profit margin%]]&lt;0.6,"Medium Profit",
     TRUE,"High Profit")</f>
        <v>Medium Profit</v>
      </c>
      <c r="V1122" t="str">
        <f>TEXT(clean_data[[#This Row],[Date]],"mmm-yyyy")</f>
        <v>Oct-2022</v>
      </c>
      <c r="W1122" s="8">
        <f>EOMONTH(clean_data[[#This Row],[Date]],-1)+1</f>
        <v>44835</v>
      </c>
    </row>
    <row r="1123" spans="1:23" x14ac:dyDescent="0.3">
      <c r="A1123" t="s">
        <v>1195</v>
      </c>
      <c r="B1123" s="1">
        <v>45484</v>
      </c>
      <c r="C1123" t="s">
        <v>17</v>
      </c>
      <c r="D1123" t="s">
        <v>42</v>
      </c>
      <c r="E1123" t="s">
        <v>52</v>
      </c>
      <c r="F1123" t="s">
        <v>20</v>
      </c>
      <c r="G1123" t="s">
        <v>53</v>
      </c>
      <c r="H1123">
        <v>26</v>
      </c>
      <c r="I1123">
        <v>600</v>
      </c>
      <c r="J1123">
        <v>15</v>
      </c>
      <c r="K1123">
        <v>13260</v>
      </c>
      <c r="L1123">
        <v>5304</v>
      </c>
      <c r="M1123">
        <v>7956</v>
      </c>
      <c r="N1123" t="s">
        <v>22</v>
      </c>
      <c r="O1123" t="s">
        <v>23</v>
      </c>
      <c r="P1123" t="s">
        <v>24</v>
      </c>
      <c r="Q1123" t="str">
        <f>TEXT(clean_data[[#This Row],[Date]],"mmm")</f>
        <v>Jul</v>
      </c>
      <c r="R1123">
        <f>YEAR(clean_data[[#This Row],[Date]])</f>
        <v>2024</v>
      </c>
      <c r="S1123" s="2">
        <f>clean_data[[#This Row],[Profit]]/clean_data[[#This Row],[Revenue]]</f>
        <v>0.6</v>
      </c>
      <c r="T1123" t="str" cm="1">
        <f t="array" ref="T1123">_xlfn.IFS(clean_data[[#This Row],[Revenue]]&lt;300000,"Small",
     clean_data[[#This Row],[Revenue]]&lt;700000,"Medium",
     TRUE,"Large")</f>
        <v>Small</v>
      </c>
      <c r="U1123" t="str" cm="1">
        <f t="array" ref="U1123">_xlfn.IFS(clean_data[[#This Row],[profit margin%]]&lt;0.5,"Low Profit",
     clean_data[[#This Row],[profit margin%]]&lt;0.6,"Medium Profit",
     TRUE,"High Profit")</f>
        <v>High Profit</v>
      </c>
      <c r="V1123" t="str">
        <f>TEXT(clean_data[[#This Row],[Date]],"mmm-yyyy")</f>
        <v>Jul-2024</v>
      </c>
      <c r="W1123" s="8">
        <f>EOMONTH(clean_data[[#This Row],[Date]],-1)+1</f>
        <v>45474</v>
      </c>
    </row>
    <row r="1124" spans="1:23" x14ac:dyDescent="0.3">
      <c r="A1124" t="s">
        <v>1196</v>
      </c>
      <c r="B1124" s="1">
        <v>45240</v>
      </c>
      <c r="C1124" t="s">
        <v>17</v>
      </c>
      <c r="D1124" t="s">
        <v>42</v>
      </c>
      <c r="E1124" t="s">
        <v>52</v>
      </c>
      <c r="F1124" t="s">
        <v>20</v>
      </c>
      <c r="G1124" t="s">
        <v>74</v>
      </c>
      <c r="H1124">
        <v>41</v>
      </c>
      <c r="I1124">
        <v>4200</v>
      </c>
      <c r="J1124">
        <v>10</v>
      </c>
      <c r="K1124">
        <v>154980</v>
      </c>
      <c r="L1124">
        <v>61992</v>
      </c>
      <c r="M1124">
        <v>92988</v>
      </c>
      <c r="N1124" t="s">
        <v>49</v>
      </c>
      <c r="O1124" t="s">
        <v>67</v>
      </c>
      <c r="P1124" t="s">
        <v>24</v>
      </c>
      <c r="Q1124" t="str">
        <f>TEXT(clean_data[[#This Row],[Date]],"mmm")</f>
        <v>Nov</v>
      </c>
      <c r="R1124">
        <f>YEAR(clean_data[[#This Row],[Date]])</f>
        <v>2023</v>
      </c>
      <c r="S1124" s="2">
        <f>clean_data[[#This Row],[Profit]]/clean_data[[#This Row],[Revenue]]</f>
        <v>0.6</v>
      </c>
      <c r="T1124" t="str" cm="1">
        <f t="array" ref="T1124">_xlfn.IFS(clean_data[[#This Row],[Revenue]]&lt;300000,"Small",
     clean_data[[#This Row],[Revenue]]&lt;700000,"Medium",
     TRUE,"Large")</f>
        <v>Small</v>
      </c>
      <c r="U1124" t="str" cm="1">
        <f t="array" ref="U1124">_xlfn.IFS(clean_data[[#This Row],[profit margin%]]&lt;0.5,"Low Profit",
     clean_data[[#This Row],[profit margin%]]&lt;0.6,"Medium Profit",
     TRUE,"High Profit")</f>
        <v>High Profit</v>
      </c>
      <c r="V1124" t="str">
        <f>TEXT(clean_data[[#This Row],[Date]],"mmm-yyyy")</f>
        <v>Nov-2023</v>
      </c>
      <c r="W1124" s="8">
        <f>EOMONTH(clean_data[[#This Row],[Date]],-1)+1</f>
        <v>45231</v>
      </c>
    </row>
    <row r="1125" spans="1:23" x14ac:dyDescent="0.3">
      <c r="A1125" t="s">
        <v>1197</v>
      </c>
      <c r="B1125" s="1">
        <v>45428</v>
      </c>
      <c r="C1125" t="s">
        <v>17</v>
      </c>
      <c r="D1125" t="s">
        <v>42</v>
      </c>
      <c r="E1125" t="s">
        <v>52</v>
      </c>
      <c r="F1125" t="s">
        <v>65</v>
      </c>
      <c r="G1125" t="s">
        <v>124</v>
      </c>
      <c r="H1125">
        <v>12</v>
      </c>
      <c r="I1125">
        <v>18000</v>
      </c>
      <c r="J1125">
        <v>0</v>
      </c>
      <c r="K1125">
        <v>216000</v>
      </c>
      <c r="L1125">
        <v>97200</v>
      </c>
      <c r="M1125">
        <v>118800</v>
      </c>
      <c r="N1125" t="s">
        <v>49</v>
      </c>
      <c r="O1125" t="s">
        <v>50</v>
      </c>
      <c r="P1125" t="s">
        <v>24</v>
      </c>
      <c r="Q1125" t="str">
        <f>TEXT(clean_data[[#This Row],[Date]],"mmm")</f>
        <v>May</v>
      </c>
      <c r="R1125">
        <f>YEAR(clean_data[[#This Row],[Date]])</f>
        <v>2024</v>
      </c>
      <c r="S1125" s="2">
        <f>clean_data[[#This Row],[Profit]]/clean_data[[#This Row],[Revenue]]</f>
        <v>0.55000000000000004</v>
      </c>
      <c r="T1125" t="str" cm="1">
        <f t="array" ref="T1125">_xlfn.IFS(clean_data[[#This Row],[Revenue]]&lt;300000,"Small",
     clean_data[[#This Row],[Revenue]]&lt;700000,"Medium",
     TRUE,"Large")</f>
        <v>Small</v>
      </c>
      <c r="U1125" t="str" cm="1">
        <f t="array" ref="U1125">_xlfn.IFS(clean_data[[#This Row],[profit margin%]]&lt;0.5,"Low Profit",
     clean_data[[#This Row],[profit margin%]]&lt;0.6,"Medium Profit",
     TRUE,"High Profit")</f>
        <v>Medium Profit</v>
      </c>
      <c r="V1125" t="str">
        <f>TEXT(clean_data[[#This Row],[Date]],"mmm-yyyy")</f>
        <v>May-2024</v>
      </c>
      <c r="W1125" s="8">
        <f>EOMONTH(clean_data[[#This Row],[Date]],-1)+1</f>
        <v>45413</v>
      </c>
    </row>
    <row r="1126" spans="1:23" x14ac:dyDescent="0.3">
      <c r="A1126" t="s">
        <v>1198</v>
      </c>
      <c r="B1126" s="1">
        <v>45389</v>
      </c>
      <c r="C1126" t="s">
        <v>46</v>
      </c>
      <c r="D1126" t="s">
        <v>55</v>
      </c>
      <c r="E1126" t="s">
        <v>70</v>
      </c>
      <c r="F1126" t="s">
        <v>20</v>
      </c>
      <c r="G1126" t="s">
        <v>21</v>
      </c>
      <c r="H1126">
        <v>13</v>
      </c>
      <c r="I1126">
        <v>3500</v>
      </c>
      <c r="J1126">
        <v>15</v>
      </c>
      <c r="K1126">
        <v>38675</v>
      </c>
      <c r="L1126">
        <v>15470</v>
      </c>
      <c r="M1126">
        <v>23205</v>
      </c>
      <c r="N1126" t="s">
        <v>22</v>
      </c>
      <c r="O1126" t="s">
        <v>44</v>
      </c>
      <c r="P1126" t="s">
        <v>24</v>
      </c>
      <c r="Q1126" t="str">
        <f>TEXT(clean_data[[#This Row],[Date]],"mmm")</f>
        <v>Apr</v>
      </c>
      <c r="R1126">
        <f>YEAR(clean_data[[#This Row],[Date]])</f>
        <v>2024</v>
      </c>
      <c r="S1126" s="2">
        <f>clean_data[[#This Row],[Profit]]/clean_data[[#This Row],[Revenue]]</f>
        <v>0.6</v>
      </c>
      <c r="T1126" t="str" cm="1">
        <f t="array" ref="T1126">_xlfn.IFS(clean_data[[#This Row],[Revenue]]&lt;300000,"Small",
     clean_data[[#This Row],[Revenue]]&lt;700000,"Medium",
     TRUE,"Large")</f>
        <v>Small</v>
      </c>
      <c r="U1126" t="str" cm="1">
        <f t="array" ref="U1126">_xlfn.IFS(clean_data[[#This Row],[profit margin%]]&lt;0.5,"Low Profit",
     clean_data[[#This Row],[profit margin%]]&lt;0.6,"Medium Profit",
     TRUE,"High Profit")</f>
        <v>High Profit</v>
      </c>
      <c r="V1126" t="str">
        <f>TEXT(clean_data[[#This Row],[Date]],"mmm-yyyy")</f>
        <v>Apr-2024</v>
      </c>
      <c r="W1126" s="8">
        <f>EOMONTH(clean_data[[#This Row],[Date]],-1)+1</f>
        <v>45383</v>
      </c>
    </row>
    <row r="1127" spans="1:23" x14ac:dyDescent="0.3">
      <c r="A1127" t="s">
        <v>1199</v>
      </c>
      <c r="B1127" s="1">
        <v>44580</v>
      </c>
      <c r="C1127" t="s">
        <v>17</v>
      </c>
      <c r="D1127" t="s">
        <v>37</v>
      </c>
      <c r="E1127" t="s">
        <v>52</v>
      </c>
      <c r="F1127" t="s">
        <v>33</v>
      </c>
      <c r="G1127" t="s">
        <v>34</v>
      </c>
      <c r="H1127">
        <v>33</v>
      </c>
      <c r="I1127">
        <v>25000</v>
      </c>
      <c r="J1127">
        <v>0</v>
      </c>
      <c r="K1127">
        <v>825000</v>
      </c>
      <c r="L1127">
        <v>412500</v>
      </c>
      <c r="M1127">
        <v>412500</v>
      </c>
      <c r="N1127" t="s">
        <v>49</v>
      </c>
      <c r="O1127" t="s">
        <v>35</v>
      </c>
      <c r="P1127" t="s">
        <v>40</v>
      </c>
      <c r="Q1127" t="str">
        <f>TEXT(clean_data[[#This Row],[Date]],"mmm")</f>
        <v>Jan</v>
      </c>
      <c r="R1127">
        <f>YEAR(clean_data[[#This Row],[Date]])</f>
        <v>2022</v>
      </c>
      <c r="S1127" s="2">
        <f>clean_data[[#This Row],[Profit]]/clean_data[[#This Row],[Revenue]]</f>
        <v>0.5</v>
      </c>
      <c r="T1127" t="str" cm="1">
        <f t="array" ref="T1127">_xlfn.IFS(clean_data[[#This Row],[Revenue]]&lt;300000,"Small",
     clean_data[[#This Row],[Revenue]]&lt;700000,"Medium",
     TRUE,"Large")</f>
        <v>Large</v>
      </c>
      <c r="U1127" t="str" cm="1">
        <f t="array" ref="U1127">_xlfn.IFS(clean_data[[#This Row],[profit margin%]]&lt;0.5,"Low Profit",
     clean_data[[#This Row],[profit margin%]]&lt;0.6,"Medium Profit",
     TRUE,"High Profit")</f>
        <v>Medium Profit</v>
      </c>
      <c r="V1127" t="str">
        <f>TEXT(clean_data[[#This Row],[Date]],"mmm-yyyy")</f>
        <v>Jan-2022</v>
      </c>
      <c r="W1127" s="8">
        <f>EOMONTH(clean_data[[#This Row],[Date]],-1)+1</f>
        <v>44562</v>
      </c>
    </row>
    <row r="1128" spans="1:23" x14ac:dyDescent="0.3">
      <c r="A1128" t="s">
        <v>1200</v>
      </c>
      <c r="B1128" s="1">
        <v>45098</v>
      </c>
      <c r="C1128" t="s">
        <v>58</v>
      </c>
      <c r="D1128" t="s">
        <v>59</v>
      </c>
      <c r="E1128" t="s">
        <v>56</v>
      </c>
      <c r="F1128" t="s">
        <v>33</v>
      </c>
      <c r="G1128" t="s">
        <v>34</v>
      </c>
      <c r="H1128">
        <v>41</v>
      </c>
      <c r="I1128">
        <v>25000</v>
      </c>
      <c r="J1128">
        <v>0</v>
      </c>
      <c r="K1128">
        <v>1025000</v>
      </c>
      <c r="L1128">
        <v>512500</v>
      </c>
      <c r="M1128">
        <v>512500</v>
      </c>
      <c r="N1128" t="s">
        <v>30</v>
      </c>
      <c r="O1128" t="s">
        <v>23</v>
      </c>
      <c r="P1128" t="s">
        <v>40</v>
      </c>
      <c r="Q1128" t="str">
        <f>TEXT(clean_data[[#This Row],[Date]],"mmm")</f>
        <v>Jun</v>
      </c>
      <c r="R1128">
        <f>YEAR(clean_data[[#This Row],[Date]])</f>
        <v>2023</v>
      </c>
      <c r="S1128" s="2">
        <f>clean_data[[#This Row],[Profit]]/clean_data[[#This Row],[Revenue]]</f>
        <v>0.5</v>
      </c>
      <c r="T1128" t="str" cm="1">
        <f t="array" ref="T1128">_xlfn.IFS(clean_data[[#This Row],[Revenue]]&lt;300000,"Small",
     clean_data[[#This Row],[Revenue]]&lt;700000,"Medium",
     TRUE,"Large")</f>
        <v>Large</v>
      </c>
      <c r="U1128" t="str" cm="1">
        <f t="array" ref="U1128">_xlfn.IFS(clean_data[[#This Row],[profit margin%]]&lt;0.5,"Low Profit",
     clean_data[[#This Row],[profit margin%]]&lt;0.6,"Medium Profit",
     TRUE,"High Profit")</f>
        <v>Medium Profit</v>
      </c>
      <c r="V1128" t="str">
        <f>TEXT(clean_data[[#This Row],[Date]],"mmm-yyyy")</f>
        <v>Jun-2023</v>
      </c>
      <c r="W1128" s="8">
        <f>EOMONTH(clean_data[[#This Row],[Date]],-1)+1</f>
        <v>45078</v>
      </c>
    </row>
    <row r="1129" spans="1:23" x14ac:dyDescent="0.3">
      <c r="A1129" t="s">
        <v>1201</v>
      </c>
      <c r="B1129" s="1">
        <v>45459</v>
      </c>
      <c r="C1129" t="s">
        <v>46</v>
      </c>
      <c r="D1129" t="s">
        <v>55</v>
      </c>
      <c r="E1129" t="s">
        <v>111</v>
      </c>
      <c r="F1129" t="s">
        <v>28</v>
      </c>
      <c r="G1129" t="s">
        <v>95</v>
      </c>
      <c r="H1129">
        <v>24</v>
      </c>
      <c r="I1129">
        <v>75000</v>
      </c>
      <c r="J1129">
        <v>0</v>
      </c>
      <c r="K1129">
        <v>1800000</v>
      </c>
      <c r="L1129">
        <v>990000</v>
      </c>
      <c r="M1129">
        <v>810000</v>
      </c>
      <c r="N1129" t="s">
        <v>22</v>
      </c>
      <c r="O1129" t="s">
        <v>44</v>
      </c>
      <c r="P1129" t="s">
        <v>40</v>
      </c>
      <c r="Q1129" t="str">
        <f>TEXT(clean_data[[#This Row],[Date]],"mmm")</f>
        <v>Jun</v>
      </c>
      <c r="R1129">
        <f>YEAR(clean_data[[#This Row],[Date]])</f>
        <v>2024</v>
      </c>
      <c r="S1129" s="2">
        <f>clean_data[[#This Row],[Profit]]/clean_data[[#This Row],[Revenue]]</f>
        <v>0.45</v>
      </c>
      <c r="T1129" t="str" cm="1">
        <f t="array" ref="T1129">_xlfn.IFS(clean_data[[#This Row],[Revenue]]&lt;300000,"Small",
     clean_data[[#This Row],[Revenue]]&lt;700000,"Medium",
     TRUE,"Large")</f>
        <v>Large</v>
      </c>
      <c r="U1129" t="str" cm="1">
        <f t="array" ref="U1129">_xlfn.IFS(clean_data[[#This Row],[profit margin%]]&lt;0.5,"Low Profit",
     clean_data[[#This Row],[profit margin%]]&lt;0.6,"Medium Profit",
     TRUE,"High Profit")</f>
        <v>Low Profit</v>
      </c>
      <c r="V1129" t="str">
        <f>TEXT(clean_data[[#This Row],[Date]],"mmm-yyyy")</f>
        <v>Jun-2024</v>
      </c>
      <c r="W1129" s="8">
        <f>EOMONTH(clean_data[[#This Row],[Date]],-1)+1</f>
        <v>45444</v>
      </c>
    </row>
    <row r="1130" spans="1:23" x14ac:dyDescent="0.3">
      <c r="A1130" t="s">
        <v>1202</v>
      </c>
      <c r="B1130" s="1">
        <v>44923</v>
      </c>
      <c r="C1130" t="s">
        <v>46</v>
      </c>
      <c r="D1130" t="s">
        <v>47</v>
      </c>
      <c r="E1130" t="s">
        <v>32</v>
      </c>
      <c r="F1130" t="s">
        <v>28</v>
      </c>
      <c r="G1130" t="s">
        <v>95</v>
      </c>
      <c r="H1130">
        <v>29</v>
      </c>
      <c r="I1130">
        <v>75000</v>
      </c>
      <c r="J1130">
        <v>0</v>
      </c>
      <c r="K1130">
        <v>2175000</v>
      </c>
      <c r="L1130">
        <v>1196250</v>
      </c>
      <c r="M1130">
        <v>978750</v>
      </c>
      <c r="N1130" t="s">
        <v>30</v>
      </c>
      <c r="O1130" t="s">
        <v>67</v>
      </c>
      <c r="P1130" t="s">
        <v>24</v>
      </c>
      <c r="Q1130" t="str">
        <f>TEXT(clean_data[[#This Row],[Date]],"mmm")</f>
        <v>Dec</v>
      </c>
      <c r="R1130">
        <f>YEAR(clean_data[[#This Row],[Date]])</f>
        <v>2022</v>
      </c>
      <c r="S1130" s="2">
        <f>clean_data[[#This Row],[Profit]]/clean_data[[#This Row],[Revenue]]</f>
        <v>0.45</v>
      </c>
      <c r="T1130" t="str" cm="1">
        <f t="array" ref="T1130">_xlfn.IFS(clean_data[[#This Row],[Revenue]]&lt;300000,"Small",
     clean_data[[#This Row],[Revenue]]&lt;700000,"Medium",
     TRUE,"Large")</f>
        <v>Large</v>
      </c>
      <c r="U1130" t="str" cm="1">
        <f t="array" ref="U1130">_xlfn.IFS(clean_data[[#This Row],[profit margin%]]&lt;0.5,"Low Profit",
     clean_data[[#This Row],[profit margin%]]&lt;0.6,"Medium Profit",
     TRUE,"High Profit")</f>
        <v>Low Profit</v>
      </c>
      <c r="V1130" t="str">
        <f>TEXT(clean_data[[#This Row],[Date]],"mmm-yyyy")</f>
        <v>Dec-2022</v>
      </c>
      <c r="W1130" s="8">
        <f>EOMONTH(clean_data[[#This Row],[Date]],-1)+1</f>
        <v>44896</v>
      </c>
    </row>
    <row r="1131" spans="1:23" x14ac:dyDescent="0.3">
      <c r="A1131" t="s">
        <v>1203</v>
      </c>
      <c r="B1131" s="1">
        <v>45105</v>
      </c>
      <c r="C1131" t="s">
        <v>46</v>
      </c>
      <c r="D1131" t="s">
        <v>47</v>
      </c>
      <c r="E1131" t="s">
        <v>70</v>
      </c>
      <c r="F1131" t="s">
        <v>33</v>
      </c>
      <c r="G1131" t="s">
        <v>76</v>
      </c>
      <c r="H1131">
        <v>38</v>
      </c>
      <c r="I1131">
        <v>8500</v>
      </c>
      <c r="J1131">
        <v>10</v>
      </c>
      <c r="K1131">
        <v>290700</v>
      </c>
      <c r="L1131">
        <v>145350</v>
      </c>
      <c r="M1131">
        <v>145350</v>
      </c>
      <c r="N1131" t="s">
        <v>30</v>
      </c>
      <c r="O1131" t="s">
        <v>23</v>
      </c>
      <c r="P1131" t="s">
        <v>40</v>
      </c>
      <c r="Q1131" t="str">
        <f>TEXT(clean_data[[#This Row],[Date]],"mmm")</f>
        <v>Jun</v>
      </c>
      <c r="R1131">
        <f>YEAR(clean_data[[#This Row],[Date]])</f>
        <v>2023</v>
      </c>
      <c r="S1131" s="2">
        <f>clean_data[[#This Row],[Profit]]/clean_data[[#This Row],[Revenue]]</f>
        <v>0.5</v>
      </c>
      <c r="T1131" t="str" cm="1">
        <f t="array" ref="T1131">_xlfn.IFS(clean_data[[#This Row],[Revenue]]&lt;300000,"Small",
     clean_data[[#This Row],[Revenue]]&lt;700000,"Medium",
     TRUE,"Large")</f>
        <v>Small</v>
      </c>
      <c r="U1131" t="str" cm="1">
        <f t="array" ref="U1131">_xlfn.IFS(clean_data[[#This Row],[profit margin%]]&lt;0.5,"Low Profit",
     clean_data[[#This Row],[profit margin%]]&lt;0.6,"Medium Profit",
     TRUE,"High Profit")</f>
        <v>Medium Profit</v>
      </c>
      <c r="V1131" t="str">
        <f>TEXT(clean_data[[#This Row],[Date]],"mmm-yyyy")</f>
        <v>Jun-2023</v>
      </c>
      <c r="W1131" s="8">
        <f>EOMONTH(clean_data[[#This Row],[Date]],-1)+1</f>
        <v>45078</v>
      </c>
    </row>
    <row r="1132" spans="1:23" x14ac:dyDescent="0.3">
      <c r="A1132" t="s">
        <v>1204</v>
      </c>
      <c r="B1132" s="1">
        <v>45378</v>
      </c>
      <c r="C1132" t="s">
        <v>26</v>
      </c>
      <c r="D1132" t="s">
        <v>27</v>
      </c>
      <c r="E1132" t="s">
        <v>19</v>
      </c>
      <c r="F1132" t="s">
        <v>20</v>
      </c>
      <c r="G1132" t="s">
        <v>61</v>
      </c>
      <c r="H1132">
        <v>6</v>
      </c>
      <c r="I1132">
        <v>800</v>
      </c>
      <c r="J1132">
        <v>5</v>
      </c>
      <c r="K1132">
        <v>4560</v>
      </c>
      <c r="L1132">
        <v>1824</v>
      </c>
      <c r="M1132">
        <v>2736</v>
      </c>
      <c r="N1132" t="s">
        <v>30</v>
      </c>
      <c r="O1132" t="s">
        <v>50</v>
      </c>
      <c r="P1132" t="s">
        <v>24</v>
      </c>
      <c r="Q1132" t="str">
        <f>TEXT(clean_data[[#This Row],[Date]],"mmm")</f>
        <v>Mar</v>
      </c>
      <c r="R1132">
        <f>YEAR(clean_data[[#This Row],[Date]])</f>
        <v>2024</v>
      </c>
      <c r="S1132" s="2">
        <f>clean_data[[#This Row],[Profit]]/clean_data[[#This Row],[Revenue]]</f>
        <v>0.6</v>
      </c>
      <c r="T1132" t="str" cm="1">
        <f t="array" ref="T1132">_xlfn.IFS(clean_data[[#This Row],[Revenue]]&lt;300000,"Small",
     clean_data[[#This Row],[Revenue]]&lt;700000,"Medium",
     TRUE,"Large")</f>
        <v>Small</v>
      </c>
      <c r="U1132" t="str" cm="1">
        <f t="array" ref="U1132">_xlfn.IFS(clean_data[[#This Row],[profit margin%]]&lt;0.5,"Low Profit",
     clean_data[[#This Row],[profit margin%]]&lt;0.6,"Medium Profit",
     TRUE,"High Profit")</f>
        <v>High Profit</v>
      </c>
      <c r="V1132" t="str">
        <f>TEXT(clean_data[[#This Row],[Date]],"mmm-yyyy")</f>
        <v>Mar-2024</v>
      </c>
      <c r="W1132" s="8">
        <f>EOMONTH(clean_data[[#This Row],[Date]],-1)+1</f>
        <v>45352</v>
      </c>
    </row>
    <row r="1133" spans="1:23" x14ac:dyDescent="0.3">
      <c r="A1133" t="s">
        <v>1205</v>
      </c>
      <c r="B1133" s="1">
        <v>44949</v>
      </c>
      <c r="C1133" t="s">
        <v>58</v>
      </c>
      <c r="D1133" t="s">
        <v>84</v>
      </c>
      <c r="E1133" t="s">
        <v>56</v>
      </c>
      <c r="F1133" t="s">
        <v>33</v>
      </c>
      <c r="G1133" t="s">
        <v>34</v>
      </c>
      <c r="H1133">
        <v>36</v>
      </c>
      <c r="I1133">
        <v>25000</v>
      </c>
      <c r="J1133">
        <v>10</v>
      </c>
      <c r="K1133">
        <v>810000</v>
      </c>
      <c r="L1133">
        <v>405000</v>
      </c>
      <c r="M1133">
        <v>405000</v>
      </c>
      <c r="N1133" t="s">
        <v>49</v>
      </c>
      <c r="O1133" t="s">
        <v>23</v>
      </c>
      <c r="P1133" t="s">
        <v>24</v>
      </c>
      <c r="Q1133" t="str">
        <f>TEXT(clean_data[[#This Row],[Date]],"mmm")</f>
        <v>Jan</v>
      </c>
      <c r="R1133">
        <f>YEAR(clean_data[[#This Row],[Date]])</f>
        <v>2023</v>
      </c>
      <c r="S1133" s="2">
        <f>clean_data[[#This Row],[Profit]]/clean_data[[#This Row],[Revenue]]</f>
        <v>0.5</v>
      </c>
      <c r="T1133" t="str" cm="1">
        <f t="array" ref="T1133">_xlfn.IFS(clean_data[[#This Row],[Revenue]]&lt;300000,"Small",
     clean_data[[#This Row],[Revenue]]&lt;700000,"Medium",
     TRUE,"Large")</f>
        <v>Large</v>
      </c>
      <c r="U1133" t="str" cm="1">
        <f t="array" ref="U1133">_xlfn.IFS(clean_data[[#This Row],[profit margin%]]&lt;0.5,"Low Profit",
     clean_data[[#This Row],[profit margin%]]&lt;0.6,"Medium Profit",
     TRUE,"High Profit")</f>
        <v>Medium Profit</v>
      </c>
      <c r="V1133" t="str">
        <f>TEXT(clean_data[[#This Row],[Date]],"mmm-yyyy")</f>
        <v>Jan-2023</v>
      </c>
      <c r="W1133" s="8">
        <f>EOMONTH(clean_data[[#This Row],[Date]],-1)+1</f>
        <v>44927</v>
      </c>
    </row>
    <row r="1134" spans="1:23" x14ac:dyDescent="0.3">
      <c r="A1134" t="s">
        <v>1206</v>
      </c>
      <c r="B1134" s="1">
        <v>44731</v>
      </c>
      <c r="C1134" t="s">
        <v>58</v>
      </c>
      <c r="D1134" t="s">
        <v>84</v>
      </c>
      <c r="E1134" t="s">
        <v>52</v>
      </c>
      <c r="F1134" t="s">
        <v>28</v>
      </c>
      <c r="G1134" t="s">
        <v>87</v>
      </c>
      <c r="H1134">
        <v>47</v>
      </c>
      <c r="I1134">
        <v>45000</v>
      </c>
      <c r="J1134">
        <v>0</v>
      </c>
      <c r="K1134">
        <v>2115000</v>
      </c>
      <c r="L1134">
        <v>1163250</v>
      </c>
      <c r="M1134">
        <v>951750</v>
      </c>
      <c r="N1134" t="s">
        <v>49</v>
      </c>
      <c r="O1134" t="s">
        <v>67</v>
      </c>
      <c r="P1134" t="s">
        <v>24</v>
      </c>
      <c r="Q1134" t="str">
        <f>TEXT(clean_data[[#This Row],[Date]],"mmm")</f>
        <v>Jun</v>
      </c>
      <c r="R1134">
        <f>YEAR(clean_data[[#This Row],[Date]])</f>
        <v>2022</v>
      </c>
      <c r="S1134" s="2">
        <f>clean_data[[#This Row],[Profit]]/clean_data[[#This Row],[Revenue]]</f>
        <v>0.45</v>
      </c>
      <c r="T1134" t="str" cm="1">
        <f t="array" ref="T1134">_xlfn.IFS(clean_data[[#This Row],[Revenue]]&lt;300000,"Small",
     clean_data[[#This Row],[Revenue]]&lt;700000,"Medium",
     TRUE,"Large")</f>
        <v>Large</v>
      </c>
      <c r="U1134" t="str" cm="1">
        <f t="array" ref="U1134">_xlfn.IFS(clean_data[[#This Row],[profit margin%]]&lt;0.5,"Low Profit",
     clean_data[[#This Row],[profit margin%]]&lt;0.6,"Medium Profit",
     TRUE,"High Profit")</f>
        <v>Low Profit</v>
      </c>
      <c r="V1134" t="str">
        <f>TEXT(clean_data[[#This Row],[Date]],"mmm-yyyy")</f>
        <v>Jun-2022</v>
      </c>
      <c r="W1134" s="8">
        <f>EOMONTH(clean_data[[#This Row],[Date]],-1)+1</f>
        <v>44713</v>
      </c>
    </row>
    <row r="1135" spans="1:23" x14ac:dyDescent="0.3">
      <c r="A1135" t="s">
        <v>1207</v>
      </c>
      <c r="B1135" s="1">
        <v>44617</v>
      </c>
      <c r="C1135" t="s">
        <v>46</v>
      </c>
      <c r="D1135" t="s">
        <v>47</v>
      </c>
      <c r="E1135" t="s">
        <v>19</v>
      </c>
      <c r="F1135" t="s">
        <v>33</v>
      </c>
      <c r="G1135" t="s">
        <v>48</v>
      </c>
      <c r="H1135">
        <v>6</v>
      </c>
      <c r="I1135">
        <v>1500</v>
      </c>
      <c r="J1135">
        <v>5</v>
      </c>
      <c r="K1135">
        <v>8550</v>
      </c>
      <c r="L1135">
        <v>4275</v>
      </c>
      <c r="M1135">
        <v>4275</v>
      </c>
      <c r="N1135" t="s">
        <v>22</v>
      </c>
      <c r="O1135" t="s">
        <v>44</v>
      </c>
      <c r="P1135" t="s">
        <v>24</v>
      </c>
      <c r="Q1135" t="str">
        <f>TEXT(clean_data[[#This Row],[Date]],"mmm")</f>
        <v>Feb</v>
      </c>
      <c r="R1135">
        <f>YEAR(clean_data[[#This Row],[Date]])</f>
        <v>2022</v>
      </c>
      <c r="S1135" s="2">
        <f>clean_data[[#This Row],[Profit]]/clean_data[[#This Row],[Revenue]]</f>
        <v>0.5</v>
      </c>
      <c r="T1135" t="str" cm="1">
        <f t="array" ref="T1135">_xlfn.IFS(clean_data[[#This Row],[Revenue]]&lt;300000,"Small",
     clean_data[[#This Row],[Revenue]]&lt;700000,"Medium",
     TRUE,"Large")</f>
        <v>Small</v>
      </c>
      <c r="U1135" t="str" cm="1">
        <f t="array" ref="U1135">_xlfn.IFS(clean_data[[#This Row],[profit margin%]]&lt;0.5,"Low Profit",
     clean_data[[#This Row],[profit margin%]]&lt;0.6,"Medium Profit",
     TRUE,"High Profit")</f>
        <v>Medium Profit</v>
      </c>
      <c r="V1135" t="str">
        <f>TEXT(clean_data[[#This Row],[Date]],"mmm-yyyy")</f>
        <v>Feb-2022</v>
      </c>
      <c r="W1135" s="8">
        <f>EOMONTH(clean_data[[#This Row],[Date]],-1)+1</f>
        <v>44593</v>
      </c>
    </row>
    <row r="1136" spans="1:23" x14ac:dyDescent="0.3">
      <c r="A1136" t="s">
        <v>1208</v>
      </c>
      <c r="B1136" s="1">
        <v>44814</v>
      </c>
      <c r="C1136" t="s">
        <v>26</v>
      </c>
      <c r="D1136" t="s">
        <v>69</v>
      </c>
      <c r="E1136" t="s">
        <v>73</v>
      </c>
      <c r="F1136" t="s">
        <v>20</v>
      </c>
      <c r="G1136" t="s">
        <v>61</v>
      </c>
      <c r="H1136">
        <v>9</v>
      </c>
      <c r="I1136">
        <v>800</v>
      </c>
      <c r="J1136">
        <v>20</v>
      </c>
      <c r="K1136">
        <v>5760</v>
      </c>
      <c r="L1136">
        <v>2304</v>
      </c>
      <c r="M1136">
        <v>3456</v>
      </c>
      <c r="N1136" t="s">
        <v>49</v>
      </c>
      <c r="O1136" t="s">
        <v>44</v>
      </c>
      <c r="P1136" t="s">
        <v>24</v>
      </c>
      <c r="Q1136" t="str">
        <f>TEXT(clean_data[[#This Row],[Date]],"mmm")</f>
        <v>Sep</v>
      </c>
      <c r="R1136">
        <f>YEAR(clean_data[[#This Row],[Date]])</f>
        <v>2022</v>
      </c>
      <c r="S1136" s="2">
        <f>clean_data[[#This Row],[Profit]]/clean_data[[#This Row],[Revenue]]</f>
        <v>0.6</v>
      </c>
      <c r="T1136" t="str" cm="1">
        <f t="array" ref="T1136">_xlfn.IFS(clean_data[[#This Row],[Revenue]]&lt;300000,"Small",
     clean_data[[#This Row],[Revenue]]&lt;700000,"Medium",
     TRUE,"Large")</f>
        <v>Small</v>
      </c>
      <c r="U1136" t="str" cm="1">
        <f t="array" ref="U1136">_xlfn.IFS(clean_data[[#This Row],[profit margin%]]&lt;0.5,"Low Profit",
     clean_data[[#This Row],[profit margin%]]&lt;0.6,"Medium Profit",
     TRUE,"High Profit")</f>
        <v>High Profit</v>
      </c>
      <c r="V1136" t="str">
        <f>TEXT(clean_data[[#This Row],[Date]],"mmm-yyyy")</f>
        <v>Sep-2022</v>
      </c>
      <c r="W1136" s="8">
        <f>EOMONTH(clean_data[[#This Row],[Date]],-1)+1</f>
        <v>44805</v>
      </c>
    </row>
    <row r="1137" spans="1:23" x14ac:dyDescent="0.3">
      <c r="A1137" t="s">
        <v>1209</v>
      </c>
      <c r="B1137" s="1">
        <v>44935</v>
      </c>
      <c r="C1137" t="s">
        <v>46</v>
      </c>
      <c r="D1137" t="s">
        <v>47</v>
      </c>
      <c r="E1137" t="s">
        <v>73</v>
      </c>
      <c r="F1137" t="s">
        <v>33</v>
      </c>
      <c r="G1137" t="s">
        <v>48</v>
      </c>
      <c r="H1137">
        <v>17</v>
      </c>
      <c r="I1137">
        <v>1500</v>
      </c>
      <c r="J1137">
        <v>0</v>
      </c>
      <c r="K1137">
        <v>25500</v>
      </c>
      <c r="L1137">
        <v>12750</v>
      </c>
      <c r="M1137">
        <v>12750</v>
      </c>
      <c r="N1137" t="s">
        <v>49</v>
      </c>
      <c r="O1137" t="s">
        <v>67</v>
      </c>
      <c r="P1137" t="s">
        <v>24</v>
      </c>
      <c r="Q1137" t="str">
        <f>TEXT(clean_data[[#This Row],[Date]],"mmm")</f>
        <v>Jan</v>
      </c>
      <c r="R1137">
        <f>YEAR(clean_data[[#This Row],[Date]])</f>
        <v>2023</v>
      </c>
      <c r="S1137" s="2">
        <f>clean_data[[#This Row],[Profit]]/clean_data[[#This Row],[Revenue]]</f>
        <v>0.5</v>
      </c>
      <c r="T1137" t="str" cm="1">
        <f t="array" ref="T1137">_xlfn.IFS(clean_data[[#This Row],[Revenue]]&lt;300000,"Small",
     clean_data[[#This Row],[Revenue]]&lt;700000,"Medium",
     TRUE,"Large")</f>
        <v>Small</v>
      </c>
      <c r="U1137" t="str" cm="1">
        <f t="array" ref="U1137">_xlfn.IFS(clean_data[[#This Row],[profit margin%]]&lt;0.5,"Low Profit",
     clean_data[[#This Row],[profit margin%]]&lt;0.6,"Medium Profit",
     TRUE,"High Profit")</f>
        <v>Medium Profit</v>
      </c>
      <c r="V1137" t="str">
        <f>TEXT(clean_data[[#This Row],[Date]],"mmm-yyyy")</f>
        <v>Jan-2023</v>
      </c>
      <c r="W1137" s="8">
        <f>EOMONTH(clean_data[[#This Row],[Date]],-1)+1</f>
        <v>44927</v>
      </c>
    </row>
    <row r="1138" spans="1:23" x14ac:dyDescent="0.3">
      <c r="A1138" t="s">
        <v>1210</v>
      </c>
      <c r="B1138" s="1">
        <v>45272</v>
      </c>
      <c r="C1138" t="s">
        <v>58</v>
      </c>
      <c r="D1138" t="s">
        <v>64</v>
      </c>
      <c r="E1138" t="s">
        <v>78</v>
      </c>
      <c r="F1138" t="s">
        <v>28</v>
      </c>
      <c r="G1138" t="s">
        <v>29</v>
      </c>
      <c r="H1138">
        <v>25</v>
      </c>
      <c r="I1138">
        <v>15000</v>
      </c>
      <c r="J1138">
        <v>5</v>
      </c>
      <c r="K1138">
        <v>356250</v>
      </c>
      <c r="L1138">
        <v>195937.5</v>
      </c>
      <c r="M1138">
        <v>160312.5</v>
      </c>
      <c r="N1138" t="s">
        <v>22</v>
      </c>
      <c r="O1138" t="s">
        <v>44</v>
      </c>
      <c r="P1138" t="s">
        <v>40</v>
      </c>
      <c r="Q1138" t="str">
        <f>TEXT(clean_data[[#This Row],[Date]],"mmm")</f>
        <v>Dec</v>
      </c>
      <c r="R1138">
        <f>YEAR(clean_data[[#This Row],[Date]])</f>
        <v>2023</v>
      </c>
      <c r="S1138" s="2">
        <f>clean_data[[#This Row],[Profit]]/clean_data[[#This Row],[Revenue]]</f>
        <v>0.45</v>
      </c>
      <c r="T1138" t="str" cm="1">
        <f t="array" ref="T1138">_xlfn.IFS(clean_data[[#This Row],[Revenue]]&lt;300000,"Small",
     clean_data[[#This Row],[Revenue]]&lt;700000,"Medium",
     TRUE,"Large")</f>
        <v>Medium</v>
      </c>
      <c r="U1138" t="str" cm="1">
        <f t="array" ref="U1138">_xlfn.IFS(clean_data[[#This Row],[profit margin%]]&lt;0.5,"Low Profit",
     clean_data[[#This Row],[profit margin%]]&lt;0.6,"Medium Profit",
     TRUE,"High Profit")</f>
        <v>Low Profit</v>
      </c>
      <c r="V1138" t="str">
        <f>TEXT(clean_data[[#This Row],[Date]],"mmm-yyyy")</f>
        <v>Dec-2023</v>
      </c>
      <c r="W1138" s="8">
        <f>EOMONTH(clean_data[[#This Row],[Date]],-1)+1</f>
        <v>45261</v>
      </c>
    </row>
    <row r="1139" spans="1:23" x14ac:dyDescent="0.3">
      <c r="A1139" t="s">
        <v>1211</v>
      </c>
      <c r="B1139" s="1">
        <v>45394</v>
      </c>
      <c r="C1139" t="s">
        <v>17</v>
      </c>
      <c r="D1139" t="s">
        <v>18</v>
      </c>
      <c r="E1139" t="s">
        <v>70</v>
      </c>
      <c r="F1139" t="s">
        <v>33</v>
      </c>
      <c r="G1139" t="s">
        <v>39</v>
      </c>
      <c r="H1139">
        <v>33</v>
      </c>
      <c r="I1139">
        <v>5000</v>
      </c>
      <c r="J1139">
        <v>5</v>
      </c>
      <c r="K1139">
        <v>156750</v>
      </c>
      <c r="L1139">
        <v>78375</v>
      </c>
      <c r="M1139">
        <v>78375</v>
      </c>
      <c r="N1139" t="s">
        <v>30</v>
      </c>
      <c r="O1139" t="s">
        <v>23</v>
      </c>
      <c r="P1139" t="s">
        <v>24</v>
      </c>
      <c r="Q1139" t="str">
        <f>TEXT(clean_data[[#This Row],[Date]],"mmm")</f>
        <v>Apr</v>
      </c>
      <c r="R1139">
        <f>YEAR(clean_data[[#This Row],[Date]])</f>
        <v>2024</v>
      </c>
      <c r="S1139" s="2">
        <f>clean_data[[#This Row],[Profit]]/clean_data[[#This Row],[Revenue]]</f>
        <v>0.5</v>
      </c>
      <c r="T1139" t="str" cm="1">
        <f t="array" ref="T1139">_xlfn.IFS(clean_data[[#This Row],[Revenue]]&lt;300000,"Small",
     clean_data[[#This Row],[Revenue]]&lt;700000,"Medium",
     TRUE,"Large")</f>
        <v>Small</v>
      </c>
      <c r="U1139" t="str" cm="1">
        <f t="array" ref="U1139">_xlfn.IFS(clean_data[[#This Row],[profit margin%]]&lt;0.5,"Low Profit",
     clean_data[[#This Row],[profit margin%]]&lt;0.6,"Medium Profit",
     TRUE,"High Profit")</f>
        <v>Medium Profit</v>
      </c>
      <c r="V1139" t="str">
        <f>TEXT(clean_data[[#This Row],[Date]],"mmm-yyyy")</f>
        <v>Apr-2024</v>
      </c>
      <c r="W1139" s="8">
        <f>EOMONTH(clean_data[[#This Row],[Date]],-1)+1</f>
        <v>45383</v>
      </c>
    </row>
    <row r="1140" spans="1:23" x14ac:dyDescent="0.3">
      <c r="A1140" t="s">
        <v>1212</v>
      </c>
      <c r="B1140" s="1">
        <v>45048</v>
      </c>
      <c r="C1140" t="s">
        <v>26</v>
      </c>
      <c r="D1140" t="s">
        <v>27</v>
      </c>
      <c r="E1140" t="s">
        <v>60</v>
      </c>
      <c r="F1140" t="s">
        <v>20</v>
      </c>
      <c r="G1140" t="s">
        <v>115</v>
      </c>
      <c r="H1140">
        <v>38</v>
      </c>
      <c r="I1140">
        <v>2500</v>
      </c>
      <c r="J1140">
        <v>10</v>
      </c>
      <c r="K1140">
        <v>85500</v>
      </c>
      <c r="L1140">
        <v>34200</v>
      </c>
      <c r="M1140">
        <v>51300</v>
      </c>
      <c r="N1140" t="s">
        <v>22</v>
      </c>
      <c r="O1140" t="s">
        <v>23</v>
      </c>
      <c r="P1140" t="s">
        <v>24</v>
      </c>
      <c r="Q1140" t="str">
        <f>TEXT(clean_data[[#This Row],[Date]],"mmm")</f>
        <v>May</v>
      </c>
      <c r="R1140">
        <f>YEAR(clean_data[[#This Row],[Date]])</f>
        <v>2023</v>
      </c>
      <c r="S1140" s="2">
        <f>clean_data[[#This Row],[Profit]]/clean_data[[#This Row],[Revenue]]</f>
        <v>0.6</v>
      </c>
      <c r="T1140" t="str" cm="1">
        <f t="array" ref="T1140">_xlfn.IFS(clean_data[[#This Row],[Revenue]]&lt;300000,"Small",
     clean_data[[#This Row],[Revenue]]&lt;700000,"Medium",
     TRUE,"Large")</f>
        <v>Small</v>
      </c>
      <c r="U1140" t="str" cm="1">
        <f t="array" ref="U1140">_xlfn.IFS(clean_data[[#This Row],[profit margin%]]&lt;0.5,"Low Profit",
     clean_data[[#This Row],[profit margin%]]&lt;0.6,"Medium Profit",
     TRUE,"High Profit")</f>
        <v>High Profit</v>
      </c>
      <c r="V1140" t="str">
        <f>TEXT(clean_data[[#This Row],[Date]],"mmm-yyyy")</f>
        <v>May-2023</v>
      </c>
      <c r="W1140" s="8">
        <f>EOMONTH(clean_data[[#This Row],[Date]],-1)+1</f>
        <v>45047</v>
      </c>
    </row>
    <row r="1141" spans="1:23" x14ac:dyDescent="0.3">
      <c r="A1141" t="s">
        <v>1213</v>
      </c>
      <c r="B1141" s="1">
        <v>44631</v>
      </c>
      <c r="C1141" t="s">
        <v>26</v>
      </c>
      <c r="D1141" t="s">
        <v>69</v>
      </c>
      <c r="E1141" t="s">
        <v>56</v>
      </c>
      <c r="F1141" t="s">
        <v>20</v>
      </c>
      <c r="G1141" t="s">
        <v>115</v>
      </c>
      <c r="H1141">
        <v>31</v>
      </c>
      <c r="I1141">
        <v>2500</v>
      </c>
      <c r="J1141">
        <v>10</v>
      </c>
      <c r="K1141">
        <v>69750</v>
      </c>
      <c r="L1141">
        <v>27900</v>
      </c>
      <c r="M1141">
        <v>41850</v>
      </c>
      <c r="N1141" t="s">
        <v>22</v>
      </c>
      <c r="O1141" t="s">
        <v>35</v>
      </c>
      <c r="P1141" t="s">
        <v>24</v>
      </c>
      <c r="Q1141" t="str">
        <f>TEXT(clean_data[[#This Row],[Date]],"mmm")</f>
        <v>Mar</v>
      </c>
      <c r="R1141">
        <f>YEAR(clean_data[[#This Row],[Date]])</f>
        <v>2022</v>
      </c>
      <c r="S1141" s="2">
        <f>clean_data[[#This Row],[Profit]]/clean_data[[#This Row],[Revenue]]</f>
        <v>0.6</v>
      </c>
      <c r="T1141" t="str" cm="1">
        <f t="array" ref="T1141">_xlfn.IFS(clean_data[[#This Row],[Revenue]]&lt;300000,"Small",
     clean_data[[#This Row],[Revenue]]&lt;700000,"Medium",
     TRUE,"Large")</f>
        <v>Small</v>
      </c>
      <c r="U1141" t="str" cm="1">
        <f t="array" ref="U1141">_xlfn.IFS(clean_data[[#This Row],[profit margin%]]&lt;0.5,"Low Profit",
     clean_data[[#This Row],[profit margin%]]&lt;0.6,"Medium Profit",
     TRUE,"High Profit")</f>
        <v>High Profit</v>
      </c>
      <c r="V1141" t="str">
        <f>TEXT(clean_data[[#This Row],[Date]],"mmm-yyyy")</f>
        <v>Mar-2022</v>
      </c>
      <c r="W1141" s="8">
        <f>EOMONTH(clean_data[[#This Row],[Date]],-1)+1</f>
        <v>44621</v>
      </c>
    </row>
    <row r="1142" spans="1:23" x14ac:dyDescent="0.3">
      <c r="A1142" t="s">
        <v>1214</v>
      </c>
      <c r="B1142" s="1">
        <v>44907</v>
      </c>
      <c r="C1142" t="s">
        <v>17</v>
      </c>
      <c r="D1142" t="s">
        <v>18</v>
      </c>
      <c r="E1142" t="s">
        <v>60</v>
      </c>
      <c r="F1142" t="s">
        <v>20</v>
      </c>
      <c r="G1142" t="s">
        <v>21</v>
      </c>
      <c r="H1142">
        <v>29</v>
      </c>
      <c r="I1142">
        <v>3500</v>
      </c>
      <c r="J1142">
        <v>20</v>
      </c>
      <c r="K1142">
        <v>81200</v>
      </c>
      <c r="L1142">
        <v>32480</v>
      </c>
      <c r="M1142">
        <v>48720</v>
      </c>
      <c r="N1142" t="s">
        <v>22</v>
      </c>
      <c r="O1142" t="s">
        <v>67</v>
      </c>
      <c r="P1142" t="s">
        <v>24</v>
      </c>
      <c r="Q1142" t="str">
        <f>TEXT(clean_data[[#This Row],[Date]],"mmm")</f>
        <v>Dec</v>
      </c>
      <c r="R1142">
        <f>YEAR(clean_data[[#This Row],[Date]])</f>
        <v>2022</v>
      </c>
      <c r="S1142" s="2">
        <f>clean_data[[#This Row],[Profit]]/clean_data[[#This Row],[Revenue]]</f>
        <v>0.6</v>
      </c>
      <c r="T1142" t="str" cm="1">
        <f t="array" ref="T1142">_xlfn.IFS(clean_data[[#This Row],[Revenue]]&lt;300000,"Small",
     clean_data[[#This Row],[Revenue]]&lt;700000,"Medium",
     TRUE,"Large")</f>
        <v>Small</v>
      </c>
      <c r="U1142" t="str" cm="1">
        <f t="array" ref="U1142">_xlfn.IFS(clean_data[[#This Row],[profit margin%]]&lt;0.5,"Low Profit",
     clean_data[[#This Row],[profit margin%]]&lt;0.6,"Medium Profit",
     TRUE,"High Profit")</f>
        <v>High Profit</v>
      </c>
      <c r="V1142" t="str">
        <f>TEXT(clean_data[[#This Row],[Date]],"mmm-yyyy")</f>
        <v>Dec-2022</v>
      </c>
      <c r="W1142" s="8">
        <f>EOMONTH(clean_data[[#This Row],[Date]],-1)+1</f>
        <v>44896</v>
      </c>
    </row>
    <row r="1143" spans="1:23" x14ac:dyDescent="0.3">
      <c r="A1143" t="s">
        <v>1215</v>
      </c>
      <c r="B1143" s="1">
        <v>45406</v>
      </c>
      <c r="C1143" t="s">
        <v>58</v>
      </c>
      <c r="D1143" t="s">
        <v>59</v>
      </c>
      <c r="E1143" t="s">
        <v>19</v>
      </c>
      <c r="F1143" t="s">
        <v>33</v>
      </c>
      <c r="G1143" t="s">
        <v>34</v>
      </c>
      <c r="H1143">
        <v>39</v>
      </c>
      <c r="I1143">
        <v>25000</v>
      </c>
      <c r="J1143">
        <v>10</v>
      </c>
      <c r="K1143">
        <v>877500</v>
      </c>
      <c r="L1143">
        <v>438750</v>
      </c>
      <c r="M1143">
        <v>438750</v>
      </c>
      <c r="N1143" t="s">
        <v>22</v>
      </c>
      <c r="O1143" t="s">
        <v>23</v>
      </c>
      <c r="P1143" t="s">
        <v>24</v>
      </c>
      <c r="Q1143" t="str">
        <f>TEXT(clean_data[[#This Row],[Date]],"mmm")</f>
        <v>Apr</v>
      </c>
      <c r="R1143">
        <f>YEAR(clean_data[[#This Row],[Date]])</f>
        <v>2024</v>
      </c>
      <c r="S1143" s="2">
        <f>clean_data[[#This Row],[Profit]]/clean_data[[#This Row],[Revenue]]</f>
        <v>0.5</v>
      </c>
      <c r="T1143" t="str" cm="1">
        <f t="array" ref="T1143">_xlfn.IFS(clean_data[[#This Row],[Revenue]]&lt;300000,"Small",
     clean_data[[#This Row],[Revenue]]&lt;700000,"Medium",
     TRUE,"Large")</f>
        <v>Large</v>
      </c>
      <c r="U1143" t="str" cm="1">
        <f t="array" ref="U1143">_xlfn.IFS(clean_data[[#This Row],[profit margin%]]&lt;0.5,"Low Profit",
     clean_data[[#This Row],[profit margin%]]&lt;0.6,"Medium Profit",
     TRUE,"High Profit")</f>
        <v>Medium Profit</v>
      </c>
      <c r="V1143" t="str">
        <f>TEXT(clean_data[[#This Row],[Date]],"mmm-yyyy")</f>
        <v>Apr-2024</v>
      </c>
      <c r="W1143" s="8">
        <f>EOMONTH(clean_data[[#This Row],[Date]],-1)+1</f>
        <v>45383</v>
      </c>
    </row>
    <row r="1144" spans="1:23" x14ac:dyDescent="0.3">
      <c r="A1144" t="s">
        <v>1216</v>
      </c>
      <c r="B1144" s="1">
        <v>45140</v>
      </c>
      <c r="C1144" t="s">
        <v>46</v>
      </c>
      <c r="D1144" t="s">
        <v>47</v>
      </c>
      <c r="E1144" t="s">
        <v>32</v>
      </c>
      <c r="F1144" t="s">
        <v>65</v>
      </c>
      <c r="G1144" t="s">
        <v>124</v>
      </c>
      <c r="H1144">
        <v>37</v>
      </c>
      <c r="I1144">
        <v>18000</v>
      </c>
      <c r="J1144">
        <v>15</v>
      </c>
      <c r="K1144">
        <v>566100</v>
      </c>
      <c r="L1144">
        <v>254745</v>
      </c>
      <c r="M1144">
        <v>311355</v>
      </c>
      <c r="N1144" t="s">
        <v>30</v>
      </c>
      <c r="O1144" t="s">
        <v>44</v>
      </c>
      <c r="P1144" t="s">
        <v>40</v>
      </c>
      <c r="Q1144" t="str">
        <f>TEXT(clean_data[[#This Row],[Date]],"mmm")</f>
        <v>Aug</v>
      </c>
      <c r="R1144">
        <f>YEAR(clean_data[[#This Row],[Date]])</f>
        <v>2023</v>
      </c>
      <c r="S1144" s="2">
        <f>clean_data[[#This Row],[Profit]]/clean_data[[#This Row],[Revenue]]</f>
        <v>0.55000000000000004</v>
      </c>
      <c r="T1144" t="str" cm="1">
        <f t="array" ref="T1144">_xlfn.IFS(clean_data[[#This Row],[Revenue]]&lt;300000,"Small",
     clean_data[[#This Row],[Revenue]]&lt;700000,"Medium",
     TRUE,"Large")</f>
        <v>Medium</v>
      </c>
      <c r="U1144" t="str" cm="1">
        <f t="array" ref="U1144">_xlfn.IFS(clean_data[[#This Row],[profit margin%]]&lt;0.5,"Low Profit",
     clean_data[[#This Row],[profit margin%]]&lt;0.6,"Medium Profit",
     TRUE,"High Profit")</f>
        <v>Medium Profit</v>
      </c>
      <c r="V1144" t="str">
        <f>TEXT(clean_data[[#This Row],[Date]],"mmm-yyyy")</f>
        <v>Aug-2023</v>
      </c>
      <c r="W1144" s="8">
        <f>EOMONTH(clean_data[[#This Row],[Date]],-1)+1</f>
        <v>45139</v>
      </c>
    </row>
    <row r="1145" spans="1:23" x14ac:dyDescent="0.3">
      <c r="A1145" t="s">
        <v>1217</v>
      </c>
      <c r="B1145" s="1">
        <v>45541</v>
      </c>
      <c r="C1145" t="s">
        <v>17</v>
      </c>
      <c r="D1145" t="s">
        <v>42</v>
      </c>
      <c r="E1145" t="s">
        <v>111</v>
      </c>
      <c r="F1145" t="s">
        <v>20</v>
      </c>
      <c r="G1145" t="s">
        <v>53</v>
      </c>
      <c r="H1145">
        <v>49</v>
      </c>
      <c r="I1145">
        <v>600</v>
      </c>
      <c r="J1145">
        <v>5</v>
      </c>
      <c r="K1145">
        <v>27930</v>
      </c>
      <c r="L1145">
        <v>11172</v>
      </c>
      <c r="M1145">
        <v>16758</v>
      </c>
      <c r="N1145" t="s">
        <v>22</v>
      </c>
      <c r="O1145" t="s">
        <v>50</v>
      </c>
      <c r="P1145" t="s">
        <v>24</v>
      </c>
      <c r="Q1145" t="str">
        <f>TEXT(clean_data[[#This Row],[Date]],"mmm")</f>
        <v>Sep</v>
      </c>
      <c r="R1145">
        <f>YEAR(clean_data[[#This Row],[Date]])</f>
        <v>2024</v>
      </c>
      <c r="S1145" s="2">
        <f>clean_data[[#This Row],[Profit]]/clean_data[[#This Row],[Revenue]]</f>
        <v>0.6</v>
      </c>
      <c r="T1145" t="str" cm="1">
        <f t="array" ref="T1145">_xlfn.IFS(clean_data[[#This Row],[Revenue]]&lt;300000,"Small",
     clean_data[[#This Row],[Revenue]]&lt;700000,"Medium",
     TRUE,"Large")</f>
        <v>Small</v>
      </c>
      <c r="U1145" t="str" cm="1">
        <f t="array" ref="U1145">_xlfn.IFS(clean_data[[#This Row],[profit margin%]]&lt;0.5,"Low Profit",
     clean_data[[#This Row],[profit margin%]]&lt;0.6,"Medium Profit",
     TRUE,"High Profit")</f>
        <v>High Profit</v>
      </c>
      <c r="V1145" t="str">
        <f>TEXT(clean_data[[#This Row],[Date]],"mmm-yyyy")</f>
        <v>Sep-2024</v>
      </c>
      <c r="W1145" s="8">
        <f>EOMONTH(clean_data[[#This Row],[Date]],-1)+1</f>
        <v>45536</v>
      </c>
    </row>
    <row r="1146" spans="1:23" x14ac:dyDescent="0.3">
      <c r="A1146" t="s">
        <v>1218</v>
      </c>
      <c r="B1146" s="1">
        <v>44654</v>
      </c>
      <c r="C1146" t="s">
        <v>17</v>
      </c>
      <c r="D1146" t="s">
        <v>18</v>
      </c>
      <c r="E1146" t="s">
        <v>70</v>
      </c>
      <c r="F1146" t="s">
        <v>65</v>
      </c>
      <c r="G1146" t="s">
        <v>66</v>
      </c>
      <c r="H1146">
        <v>11</v>
      </c>
      <c r="I1146">
        <v>5500</v>
      </c>
      <c r="J1146">
        <v>15</v>
      </c>
      <c r="K1146">
        <v>51425</v>
      </c>
      <c r="L1146">
        <v>23141.25</v>
      </c>
      <c r="M1146">
        <v>28283.75</v>
      </c>
      <c r="N1146" t="s">
        <v>22</v>
      </c>
      <c r="O1146" t="s">
        <v>44</v>
      </c>
      <c r="P1146" t="s">
        <v>24</v>
      </c>
      <c r="Q1146" t="str">
        <f>TEXT(clean_data[[#This Row],[Date]],"mmm")</f>
        <v>Apr</v>
      </c>
      <c r="R1146">
        <f>YEAR(clean_data[[#This Row],[Date]])</f>
        <v>2022</v>
      </c>
      <c r="S1146" s="2">
        <f>clean_data[[#This Row],[Profit]]/clean_data[[#This Row],[Revenue]]</f>
        <v>0.55000000000000004</v>
      </c>
      <c r="T1146" t="str" cm="1">
        <f t="array" ref="T1146">_xlfn.IFS(clean_data[[#This Row],[Revenue]]&lt;300000,"Small",
     clean_data[[#This Row],[Revenue]]&lt;700000,"Medium",
     TRUE,"Large")</f>
        <v>Small</v>
      </c>
      <c r="U1146" t="str" cm="1">
        <f t="array" ref="U1146">_xlfn.IFS(clean_data[[#This Row],[profit margin%]]&lt;0.5,"Low Profit",
     clean_data[[#This Row],[profit margin%]]&lt;0.6,"Medium Profit",
     TRUE,"High Profit")</f>
        <v>Medium Profit</v>
      </c>
      <c r="V1146" t="str">
        <f>TEXT(clean_data[[#This Row],[Date]],"mmm-yyyy")</f>
        <v>Apr-2022</v>
      </c>
      <c r="W1146" s="8">
        <f>EOMONTH(clean_data[[#This Row],[Date]],-1)+1</f>
        <v>44652</v>
      </c>
    </row>
    <row r="1147" spans="1:23" x14ac:dyDescent="0.3">
      <c r="A1147" t="s">
        <v>1219</v>
      </c>
      <c r="B1147" s="1">
        <v>44932</v>
      </c>
      <c r="C1147" t="s">
        <v>17</v>
      </c>
      <c r="D1147" t="s">
        <v>37</v>
      </c>
      <c r="E1147" t="s">
        <v>52</v>
      </c>
      <c r="F1147" t="s">
        <v>20</v>
      </c>
      <c r="G1147" t="s">
        <v>74</v>
      </c>
      <c r="H1147">
        <v>14</v>
      </c>
      <c r="I1147">
        <v>4200</v>
      </c>
      <c r="J1147">
        <v>15</v>
      </c>
      <c r="K1147">
        <v>49980</v>
      </c>
      <c r="L1147">
        <v>19992</v>
      </c>
      <c r="M1147">
        <v>29988</v>
      </c>
      <c r="N1147" t="s">
        <v>22</v>
      </c>
      <c r="O1147" t="s">
        <v>44</v>
      </c>
      <c r="P1147" t="s">
        <v>24</v>
      </c>
      <c r="Q1147" t="str">
        <f>TEXT(clean_data[[#This Row],[Date]],"mmm")</f>
        <v>Jan</v>
      </c>
      <c r="R1147">
        <f>YEAR(clean_data[[#This Row],[Date]])</f>
        <v>2023</v>
      </c>
      <c r="S1147" s="2">
        <f>clean_data[[#This Row],[Profit]]/clean_data[[#This Row],[Revenue]]</f>
        <v>0.6</v>
      </c>
      <c r="T1147" t="str" cm="1">
        <f t="array" ref="T1147">_xlfn.IFS(clean_data[[#This Row],[Revenue]]&lt;300000,"Small",
     clean_data[[#This Row],[Revenue]]&lt;700000,"Medium",
     TRUE,"Large")</f>
        <v>Small</v>
      </c>
      <c r="U1147" t="str" cm="1">
        <f t="array" ref="U1147">_xlfn.IFS(clean_data[[#This Row],[profit margin%]]&lt;0.5,"Low Profit",
     clean_data[[#This Row],[profit margin%]]&lt;0.6,"Medium Profit",
     TRUE,"High Profit")</f>
        <v>High Profit</v>
      </c>
      <c r="V1147" t="str">
        <f>TEXT(clean_data[[#This Row],[Date]],"mmm-yyyy")</f>
        <v>Jan-2023</v>
      </c>
      <c r="W1147" s="8">
        <f>EOMONTH(clean_data[[#This Row],[Date]],-1)+1</f>
        <v>44927</v>
      </c>
    </row>
    <row r="1148" spans="1:23" x14ac:dyDescent="0.3">
      <c r="A1148" t="s">
        <v>1220</v>
      </c>
      <c r="B1148" s="1">
        <v>44856</v>
      </c>
      <c r="C1148" t="s">
        <v>17</v>
      </c>
      <c r="D1148" t="s">
        <v>18</v>
      </c>
      <c r="E1148" t="s">
        <v>60</v>
      </c>
      <c r="F1148" t="s">
        <v>20</v>
      </c>
      <c r="G1148" t="s">
        <v>61</v>
      </c>
      <c r="H1148">
        <v>7</v>
      </c>
      <c r="I1148">
        <v>800</v>
      </c>
      <c r="J1148">
        <v>15</v>
      </c>
      <c r="K1148">
        <v>4760</v>
      </c>
      <c r="L1148">
        <v>1904</v>
      </c>
      <c r="M1148">
        <v>2856</v>
      </c>
      <c r="N1148" t="s">
        <v>22</v>
      </c>
      <c r="O1148" t="s">
        <v>23</v>
      </c>
      <c r="P1148" t="s">
        <v>40</v>
      </c>
      <c r="Q1148" t="str">
        <f>TEXT(clean_data[[#This Row],[Date]],"mmm")</f>
        <v>Oct</v>
      </c>
      <c r="R1148">
        <f>YEAR(clean_data[[#This Row],[Date]])</f>
        <v>2022</v>
      </c>
      <c r="S1148" s="2">
        <f>clean_data[[#This Row],[Profit]]/clean_data[[#This Row],[Revenue]]</f>
        <v>0.6</v>
      </c>
      <c r="T1148" t="str" cm="1">
        <f t="array" ref="T1148">_xlfn.IFS(clean_data[[#This Row],[Revenue]]&lt;300000,"Small",
     clean_data[[#This Row],[Revenue]]&lt;700000,"Medium",
     TRUE,"Large")</f>
        <v>Small</v>
      </c>
      <c r="U1148" t="str" cm="1">
        <f t="array" ref="U1148">_xlfn.IFS(clean_data[[#This Row],[profit margin%]]&lt;0.5,"Low Profit",
     clean_data[[#This Row],[profit margin%]]&lt;0.6,"Medium Profit",
     TRUE,"High Profit")</f>
        <v>High Profit</v>
      </c>
      <c r="V1148" t="str">
        <f>TEXT(clean_data[[#This Row],[Date]],"mmm-yyyy")</f>
        <v>Oct-2022</v>
      </c>
      <c r="W1148" s="8">
        <f>EOMONTH(clean_data[[#This Row],[Date]],-1)+1</f>
        <v>44835</v>
      </c>
    </row>
    <row r="1149" spans="1:23" x14ac:dyDescent="0.3">
      <c r="A1149" t="s">
        <v>1221</v>
      </c>
      <c r="B1149" s="1">
        <v>44973</v>
      </c>
      <c r="C1149" t="s">
        <v>58</v>
      </c>
      <c r="D1149" t="s">
        <v>59</v>
      </c>
      <c r="E1149" t="s">
        <v>19</v>
      </c>
      <c r="F1149" t="s">
        <v>28</v>
      </c>
      <c r="G1149" t="s">
        <v>85</v>
      </c>
      <c r="H1149">
        <v>9</v>
      </c>
      <c r="I1149">
        <v>8000</v>
      </c>
      <c r="J1149">
        <v>10</v>
      </c>
      <c r="K1149">
        <v>64800</v>
      </c>
      <c r="L1149">
        <v>35640</v>
      </c>
      <c r="M1149">
        <v>29160</v>
      </c>
      <c r="N1149" t="s">
        <v>49</v>
      </c>
      <c r="O1149" t="s">
        <v>50</v>
      </c>
      <c r="P1149" t="s">
        <v>24</v>
      </c>
      <c r="Q1149" t="str">
        <f>TEXT(clean_data[[#This Row],[Date]],"mmm")</f>
        <v>Feb</v>
      </c>
      <c r="R1149">
        <f>YEAR(clean_data[[#This Row],[Date]])</f>
        <v>2023</v>
      </c>
      <c r="S1149" s="2">
        <f>clean_data[[#This Row],[Profit]]/clean_data[[#This Row],[Revenue]]</f>
        <v>0.45</v>
      </c>
      <c r="T1149" t="str" cm="1">
        <f t="array" ref="T1149">_xlfn.IFS(clean_data[[#This Row],[Revenue]]&lt;300000,"Small",
     clean_data[[#This Row],[Revenue]]&lt;700000,"Medium",
     TRUE,"Large")</f>
        <v>Small</v>
      </c>
      <c r="U1149" t="str" cm="1">
        <f t="array" ref="U1149">_xlfn.IFS(clean_data[[#This Row],[profit margin%]]&lt;0.5,"Low Profit",
     clean_data[[#This Row],[profit margin%]]&lt;0.6,"Medium Profit",
     TRUE,"High Profit")</f>
        <v>Low Profit</v>
      </c>
      <c r="V1149" t="str">
        <f>TEXT(clean_data[[#This Row],[Date]],"mmm-yyyy")</f>
        <v>Feb-2023</v>
      </c>
      <c r="W1149" s="8">
        <f>EOMONTH(clean_data[[#This Row],[Date]],-1)+1</f>
        <v>44958</v>
      </c>
    </row>
    <row r="1150" spans="1:23" x14ac:dyDescent="0.3">
      <c r="A1150" t="s">
        <v>1222</v>
      </c>
      <c r="B1150" s="1">
        <v>45134</v>
      </c>
      <c r="C1150" t="s">
        <v>58</v>
      </c>
      <c r="D1150" t="s">
        <v>64</v>
      </c>
      <c r="E1150" t="s">
        <v>32</v>
      </c>
      <c r="F1150" t="s">
        <v>28</v>
      </c>
      <c r="G1150" t="s">
        <v>71</v>
      </c>
      <c r="H1150">
        <v>32</v>
      </c>
      <c r="I1150">
        <v>35000</v>
      </c>
      <c r="J1150">
        <v>20</v>
      </c>
      <c r="K1150">
        <v>896000</v>
      </c>
      <c r="L1150">
        <v>492800</v>
      </c>
      <c r="M1150">
        <v>403200</v>
      </c>
      <c r="N1150" t="s">
        <v>30</v>
      </c>
      <c r="O1150" t="s">
        <v>67</v>
      </c>
      <c r="P1150" t="s">
        <v>24</v>
      </c>
      <c r="Q1150" t="str">
        <f>TEXT(clean_data[[#This Row],[Date]],"mmm")</f>
        <v>Jul</v>
      </c>
      <c r="R1150">
        <f>YEAR(clean_data[[#This Row],[Date]])</f>
        <v>2023</v>
      </c>
      <c r="S1150" s="2">
        <f>clean_data[[#This Row],[Profit]]/clean_data[[#This Row],[Revenue]]</f>
        <v>0.45</v>
      </c>
      <c r="T1150" t="str" cm="1">
        <f t="array" ref="T1150">_xlfn.IFS(clean_data[[#This Row],[Revenue]]&lt;300000,"Small",
     clean_data[[#This Row],[Revenue]]&lt;700000,"Medium",
     TRUE,"Large")</f>
        <v>Large</v>
      </c>
      <c r="U1150" t="str" cm="1">
        <f t="array" ref="U1150">_xlfn.IFS(clean_data[[#This Row],[profit margin%]]&lt;0.5,"Low Profit",
     clean_data[[#This Row],[profit margin%]]&lt;0.6,"Medium Profit",
     TRUE,"High Profit")</f>
        <v>Low Profit</v>
      </c>
      <c r="V1150" t="str">
        <f>TEXT(clean_data[[#This Row],[Date]],"mmm-yyyy")</f>
        <v>Jul-2023</v>
      </c>
      <c r="W1150" s="8">
        <f>EOMONTH(clean_data[[#This Row],[Date]],-1)+1</f>
        <v>45108</v>
      </c>
    </row>
    <row r="1151" spans="1:23" x14ac:dyDescent="0.3">
      <c r="A1151" t="s">
        <v>1223</v>
      </c>
      <c r="B1151" s="1">
        <v>44920</v>
      </c>
      <c r="C1151" t="s">
        <v>46</v>
      </c>
      <c r="D1151" t="s">
        <v>55</v>
      </c>
      <c r="E1151" t="s">
        <v>70</v>
      </c>
      <c r="F1151" t="s">
        <v>33</v>
      </c>
      <c r="G1151" t="s">
        <v>43</v>
      </c>
      <c r="H1151">
        <v>1</v>
      </c>
      <c r="I1151">
        <v>4000</v>
      </c>
      <c r="J1151">
        <v>20</v>
      </c>
      <c r="K1151">
        <v>3200</v>
      </c>
      <c r="L1151">
        <v>1600</v>
      </c>
      <c r="M1151">
        <v>1600</v>
      </c>
      <c r="N1151" t="s">
        <v>49</v>
      </c>
      <c r="O1151" t="s">
        <v>35</v>
      </c>
      <c r="P1151" t="s">
        <v>40</v>
      </c>
      <c r="Q1151" t="str">
        <f>TEXT(clean_data[[#This Row],[Date]],"mmm")</f>
        <v>Dec</v>
      </c>
      <c r="R1151">
        <f>YEAR(clean_data[[#This Row],[Date]])</f>
        <v>2022</v>
      </c>
      <c r="S1151" s="2">
        <f>clean_data[[#This Row],[Profit]]/clean_data[[#This Row],[Revenue]]</f>
        <v>0.5</v>
      </c>
      <c r="T1151" t="str" cm="1">
        <f t="array" ref="T1151">_xlfn.IFS(clean_data[[#This Row],[Revenue]]&lt;300000,"Small",
     clean_data[[#This Row],[Revenue]]&lt;700000,"Medium",
     TRUE,"Large")</f>
        <v>Small</v>
      </c>
      <c r="U1151" t="str" cm="1">
        <f t="array" ref="U1151">_xlfn.IFS(clean_data[[#This Row],[profit margin%]]&lt;0.5,"Low Profit",
     clean_data[[#This Row],[profit margin%]]&lt;0.6,"Medium Profit",
     TRUE,"High Profit")</f>
        <v>Medium Profit</v>
      </c>
      <c r="V1151" t="str">
        <f>TEXT(clean_data[[#This Row],[Date]],"mmm-yyyy")</f>
        <v>Dec-2022</v>
      </c>
      <c r="W1151" s="8">
        <f>EOMONTH(clean_data[[#This Row],[Date]],-1)+1</f>
        <v>44896</v>
      </c>
    </row>
    <row r="1152" spans="1:23" x14ac:dyDescent="0.3">
      <c r="A1152" t="s">
        <v>1224</v>
      </c>
      <c r="B1152" s="1">
        <v>44990</v>
      </c>
      <c r="C1152" t="s">
        <v>58</v>
      </c>
      <c r="D1152" t="s">
        <v>84</v>
      </c>
      <c r="E1152" t="s">
        <v>56</v>
      </c>
      <c r="F1152" t="s">
        <v>20</v>
      </c>
      <c r="G1152" t="s">
        <v>61</v>
      </c>
      <c r="H1152">
        <v>28</v>
      </c>
      <c r="I1152">
        <v>800</v>
      </c>
      <c r="J1152">
        <v>0</v>
      </c>
      <c r="K1152">
        <v>22400</v>
      </c>
      <c r="L1152">
        <v>8960</v>
      </c>
      <c r="M1152">
        <v>13440</v>
      </c>
      <c r="N1152" t="s">
        <v>49</v>
      </c>
      <c r="O1152" t="s">
        <v>44</v>
      </c>
      <c r="P1152" t="s">
        <v>24</v>
      </c>
      <c r="Q1152" t="str">
        <f>TEXT(clean_data[[#This Row],[Date]],"mmm")</f>
        <v>Mar</v>
      </c>
      <c r="R1152">
        <f>YEAR(clean_data[[#This Row],[Date]])</f>
        <v>2023</v>
      </c>
      <c r="S1152" s="2">
        <f>clean_data[[#This Row],[Profit]]/clean_data[[#This Row],[Revenue]]</f>
        <v>0.6</v>
      </c>
      <c r="T1152" t="str" cm="1">
        <f t="array" ref="T1152">_xlfn.IFS(clean_data[[#This Row],[Revenue]]&lt;300000,"Small",
     clean_data[[#This Row],[Revenue]]&lt;700000,"Medium",
     TRUE,"Large")</f>
        <v>Small</v>
      </c>
      <c r="U1152" t="str" cm="1">
        <f t="array" ref="U1152">_xlfn.IFS(clean_data[[#This Row],[profit margin%]]&lt;0.5,"Low Profit",
     clean_data[[#This Row],[profit margin%]]&lt;0.6,"Medium Profit",
     TRUE,"High Profit")</f>
        <v>High Profit</v>
      </c>
      <c r="V1152" t="str">
        <f>TEXT(clean_data[[#This Row],[Date]],"mmm-yyyy")</f>
        <v>Mar-2023</v>
      </c>
      <c r="W1152" s="8">
        <f>EOMONTH(clean_data[[#This Row],[Date]],-1)+1</f>
        <v>44986</v>
      </c>
    </row>
    <row r="1153" spans="1:23" x14ac:dyDescent="0.3">
      <c r="A1153" t="s">
        <v>1225</v>
      </c>
      <c r="B1153" s="1">
        <v>45387</v>
      </c>
      <c r="C1153" t="s">
        <v>17</v>
      </c>
      <c r="D1153" t="s">
        <v>37</v>
      </c>
      <c r="E1153" t="s">
        <v>32</v>
      </c>
      <c r="F1153" t="s">
        <v>65</v>
      </c>
      <c r="G1153" t="s">
        <v>117</v>
      </c>
      <c r="H1153">
        <v>17</v>
      </c>
      <c r="I1153">
        <v>1200</v>
      </c>
      <c r="J1153">
        <v>15</v>
      </c>
      <c r="K1153">
        <v>17340</v>
      </c>
      <c r="L1153">
        <v>7803</v>
      </c>
      <c r="M1153">
        <v>9537</v>
      </c>
      <c r="N1153" t="s">
        <v>30</v>
      </c>
      <c r="O1153" t="s">
        <v>23</v>
      </c>
      <c r="P1153" t="s">
        <v>24</v>
      </c>
      <c r="Q1153" t="str">
        <f>TEXT(clean_data[[#This Row],[Date]],"mmm")</f>
        <v>Apr</v>
      </c>
      <c r="R1153">
        <f>YEAR(clean_data[[#This Row],[Date]])</f>
        <v>2024</v>
      </c>
      <c r="S1153" s="2">
        <f>clean_data[[#This Row],[Profit]]/clean_data[[#This Row],[Revenue]]</f>
        <v>0.55000000000000004</v>
      </c>
      <c r="T1153" t="str" cm="1">
        <f t="array" ref="T1153">_xlfn.IFS(clean_data[[#This Row],[Revenue]]&lt;300000,"Small",
     clean_data[[#This Row],[Revenue]]&lt;700000,"Medium",
     TRUE,"Large")</f>
        <v>Small</v>
      </c>
      <c r="U1153" t="str" cm="1">
        <f t="array" ref="U1153">_xlfn.IFS(clean_data[[#This Row],[profit margin%]]&lt;0.5,"Low Profit",
     clean_data[[#This Row],[profit margin%]]&lt;0.6,"Medium Profit",
     TRUE,"High Profit")</f>
        <v>Medium Profit</v>
      </c>
      <c r="V1153" t="str">
        <f>TEXT(clean_data[[#This Row],[Date]],"mmm-yyyy")</f>
        <v>Apr-2024</v>
      </c>
      <c r="W1153" s="8">
        <f>EOMONTH(clean_data[[#This Row],[Date]],-1)+1</f>
        <v>45383</v>
      </c>
    </row>
    <row r="1154" spans="1:23" x14ac:dyDescent="0.3">
      <c r="A1154" t="s">
        <v>1226</v>
      </c>
      <c r="B1154" s="1">
        <v>45592</v>
      </c>
      <c r="C1154" t="s">
        <v>26</v>
      </c>
      <c r="D1154" t="s">
        <v>69</v>
      </c>
      <c r="E1154" t="s">
        <v>52</v>
      </c>
      <c r="F1154" t="s">
        <v>33</v>
      </c>
      <c r="G1154" t="s">
        <v>39</v>
      </c>
      <c r="H1154">
        <v>42</v>
      </c>
      <c r="I1154">
        <v>5000</v>
      </c>
      <c r="J1154">
        <v>15</v>
      </c>
      <c r="K1154">
        <v>178500</v>
      </c>
      <c r="L1154">
        <v>89250</v>
      </c>
      <c r="M1154">
        <v>89250</v>
      </c>
      <c r="N1154" t="s">
        <v>30</v>
      </c>
      <c r="O1154" t="s">
        <v>50</v>
      </c>
      <c r="P1154" t="s">
        <v>24</v>
      </c>
      <c r="Q1154" t="str">
        <f>TEXT(clean_data[[#This Row],[Date]],"mmm")</f>
        <v>Oct</v>
      </c>
      <c r="R1154">
        <f>YEAR(clean_data[[#This Row],[Date]])</f>
        <v>2024</v>
      </c>
      <c r="S1154" s="2">
        <f>clean_data[[#This Row],[Profit]]/clean_data[[#This Row],[Revenue]]</f>
        <v>0.5</v>
      </c>
      <c r="T1154" t="str" cm="1">
        <f t="array" ref="T1154">_xlfn.IFS(clean_data[[#This Row],[Revenue]]&lt;300000,"Small",
     clean_data[[#This Row],[Revenue]]&lt;700000,"Medium",
     TRUE,"Large")</f>
        <v>Small</v>
      </c>
      <c r="U1154" t="str" cm="1">
        <f t="array" ref="U1154">_xlfn.IFS(clean_data[[#This Row],[profit margin%]]&lt;0.5,"Low Profit",
     clean_data[[#This Row],[profit margin%]]&lt;0.6,"Medium Profit",
     TRUE,"High Profit")</f>
        <v>Medium Profit</v>
      </c>
      <c r="V1154" t="str">
        <f>TEXT(clean_data[[#This Row],[Date]],"mmm-yyyy")</f>
        <v>Oct-2024</v>
      </c>
      <c r="W1154" s="8">
        <f>EOMONTH(clean_data[[#This Row],[Date]],-1)+1</f>
        <v>45566</v>
      </c>
    </row>
    <row r="1155" spans="1:23" x14ac:dyDescent="0.3">
      <c r="A1155" t="s">
        <v>1227</v>
      </c>
      <c r="B1155" s="1">
        <v>44823</v>
      </c>
      <c r="C1155" t="s">
        <v>58</v>
      </c>
      <c r="D1155" t="s">
        <v>64</v>
      </c>
      <c r="E1155" t="s">
        <v>60</v>
      </c>
      <c r="F1155" t="s">
        <v>28</v>
      </c>
      <c r="G1155" t="s">
        <v>85</v>
      </c>
      <c r="H1155">
        <v>42</v>
      </c>
      <c r="I1155">
        <v>8000</v>
      </c>
      <c r="J1155">
        <v>15</v>
      </c>
      <c r="K1155">
        <v>285600</v>
      </c>
      <c r="L1155">
        <v>157080</v>
      </c>
      <c r="M1155">
        <v>128520</v>
      </c>
      <c r="N1155" t="s">
        <v>30</v>
      </c>
      <c r="O1155" t="s">
        <v>50</v>
      </c>
      <c r="P1155" t="s">
        <v>24</v>
      </c>
      <c r="Q1155" t="str">
        <f>TEXT(clean_data[[#This Row],[Date]],"mmm")</f>
        <v>Sep</v>
      </c>
      <c r="R1155">
        <f>YEAR(clean_data[[#This Row],[Date]])</f>
        <v>2022</v>
      </c>
      <c r="S1155" s="2">
        <f>clean_data[[#This Row],[Profit]]/clean_data[[#This Row],[Revenue]]</f>
        <v>0.45</v>
      </c>
      <c r="T1155" t="str" cm="1">
        <f t="array" ref="T1155">_xlfn.IFS(clean_data[[#This Row],[Revenue]]&lt;300000,"Small",
     clean_data[[#This Row],[Revenue]]&lt;700000,"Medium",
     TRUE,"Large")</f>
        <v>Small</v>
      </c>
      <c r="U1155" t="str" cm="1">
        <f t="array" ref="U1155">_xlfn.IFS(clean_data[[#This Row],[profit margin%]]&lt;0.5,"Low Profit",
     clean_data[[#This Row],[profit margin%]]&lt;0.6,"Medium Profit",
     TRUE,"High Profit")</f>
        <v>Low Profit</v>
      </c>
      <c r="V1155" t="str">
        <f>TEXT(clean_data[[#This Row],[Date]],"mmm-yyyy")</f>
        <v>Sep-2022</v>
      </c>
      <c r="W1155" s="8">
        <f>EOMONTH(clean_data[[#This Row],[Date]],-1)+1</f>
        <v>44805</v>
      </c>
    </row>
    <row r="1156" spans="1:23" x14ac:dyDescent="0.3">
      <c r="A1156" t="s">
        <v>1228</v>
      </c>
      <c r="B1156" s="1">
        <v>45391</v>
      </c>
      <c r="C1156" t="s">
        <v>26</v>
      </c>
      <c r="D1156" t="s">
        <v>69</v>
      </c>
      <c r="E1156" t="s">
        <v>111</v>
      </c>
      <c r="F1156" t="s">
        <v>33</v>
      </c>
      <c r="G1156" t="s">
        <v>48</v>
      </c>
      <c r="H1156">
        <v>46</v>
      </c>
      <c r="I1156">
        <v>1500</v>
      </c>
      <c r="J1156">
        <v>10</v>
      </c>
      <c r="K1156">
        <v>62100</v>
      </c>
      <c r="L1156">
        <v>31050</v>
      </c>
      <c r="M1156">
        <v>31050</v>
      </c>
      <c r="N1156" t="s">
        <v>49</v>
      </c>
      <c r="O1156" t="s">
        <v>35</v>
      </c>
      <c r="P1156" t="s">
        <v>40</v>
      </c>
      <c r="Q1156" t="str">
        <f>TEXT(clean_data[[#This Row],[Date]],"mmm")</f>
        <v>Apr</v>
      </c>
      <c r="R1156">
        <f>YEAR(clean_data[[#This Row],[Date]])</f>
        <v>2024</v>
      </c>
      <c r="S1156" s="2">
        <f>clean_data[[#This Row],[Profit]]/clean_data[[#This Row],[Revenue]]</f>
        <v>0.5</v>
      </c>
      <c r="T1156" t="str" cm="1">
        <f t="array" ref="T1156">_xlfn.IFS(clean_data[[#This Row],[Revenue]]&lt;300000,"Small",
     clean_data[[#This Row],[Revenue]]&lt;700000,"Medium",
     TRUE,"Large")</f>
        <v>Small</v>
      </c>
      <c r="U1156" t="str" cm="1">
        <f t="array" ref="U1156">_xlfn.IFS(clean_data[[#This Row],[profit margin%]]&lt;0.5,"Low Profit",
     clean_data[[#This Row],[profit margin%]]&lt;0.6,"Medium Profit",
     TRUE,"High Profit")</f>
        <v>Medium Profit</v>
      </c>
      <c r="V1156" t="str">
        <f>TEXT(clean_data[[#This Row],[Date]],"mmm-yyyy")</f>
        <v>Apr-2024</v>
      </c>
      <c r="W1156" s="8">
        <f>EOMONTH(clean_data[[#This Row],[Date]],-1)+1</f>
        <v>45383</v>
      </c>
    </row>
    <row r="1157" spans="1:23" x14ac:dyDescent="0.3">
      <c r="A1157" t="s">
        <v>1229</v>
      </c>
      <c r="B1157" s="1">
        <v>44909</v>
      </c>
      <c r="C1157" t="s">
        <v>58</v>
      </c>
      <c r="D1157" t="s">
        <v>64</v>
      </c>
      <c r="E1157" t="s">
        <v>52</v>
      </c>
      <c r="F1157" t="s">
        <v>20</v>
      </c>
      <c r="G1157" t="s">
        <v>21</v>
      </c>
      <c r="H1157">
        <v>22</v>
      </c>
      <c r="I1157">
        <v>3500</v>
      </c>
      <c r="J1157">
        <v>20</v>
      </c>
      <c r="K1157">
        <v>61600</v>
      </c>
      <c r="L1157">
        <v>24640</v>
      </c>
      <c r="M1157">
        <v>36960</v>
      </c>
      <c r="N1157" t="s">
        <v>30</v>
      </c>
      <c r="O1157" t="s">
        <v>67</v>
      </c>
      <c r="P1157" t="s">
        <v>24</v>
      </c>
      <c r="Q1157" t="str">
        <f>TEXT(clean_data[[#This Row],[Date]],"mmm")</f>
        <v>Dec</v>
      </c>
      <c r="R1157">
        <f>YEAR(clean_data[[#This Row],[Date]])</f>
        <v>2022</v>
      </c>
      <c r="S1157" s="2">
        <f>clean_data[[#This Row],[Profit]]/clean_data[[#This Row],[Revenue]]</f>
        <v>0.6</v>
      </c>
      <c r="T1157" t="str" cm="1">
        <f t="array" ref="T1157">_xlfn.IFS(clean_data[[#This Row],[Revenue]]&lt;300000,"Small",
     clean_data[[#This Row],[Revenue]]&lt;700000,"Medium",
     TRUE,"Large")</f>
        <v>Small</v>
      </c>
      <c r="U1157" t="str" cm="1">
        <f t="array" ref="U1157">_xlfn.IFS(clean_data[[#This Row],[profit margin%]]&lt;0.5,"Low Profit",
     clean_data[[#This Row],[profit margin%]]&lt;0.6,"Medium Profit",
     TRUE,"High Profit")</f>
        <v>High Profit</v>
      </c>
      <c r="V1157" t="str">
        <f>TEXT(clean_data[[#This Row],[Date]],"mmm-yyyy")</f>
        <v>Dec-2022</v>
      </c>
      <c r="W1157" s="8">
        <f>EOMONTH(clean_data[[#This Row],[Date]],-1)+1</f>
        <v>44896</v>
      </c>
    </row>
    <row r="1158" spans="1:23" x14ac:dyDescent="0.3">
      <c r="A1158" t="s">
        <v>1230</v>
      </c>
      <c r="B1158" s="1">
        <v>45457</v>
      </c>
      <c r="C1158" t="s">
        <v>26</v>
      </c>
      <c r="D1158" t="s">
        <v>69</v>
      </c>
      <c r="E1158" t="s">
        <v>73</v>
      </c>
      <c r="F1158" t="s">
        <v>28</v>
      </c>
      <c r="G1158" t="s">
        <v>95</v>
      </c>
      <c r="H1158">
        <v>32</v>
      </c>
      <c r="I1158">
        <v>75000</v>
      </c>
      <c r="J1158">
        <v>15</v>
      </c>
      <c r="K1158">
        <v>2040000</v>
      </c>
      <c r="L1158">
        <v>1122000</v>
      </c>
      <c r="M1158">
        <v>918000</v>
      </c>
      <c r="N1158" t="s">
        <v>30</v>
      </c>
      <c r="O1158" t="s">
        <v>67</v>
      </c>
      <c r="P1158" t="s">
        <v>24</v>
      </c>
      <c r="Q1158" t="str">
        <f>TEXT(clean_data[[#This Row],[Date]],"mmm")</f>
        <v>Jun</v>
      </c>
      <c r="R1158">
        <f>YEAR(clean_data[[#This Row],[Date]])</f>
        <v>2024</v>
      </c>
      <c r="S1158" s="2">
        <f>clean_data[[#This Row],[Profit]]/clean_data[[#This Row],[Revenue]]</f>
        <v>0.45</v>
      </c>
      <c r="T1158" t="str" cm="1">
        <f t="array" ref="T1158">_xlfn.IFS(clean_data[[#This Row],[Revenue]]&lt;300000,"Small",
     clean_data[[#This Row],[Revenue]]&lt;700000,"Medium",
     TRUE,"Large")</f>
        <v>Large</v>
      </c>
      <c r="U1158" t="str" cm="1">
        <f t="array" ref="U1158">_xlfn.IFS(clean_data[[#This Row],[profit margin%]]&lt;0.5,"Low Profit",
     clean_data[[#This Row],[profit margin%]]&lt;0.6,"Medium Profit",
     TRUE,"High Profit")</f>
        <v>Low Profit</v>
      </c>
      <c r="V1158" t="str">
        <f>TEXT(clean_data[[#This Row],[Date]],"mmm-yyyy")</f>
        <v>Jun-2024</v>
      </c>
      <c r="W1158" s="8">
        <f>EOMONTH(clean_data[[#This Row],[Date]],-1)+1</f>
        <v>45444</v>
      </c>
    </row>
    <row r="1159" spans="1:23" x14ac:dyDescent="0.3">
      <c r="A1159" t="s">
        <v>1231</v>
      </c>
      <c r="B1159" s="1">
        <v>45269</v>
      </c>
      <c r="C1159" t="s">
        <v>58</v>
      </c>
      <c r="D1159" t="s">
        <v>59</v>
      </c>
      <c r="E1159" t="s">
        <v>73</v>
      </c>
      <c r="F1159" t="s">
        <v>28</v>
      </c>
      <c r="G1159" t="s">
        <v>29</v>
      </c>
      <c r="H1159">
        <v>18</v>
      </c>
      <c r="I1159">
        <v>15000</v>
      </c>
      <c r="J1159">
        <v>5</v>
      </c>
      <c r="K1159">
        <v>256500</v>
      </c>
      <c r="L1159">
        <v>141075</v>
      </c>
      <c r="M1159">
        <v>115425</v>
      </c>
      <c r="N1159" t="s">
        <v>49</v>
      </c>
      <c r="O1159" t="s">
        <v>23</v>
      </c>
      <c r="P1159" t="s">
        <v>24</v>
      </c>
      <c r="Q1159" t="str">
        <f>TEXT(clean_data[[#This Row],[Date]],"mmm")</f>
        <v>Dec</v>
      </c>
      <c r="R1159">
        <f>YEAR(clean_data[[#This Row],[Date]])</f>
        <v>2023</v>
      </c>
      <c r="S1159" s="2">
        <f>clean_data[[#This Row],[Profit]]/clean_data[[#This Row],[Revenue]]</f>
        <v>0.45</v>
      </c>
      <c r="T1159" t="str" cm="1">
        <f t="array" ref="T1159">_xlfn.IFS(clean_data[[#This Row],[Revenue]]&lt;300000,"Small",
     clean_data[[#This Row],[Revenue]]&lt;700000,"Medium",
     TRUE,"Large")</f>
        <v>Small</v>
      </c>
      <c r="U1159" t="str" cm="1">
        <f t="array" ref="U1159">_xlfn.IFS(clean_data[[#This Row],[profit margin%]]&lt;0.5,"Low Profit",
     clean_data[[#This Row],[profit margin%]]&lt;0.6,"Medium Profit",
     TRUE,"High Profit")</f>
        <v>Low Profit</v>
      </c>
      <c r="V1159" t="str">
        <f>TEXT(clean_data[[#This Row],[Date]],"mmm-yyyy")</f>
        <v>Dec-2023</v>
      </c>
      <c r="W1159" s="8">
        <f>EOMONTH(clean_data[[#This Row],[Date]],-1)+1</f>
        <v>45261</v>
      </c>
    </row>
    <row r="1160" spans="1:23" x14ac:dyDescent="0.3">
      <c r="A1160" t="s">
        <v>1232</v>
      </c>
      <c r="B1160" s="1">
        <v>44607</v>
      </c>
      <c r="C1160" t="s">
        <v>17</v>
      </c>
      <c r="D1160" t="s">
        <v>37</v>
      </c>
      <c r="E1160" t="s">
        <v>56</v>
      </c>
      <c r="F1160" t="s">
        <v>28</v>
      </c>
      <c r="G1160" t="s">
        <v>71</v>
      </c>
      <c r="H1160">
        <v>47</v>
      </c>
      <c r="I1160">
        <v>35000</v>
      </c>
      <c r="J1160">
        <v>0</v>
      </c>
      <c r="K1160">
        <v>1645000</v>
      </c>
      <c r="L1160">
        <v>904750</v>
      </c>
      <c r="M1160">
        <v>740250</v>
      </c>
      <c r="N1160" t="s">
        <v>22</v>
      </c>
      <c r="O1160" t="s">
        <v>23</v>
      </c>
      <c r="P1160" t="s">
        <v>40</v>
      </c>
      <c r="Q1160" t="str">
        <f>TEXT(clean_data[[#This Row],[Date]],"mmm")</f>
        <v>Feb</v>
      </c>
      <c r="R1160">
        <f>YEAR(clean_data[[#This Row],[Date]])</f>
        <v>2022</v>
      </c>
      <c r="S1160" s="2">
        <f>clean_data[[#This Row],[Profit]]/clean_data[[#This Row],[Revenue]]</f>
        <v>0.45</v>
      </c>
      <c r="T1160" t="str" cm="1">
        <f t="array" ref="T1160">_xlfn.IFS(clean_data[[#This Row],[Revenue]]&lt;300000,"Small",
     clean_data[[#This Row],[Revenue]]&lt;700000,"Medium",
     TRUE,"Large")</f>
        <v>Large</v>
      </c>
      <c r="U1160" t="str" cm="1">
        <f t="array" ref="U1160">_xlfn.IFS(clean_data[[#This Row],[profit margin%]]&lt;0.5,"Low Profit",
     clean_data[[#This Row],[profit margin%]]&lt;0.6,"Medium Profit",
     TRUE,"High Profit")</f>
        <v>Low Profit</v>
      </c>
      <c r="V1160" t="str">
        <f>TEXT(clean_data[[#This Row],[Date]],"mmm-yyyy")</f>
        <v>Feb-2022</v>
      </c>
      <c r="W1160" s="8">
        <f>EOMONTH(clean_data[[#This Row],[Date]],-1)+1</f>
        <v>44593</v>
      </c>
    </row>
    <row r="1161" spans="1:23" x14ac:dyDescent="0.3">
      <c r="A1161" t="s">
        <v>1233</v>
      </c>
      <c r="B1161" s="1">
        <v>45022</v>
      </c>
      <c r="C1161" t="s">
        <v>26</v>
      </c>
      <c r="D1161" t="s">
        <v>27</v>
      </c>
      <c r="E1161" t="s">
        <v>78</v>
      </c>
      <c r="F1161" t="s">
        <v>20</v>
      </c>
      <c r="G1161" t="s">
        <v>115</v>
      </c>
      <c r="H1161">
        <v>28</v>
      </c>
      <c r="I1161">
        <v>2500</v>
      </c>
      <c r="J1161">
        <v>10</v>
      </c>
      <c r="K1161">
        <v>63000</v>
      </c>
      <c r="L1161">
        <v>25200</v>
      </c>
      <c r="M1161">
        <v>37800</v>
      </c>
      <c r="N1161" t="s">
        <v>49</v>
      </c>
      <c r="O1161" t="s">
        <v>67</v>
      </c>
      <c r="P1161" t="s">
        <v>24</v>
      </c>
      <c r="Q1161" t="str">
        <f>TEXT(clean_data[[#This Row],[Date]],"mmm")</f>
        <v>Apr</v>
      </c>
      <c r="R1161">
        <f>YEAR(clean_data[[#This Row],[Date]])</f>
        <v>2023</v>
      </c>
      <c r="S1161" s="2">
        <f>clean_data[[#This Row],[Profit]]/clean_data[[#This Row],[Revenue]]</f>
        <v>0.6</v>
      </c>
      <c r="T1161" t="str" cm="1">
        <f t="array" ref="T1161">_xlfn.IFS(clean_data[[#This Row],[Revenue]]&lt;300000,"Small",
     clean_data[[#This Row],[Revenue]]&lt;700000,"Medium",
     TRUE,"Large")</f>
        <v>Small</v>
      </c>
      <c r="U1161" t="str" cm="1">
        <f t="array" ref="U1161">_xlfn.IFS(clean_data[[#This Row],[profit margin%]]&lt;0.5,"Low Profit",
     clean_data[[#This Row],[profit margin%]]&lt;0.6,"Medium Profit",
     TRUE,"High Profit")</f>
        <v>High Profit</v>
      </c>
      <c r="V1161" t="str">
        <f>TEXT(clean_data[[#This Row],[Date]],"mmm-yyyy")</f>
        <v>Apr-2023</v>
      </c>
      <c r="W1161" s="8">
        <f>EOMONTH(clean_data[[#This Row],[Date]],-1)+1</f>
        <v>45017</v>
      </c>
    </row>
    <row r="1162" spans="1:23" x14ac:dyDescent="0.3">
      <c r="A1162" t="s">
        <v>1234</v>
      </c>
      <c r="B1162" s="1">
        <v>45043</v>
      </c>
      <c r="C1162" t="s">
        <v>58</v>
      </c>
      <c r="D1162" t="s">
        <v>84</v>
      </c>
      <c r="E1162" t="s">
        <v>52</v>
      </c>
      <c r="F1162" t="s">
        <v>33</v>
      </c>
      <c r="G1162" t="s">
        <v>34</v>
      </c>
      <c r="H1162">
        <v>3</v>
      </c>
      <c r="I1162">
        <v>25000</v>
      </c>
      <c r="J1162">
        <v>5</v>
      </c>
      <c r="K1162">
        <v>71250</v>
      </c>
      <c r="L1162">
        <v>35625</v>
      </c>
      <c r="M1162">
        <v>35625</v>
      </c>
      <c r="N1162" t="s">
        <v>22</v>
      </c>
      <c r="O1162" t="s">
        <v>35</v>
      </c>
      <c r="P1162" t="s">
        <v>40</v>
      </c>
      <c r="Q1162" t="str">
        <f>TEXT(clean_data[[#This Row],[Date]],"mmm")</f>
        <v>Apr</v>
      </c>
      <c r="R1162">
        <f>YEAR(clean_data[[#This Row],[Date]])</f>
        <v>2023</v>
      </c>
      <c r="S1162" s="2">
        <f>clean_data[[#This Row],[Profit]]/clean_data[[#This Row],[Revenue]]</f>
        <v>0.5</v>
      </c>
      <c r="T1162" t="str" cm="1">
        <f t="array" ref="T1162">_xlfn.IFS(clean_data[[#This Row],[Revenue]]&lt;300000,"Small",
     clean_data[[#This Row],[Revenue]]&lt;700000,"Medium",
     TRUE,"Large")</f>
        <v>Small</v>
      </c>
      <c r="U1162" t="str" cm="1">
        <f t="array" ref="U1162">_xlfn.IFS(clean_data[[#This Row],[profit margin%]]&lt;0.5,"Low Profit",
     clean_data[[#This Row],[profit margin%]]&lt;0.6,"Medium Profit",
     TRUE,"High Profit")</f>
        <v>Medium Profit</v>
      </c>
      <c r="V1162" t="str">
        <f>TEXT(clean_data[[#This Row],[Date]],"mmm-yyyy")</f>
        <v>Apr-2023</v>
      </c>
      <c r="W1162" s="8">
        <f>EOMONTH(clean_data[[#This Row],[Date]],-1)+1</f>
        <v>45017</v>
      </c>
    </row>
    <row r="1163" spans="1:23" x14ac:dyDescent="0.3">
      <c r="A1163" t="s">
        <v>1235</v>
      </c>
      <c r="B1163" s="1">
        <v>45308</v>
      </c>
      <c r="C1163" t="s">
        <v>26</v>
      </c>
      <c r="D1163" t="s">
        <v>69</v>
      </c>
      <c r="E1163" t="s">
        <v>73</v>
      </c>
      <c r="F1163" t="s">
        <v>65</v>
      </c>
      <c r="G1163" t="s">
        <v>66</v>
      </c>
      <c r="H1163">
        <v>2</v>
      </c>
      <c r="I1163">
        <v>5500</v>
      </c>
      <c r="J1163">
        <v>5</v>
      </c>
      <c r="K1163">
        <v>10450</v>
      </c>
      <c r="L1163">
        <v>4702.5</v>
      </c>
      <c r="M1163">
        <v>5747.5</v>
      </c>
      <c r="N1163" t="s">
        <v>22</v>
      </c>
      <c r="O1163" t="s">
        <v>35</v>
      </c>
      <c r="P1163" t="s">
        <v>24</v>
      </c>
      <c r="Q1163" t="str">
        <f>TEXT(clean_data[[#This Row],[Date]],"mmm")</f>
        <v>Jan</v>
      </c>
      <c r="R1163">
        <f>YEAR(clean_data[[#This Row],[Date]])</f>
        <v>2024</v>
      </c>
      <c r="S1163" s="2">
        <f>clean_data[[#This Row],[Profit]]/clean_data[[#This Row],[Revenue]]</f>
        <v>0.55000000000000004</v>
      </c>
      <c r="T1163" t="str" cm="1">
        <f t="array" ref="T1163">_xlfn.IFS(clean_data[[#This Row],[Revenue]]&lt;300000,"Small",
     clean_data[[#This Row],[Revenue]]&lt;700000,"Medium",
     TRUE,"Large")</f>
        <v>Small</v>
      </c>
      <c r="U1163" t="str" cm="1">
        <f t="array" ref="U1163">_xlfn.IFS(clean_data[[#This Row],[profit margin%]]&lt;0.5,"Low Profit",
     clean_data[[#This Row],[profit margin%]]&lt;0.6,"Medium Profit",
     TRUE,"High Profit")</f>
        <v>Medium Profit</v>
      </c>
      <c r="V1163" t="str">
        <f>TEXT(clean_data[[#This Row],[Date]],"mmm-yyyy")</f>
        <v>Jan-2024</v>
      </c>
      <c r="W1163" s="8">
        <f>EOMONTH(clean_data[[#This Row],[Date]],-1)+1</f>
        <v>45292</v>
      </c>
    </row>
    <row r="1164" spans="1:23" x14ac:dyDescent="0.3">
      <c r="A1164" t="s">
        <v>1236</v>
      </c>
      <c r="B1164" s="1">
        <v>45386</v>
      </c>
      <c r="C1164" t="s">
        <v>46</v>
      </c>
      <c r="D1164" t="s">
        <v>55</v>
      </c>
      <c r="E1164" t="s">
        <v>73</v>
      </c>
      <c r="F1164" t="s">
        <v>20</v>
      </c>
      <c r="G1164" t="s">
        <v>21</v>
      </c>
      <c r="H1164">
        <v>24</v>
      </c>
      <c r="I1164">
        <v>3500</v>
      </c>
      <c r="J1164">
        <v>20</v>
      </c>
      <c r="K1164">
        <v>67200</v>
      </c>
      <c r="L1164">
        <v>26880</v>
      </c>
      <c r="M1164">
        <v>40320</v>
      </c>
      <c r="N1164" t="s">
        <v>30</v>
      </c>
      <c r="O1164" t="s">
        <v>23</v>
      </c>
      <c r="P1164" t="s">
        <v>24</v>
      </c>
      <c r="Q1164" t="str">
        <f>TEXT(clean_data[[#This Row],[Date]],"mmm")</f>
        <v>Apr</v>
      </c>
      <c r="R1164">
        <f>YEAR(clean_data[[#This Row],[Date]])</f>
        <v>2024</v>
      </c>
      <c r="S1164" s="2">
        <f>clean_data[[#This Row],[Profit]]/clean_data[[#This Row],[Revenue]]</f>
        <v>0.6</v>
      </c>
      <c r="T1164" t="str" cm="1">
        <f t="array" ref="T1164">_xlfn.IFS(clean_data[[#This Row],[Revenue]]&lt;300000,"Small",
     clean_data[[#This Row],[Revenue]]&lt;700000,"Medium",
     TRUE,"Large")</f>
        <v>Small</v>
      </c>
      <c r="U1164" t="str" cm="1">
        <f t="array" ref="U1164">_xlfn.IFS(clean_data[[#This Row],[profit margin%]]&lt;0.5,"Low Profit",
     clean_data[[#This Row],[profit margin%]]&lt;0.6,"Medium Profit",
     TRUE,"High Profit")</f>
        <v>High Profit</v>
      </c>
      <c r="V1164" t="str">
        <f>TEXT(clean_data[[#This Row],[Date]],"mmm-yyyy")</f>
        <v>Apr-2024</v>
      </c>
      <c r="W1164" s="8">
        <f>EOMONTH(clean_data[[#This Row],[Date]],-1)+1</f>
        <v>45383</v>
      </c>
    </row>
    <row r="1165" spans="1:23" x14ac:dyDescent="0.3">
      <c r="A1165" t="s">
        <v>1237</v>
      </c>
      <c r="B1165" s="1">
        <v>45101</v>
      </c>
      <c r="C1165" t="s">
        <v>46</v>
      </c>
      <c r="D1165" t="s">
        <v>55</v>
      </c>
      <c r="E1165" t="s">
        <v>111</v>
      </c>
      <c r="F1165" t="s">
        <v>28</v>
      </c>
      <c r="G1165" t="s">
        <v>29</v>
      </c>
      <c r="H1165">
        <v>26</v>
      </c>
      <c r="I1165">
        <v>15000</v>
      </c>
      <c r="J1165">
        <v>5</v>
      </c>
      <c r="K1165">
        <v>370500</v>
      </c>
      <c r="L1165">
        <v>203775</v>
      </c>
      <c r="M1165">
        <v>166725</v>
      </c>
      <c r="N1165" t="s">
        <v>49</v>
      </c>
      <c r="O1165" t="s">
        <v>35</v>
      </c>
      <c r="P1165" t="s">
        <v>24</v>
      </c>
      <c r="Q1165" t="str">
        <f>TEXT(clean_data[[#This Row],[Date]],"mmm")</f>
        <v>Jun</v>
      </c>
      <c r="R1165">
        <f>YEAR(clean_data[[#This Row],[Date]])</f>
        <v>2023</v>
      </c>
      <c r="S1165" s="2">
        <f>clean_data[[#This Row],[Profit]]/clean_data[[#This Row],[Revenue]]</f>
        <v>0.45</v>
      </c>
      <c r="T1165" t="str" cm="1">
        <f t="array" ref="T1165">_xlfn.IFS(clean_data[[#This Row],[Revenue]]&lt;300000,"Small",
     clean_data[[#This Row],[Revenue]]&lt;700000,"Medium",
     TRUE,"Large")</f>
        <v>Medium</v>
      </c>
      <c r="U1165" t="str" cm="1">
        <f t="array" ref="U1165">_xlfn.IFS(clean_data[[#This Row],[profit margin%]]&lt;0.5,"Low Profit",
     clean_data[[#This Row],[profit margin%]]&lt;0.6,"Medium Profit",
     TRUE,"High Profit")</f>
        <v>Low Profit</v>
      </c>
      <c r="V1165" t="str">
        <f>TEXT(clean_data[[#This Row],[Date]],"mmm-yyyy")</f>
        <v>Jun-2023</v>
      </c>
      <c r="W1165" s="8">
        <f>EOMONTH(clean_data[[#This Row],[Date]],-1)+1</f>
        <v>45078</v>
      </c>
    </row>
    <row r="1166" spans="1:23" x14ac:dyDescent="0.3">
      <c r="A1166" t="s">
        <v>1238</v>
      </c>
      <c r="B1166" s="1">
        <v>45358</v>
      </c>
      <c r="C1166" t="s">
        <v>26</v>
      </c>
      <c r="D1166" t="s">
        <v>69</v>
      </c>
      <c r="E1166" t="s">
        <v>78</v>
      </c>
      <c r="F1166" t="s">
        <v>33</v>
      </c>
      <c r="G1166" t="s">
        <v>34</v>
      </c>
      <c r="H1166">
        <v>30</v>
      </c>
      <c r="I1166">
        <v>25000</v>
      </c>
      <c r="J1166">
        <v>20</v>
      </c>
      <c r="K1166">
        <v>600000</v>
      </c>
      <c r="L1166">
        <v>300000</v>
      </c>
      <c r="M1166">
        <v>300000</v>
      </c>
      <c r="N1166" t="s">
        <v>30</v>
      </c>
      <c r="O1166" t="s">
        <v>44</v>
      </c>
      <c r="P1166" t="s">
        <v>24</v>
      </c>
      <c r="Q1166" t="str">
        <f>TEXT(clean_data[[#This Row],[Date]],"mmm")</f>
        <v>Mar</v>
      </c>
      <c r="R1166">
        <f>YEAR(clean_data[[#This Row],[Date]])</f>
        <v>2024</v>
      </c>
      <c r="S1166" s="2">
        <f>clean_data[[#This Row],[Profit]]/clean_data[[#This Row],[Revenue]]</f>
        <v>0.5</v>
      </c>
      <c r="T1166" t="str" cm="1">
        <f t="array" ref="T1166">_xlfn.IFS(clean_data[[#This Row],[Revenue]]&lt;300000,"Small",
     clean_data[[#This Row],[Revenue]]&lt;700000,"Medium",
     TRUE,"Large")</f>
        <v>Medium</v>
      </c>
      <c r="U1166" t="str" cm="1">
        <f t="array" ref="U1166">_xlfn.IFS(clean_data[[#This Row],[profit margin%]]&lt;0.5,"Low Profit",
     clean_data[[#This Row],[profit margin%]]&lt;0.6,"Medium Profit",
     TRUE,"High Profit")</f>
        <v>Medium Profit</v>
      </c>
      <c r="V1166" t="str">
        <f>TEXT(clean_data[[#This Row],[Date]],"mmm-yyyy")</f>
        <v>Mar-2024</v>
      </c>
      <c r="W1166" s="8">
        <f>EOMONTH(clean_data[[#This Row],[Date]],-1)+1</f>
        <v>45352</v>
      </c>
    </row>
    <row r="1167" spans="1:23" x14ac:dyDescent="0.3">
      <c r="A1167" t="s">
        <v>1239</v>
      </c>
      <c r="B1167" s="1">
        <v>44986</v>
      </c>
      <c r="C1167" t="s">
        <v>17</v>
      </c>
      <c r="D1167" t="s">
        <v>18</v>
      </c>
      <c r="E1167" t="s">
        <v>52</v>
      </c>
      <c r="F1167" t="s">
        <v>33</v>
      </c>
      <c r="G1167" t="s">
        <v>43</v>
      </c>
      <c r="H1167">
        <v>30</v>
      </c>
      <c r="I1167">
        <v>4000</v>
      </c>
      <c r="J1167">
        <v>20</v>
      </c>
      <c r="K1167">
        <v>96000</v>
      </c>
      <c r="L1167">
        <v>48000</v>
      </c>
      <c r="M1167">
        <v>48000</v>
      </c>
      <c r="N1167" t="s">
        <v>22</v>
      </c>
      <c r="O1167" t="s">
        <v>67</v>
      </c>
      <c r="P1167" t="s">
        <v>24</v>
      </c>
      <c r="Q1167" t="str">
        <f>TEXT(clean_data[[#This Row],[Date]],"mmm")</f>
        <v>Mar</v>
      </c>
      <c r="R1167">
        <f>YEAR(clean_data[[#This Row],[Date]])</f>
        <v>2023</v>
      </c>
      <c r="S1167" s="2">
        <f>clean_data[[#This Row],[Profit]]/clean_data[[#This Row],[Revenue]]</f>
        <v>0.5</v>
      </c>
      <c r="T1167" t="str" cm="1">
        <f t="array" ref="T1167">_xlfn.IFS(clean_data[[#This Row],[Revenue]]&lt;300000,"Small",
     clean_data[[#This Row],[Revenue]]&lt;700000,"Medium",
     TRUE,"Large")</f>
        <v>Small</v>
      </c>
      <c r="U1167" t="str" cm="1">
        <f t="array" ref="U1167">_xlfn.IFS(clean_data[[#This Row],[profit margin%]]&lt;0.5,"Low Profit",
     clean_data[[#This Row],[profit margin%]]&lt;0.6,"Medium Profit",
     TRUE,"High Profit")</f>
        <v>Medium Profit</v>
      </c>
      <c r="V1167" t="str">
        <f>TEXT(clean_data[[#This Row],[Date]],"mmm-yyyy")</f>
        <v>Mar-2023</v>
      </c>
      <c r="W1167" s="8">
        <f>EOMONTH(clean_data[[#This Row],[Date]],-1)+1</f>
        <v>44986</v>
      </c>
    </row>
    <row r="1168" spans="1:23" x14ac:dyDescent="0.3">
      <c r="A1168" t="s">
        <v>1240</v>
      </c>
      <c r="B1168" s="1">
        <v>45217</v>
      </c>
      <c r="C1168" t="s">
        <v>58</v>
      </c>
      <c r="D1168" t="s">
        <v>59</v>
      </c>
      <c r="E1168" t="s">
        <v>111</v>
      </c>
      <c r="F1168" t="s">
        <v>28</v>
      </c>
      <c r="G1168" t="s">
        <v>71</v>
      </c>
      <c r="H1168">
        <v>22</v>
      </c>
      <c r="I1168">
        <v>35000</v>
      </c>
      <c r="J1168">
        <v>10</v>
      </c>
      <c r="K1168">
        <v>693000</v>
      </c>
      <c r="L1168">
        <v>381150</v>
      </c>
      <c r="M1168">
        <v>311850</v>
      </c>
      <c r="N1168" t="s">
        <v>49</v>
      </c>
      <c r="O1168" t="s">
        <v>44</v>
      </c>
      <c r="P1168" t="s">
        <v>24</v>
      </c>
      <c r="Q1168" t="str">
        <f>TEXT(clean_data[[#This Row],[Date]],"mmm")</f>
        <v>Oct</v>
      </c>
      <c r="R1168">
        <f>YEAR(clean_data[[#This Row],[Date]])</f>
        <v>2023</v>
      </c>
      <c r="S1168" s="2">
        <f>clean_data[[#This Row],[Profit]]/clean_data[[#This Row],[Revenue]]</f>
        <v>0.45</v>
      </c>
      <c r="T1168" t="str" cm="1">
        <f t="array" ref="T1168">_xlfn.IFS(clean_data[[#This Row],[Revenue]]&lt;300000,"Small",
     clean_data[[#This Row],[Revenue]]&lt;700000,"Medium",
     TRUE,"Large")</f>
        <v>Medium</v>
      </c>
      <c r="U1168" t="str" cm="1">
        <f t="array" ref="U1168">_xlfn.IFS(clean_data[[#This Row],[profit margin%]]&lt;0.5,"Low Profit",
     clean_data[[#This Row],[profit margin%]]&lt;0.6,"Medium Profit",
     TRUE,"High Profit")</f>
        <v>Low Profit</v>
      </c>
      <c r="V1168" t="str">
        <f>TEXT(clean_data[[#This Row],[Date]],"mmm-yyyy")</f>
        <v>Oct-2023</v>
      </c>
      <c r="W1168" s="8">
        <f>EOMONTH(clean_data[[#This Row],[Date]],-1)+1</f>
        <v>45200</v>
      </c>
    </row>
    <row r="1169" spans="1:23" x14ac:dyDescent="0.3">
      <c r="A1169" t="s">
        <v>1241</v>
      </c>
      <c r="B1169" s="1">
        <v>45471</v>
      </c>
      <c r="C1169" t="s">
        <v>58</v>
      </c>
      <c r="D1169" t="s">
        <v>84</v>
      </c>
      <c r="E1169" t="s">
        <v>111</v>
      </c>
      <c r="F1169" t="s">
        <v>20</v>
      </c>
      <c r="G1169" t="s">
        <v>115</v>
      </c>
      <c r="H1169">
        <v>17</v>
      </c>
      <c r="I1169">
        <v>2500</v>
      </c>
      <c r="J1169">
        <v>15</v>
      </c>
      <c r="K1169">
        <v>36125</v>
      </c>
      <c r="L1169">
        <v>14450</v>
      </c>
      <c r="M1169">
        <v>21675</v>
      </c>
      <c r="N1169" t="s">
        <v>22</v>
      </c>
      <c r="O1169" t="s">
        <v>67</v>
      </c>
      <c r="P1169" t="s">
        <v>24</v>
      </c>
      <c r="Q1169" t="str">
        <f>TEXT(clean_data[[#This Row],[Date]],"mmm")</f>
        <v>Jun</v>
      </c>
      <c r="R1169">
        <f>YEAR(clean_data[[#This Row],[Date]])</f>
        <v>2024</v>
      </c>
      <c r="S1169" s="2">
        <f>clean_data[[#This Row],[Profit]]/clean_data[[#This Row],[Revenue]]</f>
        <v>0.6</v>
      </c>
      <c r="T1169" t="str" cm="1">
        <f t="array" ref="T1169">_xlfn.IFS(clean_data[[#This Row],[Revenue]]&lt;300000,"Small",
     clean_data[[#This Row],[Revenue]]&lt;700000,"Medium",
     TRUE,"Large")</f>
        <v>Small</v>
      </c>
      <c r="U1169" t="str" cm="1">
        <f t="array" ref="U1169">_xlfn.IFS(clean_data[[#This Row],[profit margin%]]&lt;0.5,"Low Profit",
     clean_data[[#This Row],[profit margin%]]&lt;0.6,"Medium Profit",
     TRUE,"High Profit")</f>
        <v>High Profit</v>
      </c>
      <c r="V1169" t="str">
        <f>TEXT(clean_data[[#This Row],[Date]],"mmm-yyyy")</f>
        <v>Jun-2024</v>
      </c>
      <c r="W1169" s="8">
        <f>EOMONTH(clean_data[[#This Row],[Date]],-1)+1</f>
        <v>45444</v>
      </c>
    </row>
    <row r="1170" spans="1:23" x14ac:dyDescent="0.3">
      <c r="A1170" t="s">
        <v>1242</v>
      </c>
      <c r="B1170" s="1">
        <v>44733</v>
      </c>
      <c r="C1170" t="s">
        <v>58</v>
      </c>
      <c r="D1170" t="s">
        <v>64</v>
      </c>
      <c r="E1170" t="s">
        <v>70</v>
      </c>
      <c r="F1170" t="s">
        <v>28</v>
      </c>
      <c r="G1170" t="s">
        <v>87</v>
      </c>
      <c r="H1170">
        <v>48</v>
      </c>
      <c r="I1170">
        <v>45000</v>
      </c>
      <c r="J1170">
        <v>20</v>
      </c>
      <c r="K1170">
        <v>1728000</v>
      </c>
      <c r="L1170">
        <v>950400</v>
      </c>
      <c r="M1170">
        <v>777600</v>
      </c>
      <c r="N1170" t="s">
        <v>49</v>
      </c>
      <c r="O1170" t="s">
        <v>50</v>
      </c>
      <c r="P1170" t="s">
        <v>24</v>
      </c>
      <c r="Q1170" t="str">
        <f>TEXT(clean_data[[#This Row],[Date]],"mmm")</f>
        <v>Jun</v>
      </c>
      <c r="R1170">
        <f>YEAR(clean_data[[#This Row],[Date]])</f>
        <v>2022</v>
      </c>
      <c r="S1170" s="2">
        <f>clean_data[[#This Row],[Profit]]/clean_data[[#This Row],[Revenue]]</f>
        <v>0.45</v>
      </c>
      <c r="T1170" t="str" cm="1">
        <f t="array" ref="T1170">_xlfn.IFS(clean_data[[#This Row],[Revenue]]&lt;300000,"Small",
     clean_data[[#This Row],[Revenue]]&lt;700000,"Medium",
     TRUE,"Large")</f>
        <v>Large</v>
      </c>
      <c r="U1170" t="str" cm="1">
        <f t="array" ref="U1170">_xlfn.IFS(clean_data[[#This Row],[profit margin%]]&lt;0.5,"Low Profit",
     clean_data[[#This Row],[profit margin%]]&lt;0.6,"Medium Profit",
     TRUE,"High Profit")</f>
        <v>Low Profit</v>
      </c>
      <c r="V1170" t="str">
        <f>TEXT(clean_data[[#This Row],[Date]],"mmm-yyyy")</f>
        <v>Jun-2022</v>
      </c>
      <c r="W1170" s="8">
        <f>EOMONTH(clean_data[[#This Row],[Date]],-1)+1</f>
        <v>44713</v>
      </c>
    </row>
    <row r="1171" spans="1:23" x14ac:dyDescent="0.3">
      <c r="A1171" t="s">
        <v>1243</v>
      </c>
      <c r="B1171" s="1">
        <v>45184</v>
      </c>
      <c r="C1171" t="s">
        <v>58</v>
      </c>
      <c r="D1171" t="s">
        <v>84</v>
      </c>
      <c r="E1171" t="s">
        <v>78</v>
      </c>
      <c r="F1171" t="s">
        <v>20</v>
      </c>
      <c r="G1171" t="s">
        <v>53</v>
      </c>
      <c r="H1171">
        <v>23</v>
      </c>
      <c r="I1171">
        <v>600</v>
      </c>
      <c r="J1171">
        <v>20</v>
      </c>
      <c r="K1171">
        <v>11040</v>
      </c>
      <c r="L1171">
        <v>4416</v>
      </c>
      <c r="M1171">
        <v>6624</v>
      </c>
      <c r="N1171" t="s">
        <v>49</v>
      </c>
      <c r="O1171" t="s">
        <v>35</v>
      </c>
      <c r="P1171" t="s">
        <v>24</v>
      </c>
      <c r="Q1171" t="str">
        <f>TEXT(clean_data[[#This Row],[Date]],"mmm")</f>
        <v>Sep</v>
      </c>
      <c r="R1171">
        <f>YEAR(clean_data[[#This Row],[Date]])</f>
        <v>2023</v>
      </c>
      <c r="S1171" s="2">
        <f>clean_data[[#This Row],[Profit]]/clean_data[[#This Row],[Revenue]]</f>
        <v>0.6</v>
      </c>
      <c r="T1171" t="str" cm="1">
        <f t="array" ref="T1171">_xlfn.IFS(clean_data[[#This Row],[Revenue]]&lt;300000,"Small",
     clean_data[[#This Row],[Revenue]]&lt;700000,"Medium",
     TRUE,"Large")</f>
        <v>Small</v>
      </c>
      <c r="U1171" t="str" cm="1">
        <f t="array" ref="U1171">_xlfn.IFS(clean_data[[#This Row],[profit margin%]]&lt;0.5,"Low Profit",
     clean_data[[#This Row],[profit margin%]]&lt;0.6,"Medium Profit",
     TRUE,"High Profit")</f>
        <v>High Profit</v>
      </c>
      <c r="V1171" t="str">
        <f>TEXT(clean_data[[#This Row],[Date]],"mmm-yyyy")</f>
        <v>Sep-2023</v>
      </c>
      <c r="W1171" s="8">
        <f>EOMONTH(clean_data[[#This Row],[Date]],-1)+1</f>
        <v>45170</v>
      </c>
    </row>
    <row r="1172" spans="1:23" x14ac:dyDescent="0.3">
      <c r="A1172" t="s">
        <v>1244</v>
      </c>
      <c r="B1172" s="1">
        <v>45125</v>
      </c>
      <c r="C1172" t="s">
        <v>58</v>
      </c>
      <c r="D1172" t="s">
        <v>84</v>
      </c>
      <c r="E1172" t="s">
        <v>32</v>
      </c>
      <c r="F1172" t="s">
        <v>20</v>
      </c>
      <c r="G1172" t="s">
        <v>115</v>
      </c>
      <c r="H1172">
        <v>39</v>
      </c>
      <c r="I1172">
        <v>2500</v>
      </c>
      <c r="J1172">
        <v>0</v>
      </c>
      <c r="K1172">
        <v>97500</v>
      </c>
      <c r="L1172">
        <v>39000</v>
      </c>
      <c r="M1172">
        <v>58500</v>
      </c>
      <c r="N1172" t="s">
        <v>49</v>
      </c>
      <c r="O1172" t="s">
        <v>44</v>
      </c>
      <c r="P1172" t="s">
        <v>24</v>
      </c>
      <c r="Q1172" t="str">
        <f>TEXT(clean_data[[#This Row],[Date]],"mmm")</f>
        <v>Jul</v>
      </c>
      <c r="R1172">
        <f>YEAR(clean_data[[#This Row],[Date]])</f>
        <v>2023</v>
      </c>
      <c r="S1172" s="2">
        <f>clean_data[[#This Row],[Profit]]/clean_data[[#This Row],[Revenue]]</f>
        <v>0.6</v>
      </c>
      <c r="T1172" t="str" cm="1">
        <f t="array" ref="T1172">_xlfn.IFS(clean_data[[#This Row],[Revenue]]&lt;300000,"Small",
     clean_data[[#This Row],[Revenue]]&lt;700000,"Medium",
     TRUE,"Large")</f>
        <v>Small</v>
      </c>
      <c r="U1172" t="str" cm="1">
        <f t="array" ref="U1172">_xlfn.IFS(clean_data[[#This Row],[profit margin%]]&lt;0.5,"Low Profit",
     clean_data[[#This Row],[profit margin%]]&lt;0.6,"Medium Profit",
     TRUE,"High Profit")</f>
        <v>High Profit</v>
      </c>
      <c r="V1172" t="str">
        <f>TEXT(clean_data[[#This Row],[Date]],"mmm-yyyy")</f>
        <v>Jul-2023</v>
      </c>
      <c r="W1172" s="8">
        <f>EOMONTH(clean_data[[#This Row],[Date]],-1)+1</f>
        <v>45108</v>
      </c>
    </row>
    <row r="1173" spans="1:23" x14ac:dyDescent="0.3">
      <c r="A1173" t="s">
        <v>1245</v>
      </c>
      <c r="B1173" s="1">
        <v>44961</v>
      </c>
      <c r="C1173" t="s">
        <v>17</v>
      </c>
      <c r="D1173" t="s">
        <v>18</v>
      </c>
      <c r="E1173" t="s">
        <v>78</v>
      </c>
      <c r="F1173" t="s">
        <v>65</v>
      </c>
      <c r="G1173" t="s">
        <v>79</v>
      </c>
      <c r="H1173">
        <v>27</v>
      </c>
      <c r="I1173">
        <v>900</v>
      </c>
      <c r="J1173">
        <v>10</v>
      </c>
      <c r="K1173">
        <v>21870</v>
      </c>
      <c r="L1173">
        <v>9841.5</v>
      </c>
      <c r="M1173">
        <v>12028.5</v>
      </c>
      <c r="N1173" t="s">
        <v>49</v>
      </c>
      <c r="O1173" t="s">
        <v>67</v>
      </c>
      <c r="P1173" t="s">
        <v>24</v>
      </c>
      <c r="Q1173" t="str">
        <f>TEXT(clean_data[[#This Row],[Date]],"mmm")</f>
        <v>Feb</v>
      </c>
      <c r="R1173">
        <f>YEAR(clean_data[[#This Row],[Date]])</f>
        <v>2023</v>
      </c>
      <c r="S1173" s="2">
        <f>clean_data[[#This Row],[Profit]]/clean_data[[#This Row],[Revenue]]</f>
        <v>0.55000000000000004</v>
      </c>
      <c r="T1173" t="str" cm="1">
        <f t="array" ref="T1173">_xlfn.IFS(clean_data[[#This Row],[Revenue]]&lt;300000,"Small",
     clean_data[[#This Row],[Revenue]]&lt;700000,"Medium",
     TRUE,"Large")</f>
        <v>Small</v>
      </c>
      <c r="U1173" t="str" cm="1">
        <f t="array" ref="U1173">_xlfn.IFS(clean_data[[#This Row],[profit margin%]]&lt;0.5,"Low Profit",
     clean_data[[#This Row],[profit margin%]]&lt;0.6,"Medium Profit",
     TRUE,"High Profit")</f>
        <v>Medium Profit</v>
      </c>
      <c r="V1173" t="str">
        <f>TEXT(clean_data[[#This Row],[Date]],"mmm-yyyy")</f>
        <v>Feb-2023</v>
      </c>
      <c r="W1173" s="8">
        <f>EOMONTH(clean_data[[#This Row],[Date]],-1)+1</f>
        <v>44958</v>
      </c>
    </row>
    <row r="1174" spans="1:23" x14ac:dyDescent="0.3">
      <c r="A1174" t="s">
        <v>1246</v>
      </c>
      <c r="B1174" s="1">
        <v>45088</v>
      </c>
      <c r="C1174" t="s">
        <v>17</v>
      </c>
      <c r="D1174" t="s">
        <v>42</v>
      </c>
      <c r="E1174" t="s">
        <v>52</v>
      </c>
      <c r="F1174" t="s">
        <v>33</v>
      </c>
      <c r="G1174" t="s">
        <v>43</v>
      </c>
      <c r="H1174">
        <v>35</v>
      </c>
      <c r="I1174">
        <v>4000</v>
      </c>
      <c r="J1174">
        <v>20</v>
      </c>
      <c r="K1174">
        <v>112000</v>
      </c>
      <c r="L1174">
        <v>56000</v>
      </c>
      <c r="M1174">
        <v>56000</v>
      </c>
      <c r="N1174" t="s">
        <v>30</v>
      </c>
      <c r="O1174" t="s">
        <v>23</v>
      </c>
      <c r="P1174" t="s">
        <v>24</v>
      </c>
      <c r="Q1174" t="str">
        <f>TEXT(clean_data[[#This Row],[Date]],"mmm")</f>
        <v>Jun</v>
      </c>
      <c r="R1174">
        <f>YEAR(clean_data[[#This Row],[Date]])</f>
        <v>2023</v>
      </c>
      <c r="S1174" s="2">
        <f>clean_data[[#This Row],[Profit]]/clean_data[[#This Row],[Revenue]]</f>
        <v>0.5</v>
      </c>
      <c r="T1174" t="str" cm="1">
        <f t="array" ref="T1174">_xlfn.IFS(clean_data[[#This Row],[Revenue]]&lt;300000,"Small",
     clean_data[[#This Row],[Revenue]]&lt;700000,"Medium",
     TRUE,"Large")</f>
        <v>Small</v>
      </c>
      <c r="U1174" t="str" cm="1">
        <f t="array" ref="U1174">_xlfn.IFS(clean_data[[#This Row],[profit margin%]]&lt;0.5,"Low Profit",
     clean_data[[#This Row],[profit margin%]]&lt;0.6,"Medium Profit",
     TRUE,"High Profit")</f>
        <v>Medium Profit</v>
      </c>
      <c r="V1174" t="str">
        <f>TEXT(clean_data[[#This Row],[Date]],"mmm-yyyy")</f>
        <v>Jun-2023</v>
      </c>
      <c r="W1174" s="8">
        <f>EOMONTH(clean_data[[#This Row],[Date]],-1)+1</f>
        <v>45078</v>
      </c>
    </row>
    <row r="1175" spans="1:23" x14ac:dyDescent="0.3">
      <c r="A1175" t="s">
        <v>1247</v>
      </c>
      <c r="B1175" s="1">
        <v>45529</v>
      </c>
      <c r="C1175" t="s">
        <v>58</v>
      </c>
      <c r="D1175" t="s">
        <v>59</v>
      </c>
      <c r="E1175" t="s">
        <v>60</v>
      </c>
      <c r="F1175" t="s">
        <v>20</v>
      </c>
      <c r="G1175" t="s">
        <v>74</v>
      </c>
      <c r="H1175">
        <v>26</v>
      </c>
      <c r="I1175">
        <v>4200</v>
      </c>
      <c r="J1175">
        <v>10</v>
      </c>
      <c r="K1175">
        <v>98280</v>
      </c>
      <c r="L1175">
        <v>39312</v>
      </c>
      <c r="M1175">
        <v>58968</v>
      </c>
      <c r="N1175" t="s">
        <v>22</v>
      </c>
      <c r="O1175" t="s">
        <v>50</v>
      </c>
      <c r="P1175" t="s">
        <v>24</v>
      </c>
      <c r="Q1175" t="str">
        <f>TEXT(clean_data[[#This Row],[Date]],"mmm")</f>
        <v>Aug</v>
      </c>
      <c r="R1175">
        <f>YEAR(clean_data[[#This Row],[Date]])</f>
        <v>2024</v>
      </c>
      <c r="S1175" s="2">
        <f>clean_data[[#This Row],[Profit]]/clean_data[[#This Row],[Revenue]]</f>
        <v>0.6</v>
      </c>
      <c r="T1175" t="str" cm="1">
        <f t="array" ref="T1175">_xlfn.IFS(clean_data[[#This Row],[Revenue]]&lt;300000,"Small",
     clean_data[[#This Row],[Revenue]]&lt;700000,"Medium",
     TRUE,"Large")</f>
        <v>Small</v>
      </c>
      <c r="U1175" t="str" cm="1">
        <f t="array" ref="U1175">_xlfn.IFS(clean_data[[#This Row],[profit margin%]]&lt;0.5,"Low Profit",
     clean_data[[#This Row],[profit margin%]]&lt;0.6,"Medium Profit",
     TRUE,"High Profit")</f>
        <v>High Profit</v>
      </c>
      <c r="V1175" t="str">
        <f>TEXT(clean_data[[#This Row],[Date]],"mmm-yyyy")</f>
        <v>Aug-2024</v>
      </c>
      <c r="W1175" s="8">
        <f>EOMONTH(clean_data[[#This Row],[Date]],-1)+1</f>
        <v>45505</v>
      </c>
    </row>
    <row r="1176" spans="1:23" x14ac:dyDescent="0.3">
      <c r="A1176" t="s">
        <v>1248</v>
      </c>
      <c r="B1176" s="1">
        <v>45464</v>
      </c>
      <c r="C1176" t="s">
        <v>46</v>
      </c>
      <c r="D1176" t="s">
        <v>47</v>
      </c>
      <c r="E1176" t="s">
        <v>32</v>
      </c>
      <c r="F1176" t="s">
        <v>65</v>
      </c>
      <c r="G1176" t="s">
        <v>66</v>
      </c>
      <c r="H1176">
        <v>27</v>
      </c>
      <c r="I1176">
        <v>5500</v>
      </c>
      <c r="J1176">
        <v>5</v>
      </c>
      <c r="K1176">
        <v>141075</v>
      </c>
      <c r="L1176">
        <v>63483.75</v>
      </c>
      <c r="M1176">
        <v>77591.25</v>
      </c>
      <c r="N1176" t="s">
        <v>22</v>
      </c>
      <c r="O1176" t="s">
        <v>44</v>
      </c>
      <c r="P1176" t="s">
        <v>24</v>
      </c>
      <c r="Q1176" t="str">
        <f>TEXT(clean_data[[#This Row],[Date]],"mmm")</f>
        <v>Jun</v>
      </c>
      <c r="R1176">
        <f>YEAR(clean_data[[#This Row],[Date]])</f>
        <v>2024</v>
      </c>
      <c r="S1176" s="2">
        <f>clean_data[[#This Row],[Profit]]/clean_data[[#This Row],[Revenue]]</f>
        <v>0.55000000000000004</v>
      </c>
      <c r="T1176" t="str" cm="1">
        <f t="array" ref="T1176">_xlfn.IFS(clean_data[[#This Row],[Revenue]]&lt;300000,"Small",
     clean_data[[#This Row],[Revenue]]&lt;700000,"Medium",
     TRUE,"Large")</f>
        <v>Small</v>
      </c>
      <c r="U1176" t="str" cm="1">
        <f t="array" ref="U1176">_xlfn.IFS(clean_data[[#This Row],[profit margin%]]&lt;0.5,"Low Profit",
     clean_data[[#This Row],[profit margin%]]&lt;0.6,"Medium Profit",
     TRUE,"High Profit")</f>
        <v>Medium Profit</v>
      </c>
      <c r="V1176" t="str">
        <f>TEXT(clean_data[[#This Row],[Date]],"mmm-yyyy")</f>
        <v>Jun-2024</v>
      </c>
      <c r="W1176" s="8">
        <f>EOMONTH(clean_data[[#This Row],[Date]],-1)+1</f>
        <v>45444</v>
      </c>
    </row>
    <row r="1177" spans="1:23" x14ac:dyDescent="0.3">
      <c r="A1177" t="s">
        <v>1249</v>
      </c>
      <c r="B1177" s="1">
        <v>44824</v>
      </c>
      <c r="C1177" t="s">
        <v>26</v>
      </c>
      <c r="D1177" t="s">
        <v>69</v>
      </c>
      <c r="E1177" t="s">
        <v>56</v>
      </c>
      <c r="F1177" t="s">
        <v>33</v>
      </c>
      <c r="G1177" t="s">
        <v>43</v>
      </c>
      <c r="H1177">
        <v>16</v>
      </c>
      <c r="I1177">
        <v>4000</v>
      </c>
      <c r="J1177">
        <v>5</v>
      </c>
      <c r="K1177">
        <v>60800</v>
      </c>
      <c r="L1177">
        <v>30400</v>
      </c>
      <c r="M1177">
        <v>30400</v>
      </c>
      <c r="N1177" t="s">
        <v>22</v>
      </c>
      <c r="O1177" t="s">
        <v>23</v>
      </c>
      <c r="P1177" t="s">
        <v>40</v>
      </c>
      <c r="Q1177" t="str">
        <f>TEXT(clean_data[[#This Row],[Date]],"mmm")</f>
        <v>Sep</v>
      </c>
      <c r="R1177">
        <f>YEAR(clean_data[[#This Row],[Date]])</f>
        <v>2022</v>
      </c>
      <c r="S1177" s="2">
        <f>clean_data[[#This Row],[Profit]]/clean_data[[#This Row],[Revenue]]</f>
        <v>0.5</v>
      </c>
      <c r="T1177" t="str" cm="1">
        <f t="array" ref="T1177">_xlfn.IFS(clean_data[[#This Row],[Revenue]]&lt;300000,"Small",
     clean_data[[#This Row],[Revenue]]&lt;700000,"Medium",
     TRUE,"Large")</f>
        <v>Small</v>
      </c>
      <c r="U1177" t="str" cm="1">
        <f t="array" ref="U1177">_xlfn.IFS(clean_data[[#This Row],[profit margin%]]&lt;0.5,"Low Profit",
     clean_data[[#This Row],[profit margin%]]&lt;0.6,"Medium Profit",
     TRUE,"High Profit")</f>
        <v>Medium Profit</v>
      </c>
      <c r="V1177" t="str">
        <f>TEXT(clean_data[[#This Row],[Date]],"mmm-yyyy")</f>
        <v>Sep-2022</v>
      </c>
      <c r="W1177" s="8">
        <f>EOMONTH(clean_data[[#This Row],[Date]],-1)+1</f>
        <v>44805</v>
      </c>
    </row>
    <row r="1178" spans="1:23" x14ac:dyDescent="0.3">
      <c r="A1178" t="s">
        <v>1250</v>
      </c>
      <c r="B1178" s="1">
        <v>44724</v>
      </c>
      <c r="C1178" t="s">
        <v>26</v>
      </c>
      <c r="D1178" t="s">
        <v>69</v>
      </c>
      <c r="E1178" t="s">
        <v>111</v>
      </c>
      <c r="F1178" t="s">
        <v>20</v>
      </c>
      <c r="G1178" t="s">
        <v>74</v>
      </c>
      <c r="H1178">
        <v>30</v>
      </c>
      <c r="I1178">
        <v>4200</v>
      </c>
      <c r="J1178">
        <v>10</v>
      </c>
      <c r="K1178">
        <v>113400</v>
      </c>
      <c r="L1178">
        <v>45360</v>
      </c>
      <c r="M1178">
        <v>68040</v>
      </c>
      <c r="N1178" t="s">
        <v>30</v>
      </c>
      <c r="O1178" t="s">
        <v>23</v>
      </c>
      <c r="P1178" t="s">
        <v>24</v>
      </c>
      <c r="Q1178" t="str">
        <f>TEXT(clean_data[[#This Row],[Date]],"mmm")</f>
        <v>Jun</v>
      </c>
      <c r="R1178">
        <f>YEAR(clean_data[[#This Row],[Date]])</f>
        <v>2022</v>
      </c>
      <c r="S1178" s="2">
        <f>clean_data[[#This Row],[Profit]]/clean_data[[#This Row],[Revenue]]</f>
        <v>0.6</v>
      </c>
      <c r="T1178" t="str" cm="1">
        <f t="array" ref="T1178">_xlfn.IFS(clean_data[[#This Row],[Revenue]]&lt;300000,"Small",
     clean_data[[#This Row],[Revenue]]&lt;700000,"Medium",
     TRUE,"Large")</f>
        <v>Small</v>
      </c>
      <c r="U1178" t="str" cm="1">
        <f t="array" ref="U1178">_xlfn.IFS(clean_data[[#This Row],[profit margin%]]&lt;0.5,"Low Profit",
     clean_data[[#This Row],[profit margin%]]&lt;0.6,"Medium Profit",
     TRUE,"High Profit")</f>
        <v>High Profit</v>
      </c>
      <c r="V1178" t="str">
        <f>TEXT(clean_data[[#This Row],[Date]],"mmm-yyyy")</f>
        <v>Jun-2022</v>
      </c>
      <c r="W1178" s="8">
        <f>EOMONTH(clean_data[[#This Row],[Date]],-1)+1</f>
        <v>44713</v>
      </c>
    </row>
    <row r="1179" spans="1:23" x14ac:dyDescent="0.3">
      <c r="A1179" t="s">
        <v>1251</v>
      </c>
      <c r="B1179" s="1">
        <v>44937</v>
      </c>
      <c r="C1179" t="s">
        <v>46</v>
      </c>
      <c r="D1179" t="s">
        <v>55</v>
      </c>
      <c r="E1179" t="s">
        <v>52</v>
      </c>
      <c r="F1179" t="s">
        <v>28</v>
      </c>
      <c r="G1179" t="s">
        <v>87</v>
      </c>
      <c r="H1179">
        <v>37</v>
      </c>
      <c r="I1179">
        <v>45000</v>
      </c>
      <c r="J1179">
        <v>15</v>
      </c>
      <c r="K1179">
        <v>1415250</v>
      </c>
      <c r="L1179">
        <v>778387.5</v>
      </c>
      <c r="M1179">
        <v>636862.5</v>
      </c>
      <c r="N1179" t="s">
        <v>30</v>
      </c>
      <c r="O1179" t="s">
        <v>67</v>
      </c>
      <c r="P1179" t="s">
        <v>24</v>
      </c>
      <c r="Q1179" t="str">
        <f>TEXT(clean_data[[#This Row],[Date]],"mmm")</f>
        <v>Jan</v>
      </c>
      <c r="R1179">
        <f>YEAR(clean_data[[#This Row],[Date]])</f>
        <v>2023</v>
      </c>
      <c r="S1179" s="2">
        <f>clean_data[[#This Row],[Profit]]/clean_data[[#This Row],[Revenue]]</f>
        <v>0.45</v>
      </c>
      <c r="T1179" t="str" cm="1">
        <f t="array" ref="T1179">_xlfn.IFS(clean_data[[#This Row],[Revenue]]&lt;300000,"Small",
     clean_data[[#This Row],[Revenue]]&lt;700000,"Medium",
     TRUE,"Large")</f>
        <v>Large</v>
      </c>
      <c r="U1179" t="str" cm="1">
        <f t="array" ref="U1179">_xlfn.IFS(clean_data[[#This Row],[profit margin%]]&lt;0.5,"Low Profit",
     clean_data[[#This Row],[profit margin%]]&lt;0.6,"Medium Profit",
     TRUE,"High Profit")</f>
        <v>Low Profit</v>
      </c>
      <c r="V1179" t="str">
        <f>TEXT(clean_data[[#This Row],[Date]],"mmm-yyyy")</f>
        <v>Jan-2023</v>
      </c>
      <c r="W1179" s="8">
        <f>EOMONTH(clean_data[[#This Row],[Date]],-1)+1</f>
        <v>44927</v>
      </c>
    </row>
    <row r="1180" spans="1:23" x14ac:dyDescent="0.3">
      <c r="A1180" t="s">
        <v>1252</v>
      </c>
      <c r="B1180" s="1">
        <v>45420</v>
      </c>
      <c r="C1180" t="s">
        <v>46</v>
      </c>
      <c r="D1180" t="s">
        <v>55</v>
      </c>
      <c r="E1180" t="s">
        <v>111</v>
      </c>
      <c r="F1180" t="s">
        <v>28</v>
      </c>
      <c r="G1180" t="s">
        <v>29</v>
      </c>
      <c r="H1180">
        <v>22</v>
      </c>
      <c r="I1180">
        <v>15000</v>
      </c>
      <c r="J1180">
        <v>5</v>
      </c>
      <c r="K1180">
        <v>313500</v>
      </c>
      <c r="L1180">
        <v>172425</v>
      </c>
      <c r="M1180">
        <v>141075</v>
      </c>
      <c r="N1180" t="s">
        <v>49</v>
      </c>
      <c r="O1180" t="s">
        <v>35</v>
      </c>
      <c r="P1180" t="s">
        <v>24</v>
      </c>
      <c r="Q1180" t="str">
        <f>TEXT(clean_data[[#This Row],[Date]],"mmm")</f>
        <v>May</v>
      </c>
      <c r="R1180">
        <f>YEAR(clean_data[[#This Row],[Date]])</f>
        <v>2024</v>
      </c>
      <c r="S1180" s="2">
        <f>clean_data[[#This Row],[Profit]]/clean_data[[#This Row],[Revenue]]</f>
        <v>0.45</v>
      </c>
      <c r="T1180" t="str" cm="1">
        <f t="array" ref="T1180">_xlfn.IFS(clean_data[[#This Row],[Revenue]]&lt;300000,"Small",
     clean_data[[#This Row],[Revenue]]&lt;700000,"Medium",
     TRUE,"Large")</f>
        <v>Medium</v>
      </c>
      <c r="U1180" t="str" cm="1">
        <f t="array" ref="U1180">_xlfn.IFS(clean_data[[#This Row],[profit margin%]]&lt;0.5,"Low Profit",
     clean_data[[#This Row],[profit margin%]]&lt;0.6,"Medium Profit",
     TRUE,"High Profit")</f>
        <v>Low Profit</v>
      </c>
      <c r="V1180" t="str">
        <f>TEXT(clean_data[[#This Row],[Date]],"mmm-yyyy")</f>
        <v>May-2024</v>
      </c>
      <c r="W1180" s="8">
        <f>EOMONTH(clean_data[[#This Row],[Date]],-1)+1</f>
        <v>45413</v>
      </c>
    </row>
    <row r="1181" spans="1:23" x14ac:dyDescent="0.3">
      <c r="A1181" t="s">
        <v>1253</v>
      </c>
      <c r="B1181" s="1">
        <v>44585</v>
      </c>
      <c r="C1181" t="s">
        <v>26</v>
      </c>
      <c r="D1181" t="s">
        <v>69</v>
      </c>
      <c r="E1181" t="s">
        <v>111</v>
      </c>
      <c r="F1181" t="s">
        <v>65</v>
      </c>
      <c r="G1181" t="s">
        <v>66</v>
      </c>
      <c r="H1181">
        <v>5</v>
      </c>
      <c r="I1181">
        <v>5500</v>
      </c>
      <c r="J1181">
        <v>15</v>
      </c>
      <c r="K1181">
        <v>23375</v>
      </c>
      <c r="L1181">
        <v>10518.75</v>
      </c>
      <c r="M1181">
        <v>12856.25</v>
      </c>
      <c r="N1181" t="s">
        <v>22</v>
      </c>
      <c r="O1181" t="s">
        <v>67</v>
      </c>
      <c r="P1181" t="s">
        <v>24</v>
      </c>
      <c r="Q1181" t="str">
        <f>TEXT(clean_data[[#This Row],[Date]],"mmm")</f>
        <v>Jan</v>
      </c>
      <c r="R1181">
        <f>YEAR(clean_data[[#This Row],[Date]])</f>
        <v>2022</v>
      </c>
      <c r="S1181" s="2">
        <f>clean_data[[#This Row],[Profit]]/clean_data[[#This Row],[Revenue]]</f>
        <v>0.55000000000000004</v>
      </c>
      <c r="T1181" t="str" cm="1">
        <f t="array" ref="T1181">_xlfn.IFS(clean_data[[#This Row],[Revenue]]&lt;300000,"Small",
     clean_data[[#This Row],[Revenue]]&lt;700000,"Medium",
     TRUE,"Large")</f>
        <v>Small</v>
      </c>
      <c r="U1181" t="str" cm="1">
        <f t="array" ref="U1181">_xlfn.IFS(clean_data[[#This Row],[profit margin%]]&lt;0.5,"Low Profit",
     clean_data[[#This Row],[profit margin%]]&lt;0.6,"Medium Profit",
     TRUE,"High Profit")</f>
        <v>Medium Profit</v>
      </c>
      <c r="V1181" t="str">
        <f>TEXT(clean_data[[#This Row],[Date]],"mmm-yyyy")</f>
        <v>Jan-2022</v>
      </c>
      <c r="W1181" s="8">
        <f>EOMONTH(clean_data[[#This Row],[Date]],-1)+1</f>
        <v>44562</v>
      </c>
    </row>
    <row r="1182" spans="1:23" x14ac:dyDescent="0.3">
      <c r="A1182" t="s">
        <v>1254</v>
      </c>
      <c r="B1182" s="1">
        <v>44796</v>
      </c>
      <c r="C1182" t="s">
        <v>26</v>
      </c>
      <c r="D1182" t="s">
        <v>69</v>
      </c>
      <c r="E1182" t="s">
        <v>60</v>
      </c>
      <c r="F1182" t="s">
        <v>28</v>
      </c>
      <c r="G1182" t="s">
        <v>71</v>
      </c>
      <c r="H1182">
        <v>26</v>
      </c>
      <c r="I1182">
        <v>35000</v>
      </c>
      <c r="J1182">
        <v>0</v>
      </c>
      <c r="K1182">
        <v>910000</v>
      </c>
      <c r="L1182">
        <v>500500</v>
      </c>
      <c r="M1182">
        <v>409500</v>
      </c>
      <c r="N1182" t="s">
        <v>49</v>
      </c>
      <c r="O1182" t="s">
        <v>67</v>
      </c>
      <c r="P1182" t="s">
        <v>24</v>
      </c>
      <c r="Q1182" t="str">
        <f>TEXT(clean_data[[#This Row],[Date]],"mmm")</f>
        <v>Aug</v>
      </c>
      <c r="R1182">
        <f>YEAR(clean_data[[#This Row],[Date]])</f>
        <v>2022</v>
      </c>
      <c r="S1182" s="2">
        <f>clean_data[[#This Row],[Profit]]/clean_data[[#This Row],[Revenue]]</f>
        <v>0.45</v>
      </c>
      <c r="T1182" t="str" cm="1">
        <f t="array" ref="T1182">_xlfn.IFS(clean_data[[#This Row],[Revenue]]&lt;300000,"Small",
     clean_data[[#This Row],[Revenue]]&lt;700000,"Medium",
     TRUE,"Large")</f>
        <v>Large</v>
      </c>
      <c r="U1182" t="str" cm="1">
        <f t="array" ref="U1182">_xlfn.IFS(clean_data[[#This Row],[profit margin%]]&lt;0.5,"Low Profit",
     clean_data[[#This Row],[profit margin%]]&lt;0.6,"Medium Profit",
     TRUE,"High Profit")</f>
        <v>Low Profit</v>
      </c>
      <c r="V1182" t="str">
        <f>TEXT(clean_data[[#This Row],[Date]],"mmm-yyyy")</f>
        <v>Aug-2022</v>
      </c>
      <c r="W1182" s="8">
        <f>EOMONTH(clean_data[[#This Row],[Date]],-1)+1</f>
        <v>44774</v>
      </c>
    </row>
    <row r="1183" spans="1:23" x14ac:dyDescent="0.3">
      <c r="A1183" t="s">
        <v>1255</v>
      </c>
      <c r="B1183" s="1">
        <v>45426</v>
      </c>
      <c r="C1183" t="s">
        <v>26</v>
      </c>
      <c r="D1183" t="s">
        <v>27</v>
      </c>
      <c r="E1183" t="s">
        <v>78</v>
      </c>
      <c r="F1183" t="s">
        <v>33</v>
      </c>
      <c r="G1183" t="s">
        <v>43</v>
      </c>
      <c r="H1183">
        <v>49</v>
      </c>
      <c r="I1183">
        <v>4000</v>
      </c>
      <c r="J1183">
        <v>0</v>
      </c>
      <c r="K1183">
        <v>196000</v>
      </c>
      <c r="L1183">
        <v>98000</v>
      </c>
      <c r="M1183">
        <v>98000</v>
      </c>
      <c r="N1183" t="s">
        <v>49</v>
      </c>
      <c r="O1183" t="s">
        <v>23</v>
      </c>
      <c r="P1183" t="s">
        <v>24</v>
      </c>
      <c r="Q1183" t="str">
        <f>TEXT(clean_data[[#This Row],[Date]],"mmm")</f>
        <v>May</v>
      </c>
      <c r="R1183">
        <f>YEAR(clean_data[[#This Row],[Date]])</f>
        <v>2024</v>
      </c>
      <c r="S1183" s="2">
        <f>clean_data[[#This Row],[Profit]]/clean_data[[#This Row],[Revenue]]</f>
        <v>0.5</v>
      </c>
      <c r="T1183" t="str" cm="1">
        <f t="array" ref="T1183">_xlfn.IFS(clean_data[[#This Row],[Revenue]]&lt;300000,"Small",
     clean_data[[#This Row],[Revenue]]&lt;700000,"Medium",
     TRUE,"Large")</f>
        <v>Small</v>
      </c>
      <c r="U1183" t="str" cm="1">
        <f t="array" ref="U1183">_xlfn.IFS(clean_data[[#This Row],[profit margin%]]&lt;0.5,"Low Profit",
     clean_data[[#This Row],[profit margin%]]&lt;0.6,"Medium Profit",
     TRUE,"High Profit")</f>
        <v>Medium Profit</v>
      </c>
      <c r="V1183" t="str">
        <f>TEXT(clean_data[[#This Row],[Date]],"mmm-yyyy")</f>
        <v>May-2024</v>
      </c>
      <c r="W1183" s="8">
        <f>EOMONTH(clean_data[[#This Row],[Date]],-1)+1</f>
        <v>45413</v>
      </c>
    </row>
    <row r="1184" spans="1:23" x14ac:dyDescent="0.3">
      <c r="A1184" t="s">
        <v>1256</v>
      </c>
      <c r="B1184" s="1">
        <v>45204</v>
      </c>
      <c r="C1184" t="s">
        <v>46</v>
      </c>
      <c r="D1184" t="s">
        <v>55</v>
      </c>
      <c r="E1184" t="s">
        <v>19</v>
      </c>
      <c r="F1184" t="s">
        <v>33</v>
      </c>
      <c r="G1184" t="s">
        <v>39</v>
      </c>
      <c r="H1184">
        <v>22</v>
      </c>
      <c r="I1184">
        <v>5000</v>
      </c>
      <c r="J1184">
        <v>0</v>
      </c>
      <c r="K1184">
        <v>110000</v>
      </c>
      <c r="L1184">
        <v>55000</v>
      </c>
      <c r="M1184">
        <v>55000</v>
      </c>
      <c r="N1184" t="s">
        <v>22</v>
      </c>
      <c r="O1184" t="s">
        <v>23</v>
      </c>
      <c r="P1184" t="s">
        <v>24</v>
      </c>
      <c r="Q1184" t="str">
        <f>TEXT(clean_data[[#This Row],[Date]],"mmm")</f>
        <v>Oct</v>
      </c>
      <c r="R1184">
        <f>YEAR(clean_data[[#This Row],[Date]])</f>
        <v>2023</v>
      </c>
      <c r="S1184" s="2">
        <f>clean_data[[#This Row],[Profit]]/clean_data[[#This Row],[Revenue]]</f>
        <v>0.5</v>
      </c>
      <c r="T1184" t="str" cm="1">
        <f t="array" ref="T1184">_xlfn.IFS(clean_data[[#This Row],[Revenue]]&lt;300000,"Small",
     clean_data[[#This Row],[Revenue]]&lt;700000,"Medium",
     TRUE,"Large")</f>
        <v>Small</v>
      </c>
      <c r="U1184" t="str" cm="1">
        <f t="array" ref="U1184">_xlfn.IFS(clean_data[[#This Row],[profit margin%]]&lt;0.5,"Low Profit",
     clean_data[[#This Row],[profit margin%]]&lt;0.6,"Medium Profit",
     TRUE,"High Profit")</f>
        <v>Medium Profit</v>
      </c>
      <c r="V1184" t="str">
        <f>TEXT(clean_data[[#This Row],[Date]],"mmm-yyyy")</f>
        <v>Oct-2023</v>
      </c>
      <c r="W1184" s="8">
        <f>EOMONTH(clean_data[[#This Row],[Date]],-1)+1</f>
        <v>45200</v>
      </c>
    </row>
    <row r="1185" spans="1:23" x14ac:dyDescent="0.3">
      <c r="A1185" t="s">
        <v>1257</v>
      </c>
      <c r="B1185" s="1">
        <v>45041</v>
      </c>
      <c r="C1185" t="s">
        <v>17</v>
      </c>
      <c r="D1185" t="s">
        <v>37</v>
      </c>
      <c r="E1185" t="s">
        <v>73</v>
      </c>
      <c r="F1185" t="s">
        <v>65</v>
      </c>
      <c r="G1185" t="s">
        <v>124</v>
      </c>
      <c r="H1185">
        <v>29</v>
      </c>
      <c r="I1185">
        <v>18000</v>
      </c>
      <c r="J1185">
        <v>10</v>
      </c>
      <c r="K1185">
        <v>469800</v>
      </c>
      <c r="L1185">
        <v>211410</v>
      </c>
      <c r="M1185">
        <v>258390</v>
      </c>
      <c r="N1185" t="s">
        <v>49</v>
      </c>
      <c r="O1185" t="s">
        <v>67</v>
      </c>
      <c r="P1185" t="s">
        <v>40</v>
      </c>
      <c r="Q1185" t="str">
        <f>TEXT(clean_data[[#This Row],[Date]],"mmm")</f>
        <v>Apr</v>
      </c>
      <c r="R1185">
        <f>YEAR(clean_data[[#This Row],[Date]])</f>
        <v>2023</v>
      </c>
      <c r="S1185" s="2">
        <f>clean_data[[#This Row],[Profit]]/clean_data[[#This Row],[Revenue]]</f>
        <v>0.55000000000000004</v>
      </c>
      <c r="T1185" t="str" cm="1">
        <f t="array" ref="T1185">_xlfn.IFS(clean_data[[#This Row],[Revenue]]&lt;300000,"Small",
     clean_data[[#This Row],[Revenue]]&lt;700000,"Medium",
     TRUE,"Large")</f>
        <v>Medium</v>
      </c>
      <c r="U1185" t="str" cm="1">
        <f t="array" ref="U1185">_xlfn.IFS(clean_data[[#This Row],[profit margin%]]&lt;0.5,"Low Profit",
     clean_data[[#This Row],[profit margin%]]&lt;0.6,"Medium Profit",
     TRUE,"High Profit")</f>
        <v>Medium Profit</v>
      </c>
      <c r="V1185" t="str">
        <f>TEXT(clean_data[[#This Row],[Date]],"mmm-yyyy")</f>
        <v>Apr-2023</v>
      </c>
      <c r="W1185" s="8">
        <f>EOMONTH(clean_data[[#This Row],[Date]],-1)+1</f>
        <v>45017</v>
      </c>
    </row>
    <row r="1186" spans="1:23" x14ac:dyDescent="0.3">
      <c r="A1186" t="s">
        <v>1258</v>
      </c>
      <c r="B1186" s="1">
        <v>44645</v>
      </c>
      <c r="C1186" t="s">
        <v>46</v>
      </c>
      <c r="D1186" t="s">
        <v>47</v>
      </c>
      <c r="E1186" t="s">
        <v>111</v>
      </c>
      <c r="F1186" t="s">
        <v>33</v>
      </c>
      <c r="G1186" t="s">
        <v>39</v>
      </c>
      <c r="H1186">
        <v>15</v>
      </c>
      <c r="I1186">
        <v>5000</v>
      </c>
      <c r="J1186">
        <v>10</v>
      </c>
      <c r="K1186">
        <v>67500</v>
      </c>
      <c r="L1186">
        <v>33750</v>
      </c>
      <c r="M1186">
        <v>33750</v>
      </c>
      <c r="N1186" t="s">
        <v>49</v>
      </c>
      <c r="O1186" t="s">
        <v>50</v>
      </c>
      <c r="P1186" t="s">
        <v>40</v>
      </c>
      <c r="Q1186" t="str">
        <f>TEXT(clean_data[[#This Row],[Date]],"mmm")</f>
        <v>Mar</v>
      </c>
      <c r="R1186">
        <f>YEAR(clean_data[[#This Row],[Date]])</f>
        <v>2022</v>
      </c>
      <c r="S1186" s="2">
        <f>clean_data[[#This Row],[Profit]]/clean_data[[#This Row],[Revenue]]</f>
        <v>0.5</v>
      </c>
      <c r="T1186" t="str" cm="1">
        <f t="array" ref="T1186">_xlfn.IFS(clean_data[[#This Row],[Revenue]]&lt;300000,"Small",
     clean_data[[#This Row],[Revenue]]&lt;700000,"Medium",
     TRUE,"Large")</f>
        <v>Small</v>
      </c>
      <c r="U1186" t="str" cm="1">
        <f t="array" ref="U1186">_xlfn.IFS(clean_data[[#This Row],[profit margin%]]&lt;0.5,"Low Profit",
     clean_data[[#This Row],[profit margin%]]&lt;0.6,"Medium Profit",
     TRUE,"High Profit")</f>
        <v>Medium Profit</v>
      </c>
      <c r="V1186" t="str">
        <f>TEXT(clean_data[[#This Row],[Date]],"mmm-yyyy")</f>
        <v>Mar-2022</v>
      </c>
      <c r="W1186" s="8">
        <f>EOMONTH(clean_data[[#This Row],[Date]],-1)+1</f>
        <v>44621</v>
      </c>
    </row>
    <row r="1187" spans="1:23" x14ac:dyDescent="0.3">
      <c r="A1187" t="s">
        <v>1259</v>
      </c>
      <c r="B1187" s="1">
        <v>45161</v>
      </c>
      <c r="C1187" t="s">
        <v>46</v>
      </c>
      <c r="D1187" t="s">
        <v>55</v>
      </c>
      <c r="E1187" t="s">
        <v>60</v>
      </c>
      <c r="F1187" t="s">
        <v>65</v>
      </c>
      <c r="G1187" t="s">
        <v>124</v>
      </c>
      <c r="H1187">
        <v>10</v>
      </c>
      <c r="I1187">
        <v>18000</v>
      </c>
      <c r="J1187">
        <v>5</v>
      </c>
      <c r="K1187">
        <v>171000</v>
      </c>
      <c r="L1187">
        <v>76950</v>
      </c>
      <c r="M1187">
        <v>94050</v>
      </c>
      <c r="N1187" t="s">
        <v>22</v>
      </c>
      <c r="O1187" t="s">
        <v>50</v>
      </c>
      <c r="P1187" t="s">
        <v>24</v>
      </c>
      <c r="Q1187" t="str">
        <f>TEXT(clean_data[[#This Row],[Date]],"mmm")</f>
        <v>Aug</v>
      </c>
      <c r="R1187">
        <f>YEAR(clean_data[[#This Row],[Date]])</f>
        <v>2023</v>
      </c>
      <c r="S1187" s="2">
        <f>clean_data[[#This Row],[Profit]]/clean_data[[#This Row],[Revenue]]</f>
        <v>0.55000000000000004</v>
      </c>
      <c r="T1187" t="str" cm="1">
        <f t="array" ref="T1187">_xlfn.IFS(clean_data[[#This Row],[Revenue]]&lt;300000,"Small",
     clean_data[[#This Row],[Revenue]]&lt;700000,"Medium",
     TRUE,"Large")</f>
        <v>Small</v>
      </c>
      <c r="U1187" t="str" cm="1">
        <f t="array" ref="U1187">_xlfn.IFS(clean_data[[#This Row],[profit margin%]]&lt;0.5,"Low Profit",
     clean_data[[#This Row],[profit margin%]]&lt;0.6,"Medium Profit",
     TRUE,"High Profit")</f>
        <v>Medium Profit</v>
      </c>
      <c r="V1187" t="str">
        <f>TEXT(clean_data[[#This Row],[Date]],"mmm-yyyy")</f>
        <v>Aug-2023</v>
      </c>
      <c r="W1187" s="8">
        <f>EOMONTH(clean_data[[#This Row],[Date]],-1)+1</f>
        <v>45139</v>
      </c>
    </row>
    <row r="1188" spans="1:23" x14ac:dyDescent="0.3">
      <c r="A1188" t="s">
        <v>1260</v>
      </c>
      <c r="B1188" s="1">
        <v>45300</v>
      </c>
      <c r="C1188" t="s">
        <v>46</v>
      </c>
      <c r="D1188" t="s">
        <v>47</v>
      </c>
      <c r="E1188" t="s">
        <v>19</v>
      </c>
      <c r="F1188" t="s">
        <v>33</v>
      </c>
      <c r="G1188" t="s">
        <v>76</v>
      </c>
      <c r="H1188">
        <v>38</v>
      </c>
      <c r="I1188">
        <v>8500</v>
      </c>
      <c r="J1188">
        <v>0</v>
      </c>
      <c r="K1188">
        <v>323000</v>
      </c>
      <c r="L1188">
        <v>161500</v>
      </c>
      <c r="M1188">
        <v>161500</v>
      </c>
      <c r="N1188" t="s">
        <v>49</v>
      </c>
      <c r="O1188" t="s">
        <v>67</v>
      </c>
      <c r="P1188" t="s">
        <v>24</v>
      </c>
      <c r="Q1188" t="str">
        <f>TEXT(clean_data[[#This Row],[Date]],"mmm")</f>
        <v>Jan</v>
      </c>
      <c r="R1188">
        <f>YEAR(clean_data[[#This Row],[Date]])</f>
        <v>2024</v>
      </c>
      <c r="S1188" s="2">
        <f>clean_data[[#This Row],[Profit]]/clean_data[[#This Row],[Revenue]]</f>
        <v>0.5</v>
      </c>
      <c r="T1188" t="str" cm="1">
        <f t="array" ref="T1188">_xlfn.IFS(clean_data[[#This Row],[Revenue]]&lt;300000,"Small",
     clean_data[[#This Row],[Revenue]]&lt;700000,"Medium",
     TRUE,"Large")</f>
        <v>Medium</v>
      </c>
      <c r="U1188" t="str" cm="1">
        <f t="array" ref="U1188">_xlfn.IFS(clean_data[[#This Row],[profit margin%]]&lt;0.5,"Low Profit",
     clean_data[[#This Row],[profit margin%]]&lt;0.6,"Medium Profit",
     TRUE,"High Profit")</f>
        <v>Medium Profit</v>
      </c>
      <c r="V1188" t="str">
        <f>TEXT(clean_data[[#This Row],[Date]],"mmm-yyyy")</f>
        <v>Jan-2024</v>
      </c>
      <c r="W1188" s="8">
        <f>EOMONTH(clean_data[[#This Row],[Date]],-1)+1</f>
        <v>45292</v>
      </c>
    </row>
    <row r="1189" spans="1:23" x14ac:dyDescent="0.3">
      <c r="A1189" t="s">
        <v>1261</v>
      </c>
      <c r="B1189" s="1">
        <v>45578</v>
      </c>
      <c r="C1189" t="s">
        <v>58</v>
      </c>
      <c r="D1189" t="s">
        <v>64</v>
      </c>
      <c r="E1189" t="s">
        <v>78</v>
      </c>
      <c r="F1189" t="s">
        <v>33</v>
      </c>
      <c r="G1189" t="s">
        <v>76</v>
      </c>
      <c r="H1189">
        <v>38</v>
      </c>
      <c r="I1189">
        <v>8500</v>
      </c>
      <c r="J1189">
        <v>20</v>
      </c>
      <c r="K1189">
        <v>258400</v>
      </c>
      <c r="L1189">
        <v>129200</v>
      </c>
      <c r="M1189">
        <v>129200</v>
      </c>
      <c r="N1189" t="s">
        <v>22</v>
      </c>
      <c r="O1189" t="s">
        <v>50</v>
      </c>
      <c r="P1189" t="s">
        <v>24</v>
      </c>
      <c r="Q1189" t="str">
        <f>TEXT(clean_data[[#This Row],[Date]],"mmm")</f>
        <v>Oct</v>
      </c>
      <c r="R1189">
        <f>YEAR(clean_data[[#This Row],[Date]])</f>
        <v>2024</v>
      </c>
      <c r="S1189" s="2">
        <f>clean_data[[#This Row],[Profit]]/clean_data[[#This Row],[Revenue]]</f>
        <v>0.5</v>
      </c>
      <c r="T1189" t="str" cm="1">
        <f t="array" ref="T1189">_xlfn.IFS(clean_data[[#This Row],[Revenue]]&lt;300000,"Small",
     clean_data[[#This Row],[Revenue]]&lt;700000,"Medium",
     TRUE,"Large")</f>
        <v>Small</v>
      </c>
      <c r="U1189" t="str" cm="1">
        <f t="array" ref="U1189">_xlfn.IFS(clean_data[[#This Row],[profit margin%]]&lt;0.5,"Low Profit",
     clean_data[[#This Row],[profit margin%]]&lt;0.6,"Medium Profit",
     TRUE,"High Profit")</f>
        <v>Medium Profit</v>
      </c>
      <c r="V1189" t="str">
        <f>TEXT(clean_data[[#This Row],[Date]],"mmm-yyyy")</f>
        <v>Oct-2024</v>
      </c>
      <c r="W1189" s="8">
        <f>EOMONTH(clean_data[[#This Row],[Date]],-1)+1</f>
        <v>45566</v>
      </c>
    </row>
    <row r="1190" spans="1:23" x14ac:dyDescent="0.3">
      <c r="A1190" t="s">
        <v>1262</v>
      </c>
      <c r="B1190" s="1">
        <v>45319</v>
      </c>
      <c r="C1190" t="s">
        <v>58</v>
      </c>
      <c r="D1190" t="s">
        <v>64</v>
      </c>
      <c r="E1190" t="s">
        <v>78</v>
      </c>
      <c r="F1190" t="s">
        <v>65</v>
      </c>
      <c r="G1190" t="s">
        <v>104</v>
      </c>
      <c r="H1190">
        <v>31</v>
      </c>
      <c r="I1190">
        <v>3000</v>
      </c>
      <c r="J1190">
        <v>15</v>
      </c>
      <c r="K1190">
        <v>79050</v>
      </c>
      <c r="L1190">
        <v>35572.5</v>
      </c>
      <c r="M1190">
        <v>43477.5</v>
      </c>
      <c r="N1190" t="s">
        <v>22</v>
      </c>
      <c r="O1190" t="s">
        <v>35</v>
      </c>
      <c r="P1190" t="s">
        <v>24</v>
      </c>
      <c r="Q1190" t="str">
        <f>TEXT(clean_data[[#This Row],[Date]],"mmm")</f>
        <v>Jan</v>
      </c>
      <c r="R1190">
        <f>YEAR(clean_data[[#This Row],[Date]])</f>
        <v>2024</v>
      </c>
      <c r="S1190" s="2">
        <f>clean_data[[#This Row],[Profit]]/clean_data[[#This Row],[Revenue]]</f>
        <v>0.55000000000000004</v>
      </c>
      <c r="T1190" t="str" cm="1">
        <f t="array" ref="T1190">_xlfn.IFS(clean_data[[#This Row],[Revenue]]&lt;300000,"Small",
     clean_data[[#This Row],[Revenue]]&lt;700000,"Medium",
     TRUE,"Large")</f>
        <v>Small</v>
      </c>
      <c r="U1190" t="str" cm="1">
        <f t="array" ref="U1190">_xlfn.IFS(clean_data[[#This Row],[profit margin%]]&lt;0.5,"Low Profit",
     clean_data[[#This Row],[profit margin%]]&lt;0.6,"Medium Profit",
     TRUE,"High Profit")</f>
        <v>Medium Profit</v>
      </c>
      <c r="V1190" t="str">
        <f>TEXT(clean_data[[#This Row],[Date]],"mmm-yyyy")</f>
        <v>Jan-2024</v>
      </c>
      <c r="W1190" s="8">
        <f>EOMONTH(clean_data[[#This Row],[Date]],-1)+1</f>
        <v>45292</v>
      </c>
    </row>
    <row r="1191" spans="1:23" x14ac:dyDescent="0.3">
      <c r="A1191" t="s">
        <v>1263</v>
      </c>
      <c r="B1191" s="1">
        <v>45207</v>
      </c>
      <c r="C1191" t="s">
        <v>17</v>
      </c>
      <c r="D1191" t="s">
        <v>18</v>
      </c>
      <c r="E1191" t="s">
        <v>19</v>
      </c>
      <c r="F1191" t="s">
        <v>20</v>
      </c>
      <c r="G1191" t="s">
        <v>61</v>
      </c>
      <c r="H1191">
        <v>39</v>
      </c>
      <c r="I1191">
        <v>800</v>
      </c>
      <c r="J1191">
        <v>0</v>
      </c>
      <c r="K1191">
        <v>31200</v>
      </c>
      <c r="L1191">
        <v>12480</v>
      </c>
      <c r="M1191">
        <v>18720</v>
      </c>
      <c r="N1191" t="s">
        <v>49</v>
      </c>
      <c r="O1191" t="s">
        <v>23</v>
      </c>
      <c r="P1191" t="s">
        <v>24</v>
      </c>
      <c r="Q1191" t="str">
        <f>TEXT(clean_data[[#This Row],[Date]],"mmm")</f>
        <v>Oct</v>
      </c>
      <c r="R1191">
        <f>YEAR(clean_data[[#This Row],[Date]])</f>
        <v>2023</v>
      </c>
      <c r="S1191" s="2">
        <f>clean_data[[#This Row],[Profit]]/clean_data[[#This Row],[Revenue]]</f>
        <v>0.6</v>
      </c>
      <c r="T1191" t="str" cm="1">
        <f t="array" ref="T1191">_xlfn.IFS(clean_data[[#This Row],[Revenue]]&lt;300000,"Small",
     clean_data[[#This Row],[Revenue]]&lt;700000,"Medium",
     TRUE,"Large")</f>
        <v>Small</v>
      </c>
      <c r="U1191" t="str" cm="1">
        <f t="array" ref="U1191">_xlfn.IFS(clean_data[[#This Row],[profit margin%]]&lt;0.5,"Low Profit",
     clean_data[[#This Row],[profit margin%]]&lt;0.6,"Medium Profit",
     TRUE,"High Profit")</f>
        <v>High Profit</v>
      </c>
      <c r="V1191" t="str">
        <f>TEXT(clean_data[[#This Row],[Date]],"mmm-yyyy")</f>
        <v>Oct-2023</v>
      </c>
      <c r="W1191" s="8">
        <f>EOMONTH(clean_data[[#This Row],[Date]],-1)+1</f>
        <v>45200</v>
      </c>
    </row>
    <row r="1192" spans="1:23" x14ac:dyDescent="0.3">
      <c r="A1192" t="s">
        <v>1264</v>
      </c>
      <c r="B1192" s="1">
        <v>45462</v>
      </c>
      <c r="C1192" t="s">
        <v>26</v>
      </c>
      <c r="D1192" t="s">
        <v>27</v>
      </c>
      <c r="E1192" t="s">
        <v>19</v>
      </c>
      <c r="F1192" t="s">
        <v>33</v>
      </c>
      <c r="G1192" t="s">
        <v>39</v>
      </c>
      <c r="H1192">
        <v>26</v>
      </c>
      <c r="I1192">
        <v>5000</v>
      </c>
      <c r="J1192">
        <v>0</v>
      </c>
      <c r="K1192">
        <v>130000</v>
      </c>
      <c r="L1192">
        <v>65000</v>
      </c>
      <c r="M1192">
        <v>65000</v>
      </c>
      <c r="N1192" t="s">
        <v>22</v>
      </c>
      <c r="O1192" t="s">
        <v>35</v>
      </c>
      <c r="P1192" t="s">
        <v>24</v>
      </c>
      <c r="Q1192" t="str">
        <f>TEXT(clean_data[[#This Row],[Date]],"mmm")</f>
        <v>Jun</v>
      </c>
      <c r="R1192">
        <f>YEAR(clean_data[[#This Row],[Date]])</f>
        <v>2024</v>
      </c>
      <c r="S1192" s="2">
        <f>clean_data[[#This Row],[Profit]]/clean_data[[#This Row],[Revenue]]</f>
        <v>0.5</v>
      </c>
      <c r="T1192" t="str" cm="1">
        <f t="array" ref="T1192">_xlfn.IFS(clean_data[[#This Row],[Revenue]]&lt;300000,"Small",
     clean_data[[#This Row],[Revenue]]&lt;700000,"Medium",
     TRUE,"Large")</f>
        <v>Small</v>
      </c>
      <c r="U1192" t="str" cm="1">
        <f t="array" ref="U1192">_xlfn.IFS(clean_data[[#This Row],[profit margin%]]&lt;0.5,"Low Profit",
     clean_data[[#This Row],[profit margin%]]&lt;0.6,"Medium Profit",
     TRUE,"High Profit")</f>
        <v>Medium Profit</v>
      </c>
      <c r="V1192" t="str">
        <f>TEXT(clean_data[[#This Row],[Date]],"mmm-yyyy")</f>
        <v>Jun-2024</v>
      </c>
      <c r="W1192" s="8">
        <f>EOMONTH(clean_data[[#This Row],[Date]],-1)+1</f>
        <v>45444</v>
      </c>
    </row>
    <row r="1193" spans="1:23" x14ac:dyDescent="0.3">
      <c r="A1193" t="s">
        <v>1265</v>
      </c>
      <c r="B1193" s="1">
        <v>45095</v>
      </c>
      <c r="C1193" t="s">
        <v>26</v>
      </c>
      <c r="D1193" t="s">
        <v>27</v>
      </c>
      <c r="E1193" t="s">
        <v>60</v>
      </c>
      <c r="F1193" t="s">
        <v>20</v>
      </c>
      <c r="G1193" t="s">
        <v>74</v>
      </c>
      <c r="H1193">
        <v>17</v>
      </c>
      <c r="I1193">
        <v>4200</v>
      </c>
      <c r="J1193">
        <v>5</v>
      </c>
      <c r="K1193">
        <v>67830</v>
      </c>
      <c r="L1193">
        <v>27132</v>
      </c>
      <c r="M1193">
        <v>40698</v>
      </c>
      <c r="N1193" t="s">
        <v>30</v>
      </c>
      <c r="O1193" t="s">
        <v>23</v>
      </c>
      <c r="P1193" t="s">
        <v>24</v>
      </c>
      <c r="Q1193" t="str">
        <f>TEXT(clean_data[[#This Row],[Date]],"mmm")</f>
        <v>Jun</v>
      </c>
      <c r="R1193">
        <f>YEAR(clean_data[[#This Row],[Date]])</f>
        <v>2023</v>
      </c>
      <c r="S1193" s="2">
        <f>clean_data[[#This Row],[Profit]]/clean_data[[#This Row],[Revenue]]</f>
        <v>0.6</v>
      </c>
      <c r="T1193" t="str" cm="1">
        <f t="array" ref="T1193">_xlfn.IFS(clean_data[[#This Row],[Revenue]]&lt;300000,"Small",
     clean_data[[#This Row],[Revenue]]&lt;700000,"Medium",
     TRUE,"Large")</f>
        <v>Small</v>
      </c>
      <c r="U1193" t="str" cm="1">
        <f t="array" ref="U1193">_xlfn.IFS(clean_data[[#This Row],[profit margin%]]&lt;0.5,"Low Profit",
     clean_data[[#This Row],[profit margin%]]&lt;0.6,"Medium Profit",
     TRUE,"High Profit")</f>
        <v>High Profit</v>
      </c>
      <c r="V1193" t="str">
        <f>TEXT(clean_data[[#This Row],[Date]],"mmm-yyyy")</f>
        <v>Jun-2023</v>
      </c>
      <c r="W1193" s="8">
        <f>EOMONTH(clean_data[[#This Row],[Date]],-1)+1</f>
        <v>45078</v>
      </c>
    </row>
    <row r="1194" spans="1:23" x14ac:dyDescent="0.3">
      <c r="A1194" t="s">
        <v>1266</v>
      </c>
      <c r="B1194" s="1">
        <v>44897</v>
      </c>
      <c r="C1194" t="s">
        <v>17</v>
      </c>
      <c r="D1194" t="s">
        <v>42</v>
      </c>
      <c r="E1194" t="s">
        <v>73</v>
      </c>
      <c r="F1194" t="s">
        <v>28</v>
      </c>
      <c r="G1194" t="s">
        <v>87</v>
      </c>
      <c r="H1194">
        <v>47</v>
      </c>
      <c r="I1194">
        <v>45000</v>
      </c>
      <c r="J1194">
        <v>0</v>
      </c>
      <c r="K1194">
        <v>2115000</v>
      </c>
      <c r="L1194">
        <v>1163250</v>
      </c>
      <c r="M1194">
        <v>951750</v>
      </c>
      <c r="N1194" t="s">
        <v>22</v>
      </c>
      <c r="O1194" t="s">
        <v>50</v>
      </c>
      <c r="P1194" t="s">
        <v>24</v>
      </c>
      <c r="Q1194" t="str">
        <f>TEXT(clean_data[[#This Row],[Date]],"mmm")</f>
        <v>Dec</v>
      </c>
      <c r="R1194">
        <f>YEAR(clean_data[[#This Row],[Date]])</f>
        <v>2022</v>
      </c>
      <c r="S1194" s="2">
        <f>clean_data[[#This Row],[Profit]]/clean_data[[#This Row],[Revenue]]</f>
        <v>0.45</v>
      </c>
      <c r="T1194" t="str" cm="1">
        <f t="array" ref="T1194">_xlfn.IFS(clean_data[[#This Row],[Revenue]]&lt;300000,"Small",
     clean_data[[#This Row],[Revenue]]&lt;700000,"Medium",
     TRUE,"Large")</f>
        <v>Large</v>
      </c>
      <c r="U1194" t="str" cm="1">
        <f t="array" ref="U1194">_xlfn.IFS(clean_data[[#This Row],[profit margin%]]&lt;0.5,"Low Profit",
     clean_data[[#This Row],[profit margin%]]&lt;0.6,"Medium Profit",
     TRUE,"High Profit")</f>
        <v>Low Profit</v>
      </c>
      <c r="V1194" t="str">
        <f>TEXT(clean_data[[#This Row],[Date]],"mmm-yyyy")</f>
        <v>Dec-2022</v>
      </c>
      <c r="W1194" s="8">
        <f>EOMONTH(clean_data[[#This Row],[Date]],-1)+1</f>
        <v>44896</v>
      </c>
    </row>
    <row r="1195" spans="1:23" x14ac:dyDescent="0.3">
      <c r="A1195" t="s">
        <v>1267</v>
      </c>
      <c r="B1195" s="1">
        <v>44658</v>
      </c>
      <c r="C1195" t="s">
        <v>46</v>
      </c>
      <c r="D1195" t="s">
        <v>47</v>
      </c>
      <c r="E1195" t="s">
        <v>38</v>
      </c>
      <c r="F1195" t="s">
        <v>65</v>
      </c>
      <c r="G1195" t="s">
        <v>66</v>
      </c>
      <c r="H1195">
        <v>7</v>
      </c>
      <c r="I1195">
        <v>5500</v>
      </c>
      <c r="J1195">
        <v>20</v>
      </c>
      <c r="K1195">
        <v>30800</v>
      </c>
      <c r="L1195">
        <v>13860</v>
      </c>
      <c r="M1195">
        <v>16940</v>
      </c>
      <c r="N1195" t="s">
        <v>49</v>
      </c>
      <c r="O1195" t="s">
        <v>35</v>
      </c>
      <c r="P1195" t="s">
        <v>24</v>
      </c>
      <c r="Q1195" t="str">
        <f>TEXT(clean_data[[#This Row],[Date]],"mmm")</f>
        <v>Apr</v>
      </c>
      <c r="R1195">
        <f>YEAR(clean_data[[#This Row],[Date]])</f>
        <v>2022</v>
      </c>
      <c r="S1195" s="2">
        <f>clean_data[[#This Row],[Profit]]/clean_data[[#This Row],[Revenue]]</f>
        <v>0.55000000000000004</v>
      </c>
      <c r="T1195" t="str" cm="1">
        <f t="array" ref="T1195">_xlfn.IFS(clean_data[[#This Row],[Revenue]]&lt;300000,"Small",
     clean_data[[#This Row],[Revenue]]&lt;700000,"Medium",
     TRUE,"Large")</f>
        <v>Small</v>
      </c>
      <c r="U1195" t="str" cm="1">
        <f t="array" ref="U1195">_xlfn.IFS(clean_data[[#This Row],[profit margin%]]&lt;0.5,"Low Profit",
     clean_data[[#This Row],[profit margin%]]&lt;0.6,"Medium Profit",
     TRUE,"High Profit")</f>
        <v>Medium Profit</v>
      </c>
      <c r="V1195" t="str">
        <f>TEXT(clean_data[[#This Row],[Date]],"mmm-yyyy")</f>
        <v>Apr-2022</v>
      </c>
      <c r="W1195" s="8">
        <f>EOMONTH(clean_data[[#This Row],[Date]],-1)+1</f>
        <v>44652</v>
      </c>
    </row>
    <row r="1196" spans="1:23" x14ac:dyDescent="0.3">
      <c r="A1196" t="s">
        <v>1268</v>
      </c>
      <c r="B1196" s="1">
        <v>44942</v>
      </c>
      <c r="C1196" t="s">
        <v>26</v>
      </c>
      <c r="D1196" t="s">
        <v>69</v>
      </c>
      <c r="E1196" t="s">
        <v>52</v>
      </c>
      <c r="F1196" t="s">
        <v>65</v>
      </c>
      <c r="G1196" t="s">
        <v>104</v>
      </c>
      <c r="H1196">
        <v>7</v>
      </c>
      <c r="I1196">
        <v>3000</v>
      </c>
      <c r="J1196">
        <v>20</v>
      </c>
      <c r="K1196">
        <v>16800</v>
      </c>
      <c r="L1196">
        <v>7560</v>
      </c>
      <c r="M1196">
        <v>9240</v>
      </c>
      <c r="N1196" t="s">
        <v>30</v>
      </c>
      <c r="O1196" t="s">
        <v>67</v>
      </c>
      <c r="P1196" t="s">
        <v>40</v>
      </c>
      <c r="Q1196" t="str">
        <f>TEXT(clean_data[[#This Row],[Date]],"mmm")</f>
        <v>Jan</v>
      </c>
      <c r="R1196">
        <f>YEAR(clean_data[[#This Row],[Date]])</f>
        <v>2023</v>
      </c>
      <c r="S1196" s="2">
        <f>clean_data[[#This Row],[Profit]]/clean_data[[#This Row],[Revenue]]</f>
        <v>0.55000000000000004</v>
      </c>
      <c r="T1196" t="str" cm="1">
        <f t="array" ref="T1196">_xlfn.IFS(clean_data[[#This Row],[Revenue]]&lt;300000,"Small",
     clean_data[[#This Row],[Revenue]]&lt;700000,"Medium",
     TRUE,"Large")</f>
        <v>Small</v>
      </c>
      <c r="U1196" t="str" cm="1">
        <f t="array" ref="U1196">_xlfn.IFS(clean_data[[#This Row],[profit margin%]]&lt;0.5,"Low Profit",
     clean_data[[#This Row],[profit margin%]]&lt;0.6,"Medium Profit",
     TRUE,"High Profit")</f>
        <v>Medium Profit</v>
      </c>
      <c r="V1196" t="str">
        <f>TEXT(clean_data[[#This Row],[Date]],"mmm-yyyy")</f>
        <v>Jan-2023</v>
      </c>
      <c r="W1196" s="8">
        <f>EOMONTH(clean_data[[#This Row],[Date]],-1)+1</f>
        <v>44927</v>
      </c>
    </row>
    <row r="1197" spans="1:23" x14ac:dyDescent="0.3">
      <c r="A1197" t="s">
        <v>1269</v>
      </c>
      <c r="B1197" s="1">
        <v>45514</v>
      </c>
      <c r="C1197" t="s">
        <v>26</v>
      </c>
      <c r="D1197" t="s">
        <v>69</v>
      </c>
      <c r="E1197" t="s">
        <v>52</v>
      </c>
      <c r="F1197" t="s">
        <v>65</v>
      </c>
      <c r="G1197" t="s">
        <v>104</v>
      </c>
      <c r="H1197">
        <v>38</v>
      </c>
      <c r="I1197">
        <v>3000</v>
      </c>
      <c r="J1197">
        <v>20</v>
      </c>
      <c r="K1197">
        <v>91200</v>
      </c>
      <c r="L1197">
        <v>41040</v>
      </c>
      <c r="M1197">
        <v>50160</v>
      </c>
      <c r="N1197" t="s">
        <v>30</v>
      </c>
      <c r="O1197" t="s">
        <v>50</v>
      </c>
      <c r="P1197" t="s">
        <v>24</v>
      </c>
      <c r="Q1197" t="str">
        <f>TEXT(clean_data[[#This Row],[Date]],"mmm")</f>
        <v>Aug</v>
      </c>
      <c r="R1197">
        <f>YEAR(clean_data[[#This Row],[Date]])</f>
        <v>2024</v>
      </c>
      <c r="S1197" s="2">
        <f>clean_data[[#This Row],[Profit]]/clean_data[[#This Row],[Revenue]]</f>
        <v>0.55000000000000004</v>
      </c>
      <c r="T1197" t="str" cm="1">
        <f t="array" ref="T1197">_xlfn.IFS(clean_data[[#This Row],[Revenue]]&lt;300000,"Small",
     clean_data[[#This Row],[Revenue]]&lt;700000,"Medium",
     TRUE,"Large")</f>
        <v>Small</v>
      </c>
      <c r="U1197" t="str" cm="1">
        <f t="array" ref="U1197">_xlfn.IFS(clean_data[[#This Row],[profit margin%]]&lt;0.5,"Low Profit",
     clean_data[[#This Row],[profit margin%]]&lt;0.6,"Medium Profit",
     TRUE,"High Profit")</f>
        <v>Medium Profit</v>
      </c>
      <c r="V1197" t="str">
        <f>TEXT(clean_data[[#This Row],[Date]],"mmm-yyyy")</f>
        <v>Aug-2024</v>
      </c>
      <c r="W1197" s="8">
        <f>EOMONTH(clean_data[[#This Row],[Date]],-1)+1</f>
        <v>45505</v>
      </c>
    </row>
    <row r="1198" spans="1:23" x14ac:dyDescent="0.3">
      <c r="A1198" t="s">
        <v>1270</v>
      </c>
      <c r="B1198" s="1">
        <v>45371</v>
      </c>
      <c r="C1198" t="s">
        <v>17</v>
      </c>
      <c r="D1198" t="s">
        <v>37</v>
      </c>
      <c r="E1198" t="s">
        <v>78</v>
      </c>
      <c r="F1198" t="s">
        <v>33</v>
      </c>
      <c r="G1198" t="s">
        <v>43</v>
      </c>
      <c r="H1198">
        <v>31</v>
      </c>
      <c r="I1198">
        <v>4000</v>
      </c>
      <c r="J1198">
        <v>20</v>
      </c>
      <c r="K1198">
        <v>99200</v>
      </c>
      <c r="L1198">
        <v>49600</v>
      </c>
      <c r="M1198">
        <v>49600</v>
      </c>
      <c r="N1198" t="s">
        <v>22</v>
      </c>
      <c r="O1198" t="s">
        <v>50</v>
      </c>
      <c r="P1198" t="s">
        <v>24</v>
      </c>
      <c r="Q1198" t="str">
        <f>TEXT(clean_data[[#This Row],[Date]],"mmm")</f>
        <v>Mar</v>
      </c>
      <c r="R1198">
        <f>YEAR(clean_data[[#This Row],[Date]])</f>
        <v>2024</v>
      </c>
      <c r="S1198" s="2">
        <f>clean_data[[#This Row],[Profit]]/clean_data[[#This Row],[Revenue]]</f>
        <v>0.5</v>
      </c>
      <c r="T1198" t="str" cm="1">
        <f t="array" ref="T1198">_xlfn.IFS(clean_data[[#This Row],[Revenue]]&lt;300000,"Small",
     clean_data[[#This Row],[Revenue]]&lt;700000,"Medium",
     TRUE,"Large")</f>
        <v>Small</v>
      </c>
      <c r="U1198" t="str" cm="1">
        <f t="array" ref="U1198">_xlfn.IFS(clean_data[[#This Row],[profit margin%]]&lt;0.5,"Low Profit",
     clean_data[[#This Row],[profit margin%]]&lt;0.6,"Medium Profit",
     TRUE,"High Profit")</f>
        <v>Medium Profit</v>
      </c>
      <c r="V1198" t="str">
        <f>TEXT(clean_data[[#This Row],[Date]],"mmm-yyyy")</f>
        <v>Mar-2024</v>
      </c>
      <c r="W1198" s="8">
        <f>EOMONTH(clean_data[[#This Row],[Date]],-1)+1</f>
        <v>45352</v>
      </c>
    </row>
    <row r="1199" spans="1:23" x14ac:dyDescent="0.3">
      <c r="A1199" t="s">
        <v>1271</v>
      </c>
      <c r="B1199" s="1">
        <v>45074</v>
      </c>
      <c r="C1199" t="s">
        <v>46</v>
      </c>
      <c r="D1199" t="s">
        <v>55</v>
      </c>
      <c r="E1199" t="s">
        <v>73</v>
      </c>
      <c r="F1199" t="s">
        <v>33</v>
      </c>
      <c r="G1199" t="s">
        <v>48</v>
      </c>
      <c r="H1199">
        <v>8</v>
      </c>
      <c r="I1199">
        <v>1500</v>
      </c>
      <c r="J1199">
        <v>5</v>
      </c>
      <c r="K1199">
        <v>11400</v>
      </c>
      <c r="L1199">
        <v>5700</v>
      </c>
      <c r="M1199">
        <v>5700</v>
      </c>
      <c r="N1199" t="s">
        <v>30</v>
      </c>
      <c r="O1199" t="s">
        <v>50</v>
      </c>
      <c r="P1199" t="s">
        <v>24</v>
      </c>
      <c r="Q1199" t="str">
        <f>TEXT(clean_data[[#This Row],[Date]],"mmm")</f>
        <v>May</v>
      </c>
      <c r="R1199">
        <f>YEAR(clean_data[[#This Row],[Date]])</f>
        <v>2023</v>
      </c>
      <c r="S1199" s="2">
        <f>clean_data[[#This Row],[Profit]]/clean_data[[#This Row],[Revenue]]</f>
        <v>0.5</v>
      </c>
      <c r="T1199" t="str" cm="1">
        <f t="array" ref="T1199">_xlfn.IFS(clean_data[[#This Row],[Revenue]]&lt;300000,"Small",
     clean_data[[#This Row],[Revenue]]&lt;700000,"Medium",
     TRUE,"Large")</f>
        <v>Small</v>
      </c>
      <c r="U1199" t="str" cm="1">
        <f t="array" ref="U1199">_xlfn.IFS(clean_data[[#This Row],[profit margin%]]&lt;0.5,"Low Profit",
     clean_data[[#This Row],[profit margin%]]&lt;0.6,"Medium Profit",
     TRUE,"High Profit")</f>
        <v>Medium Profit</v>
      </c>
      <c r="V1199" t="str">
        <f>TEXT(clean_data[[#This Row],[Date]],"mmm-yyyy")</f>
        <v>May-2023</v>
      </c>
      <c r="W1199" s="8">
        <f>EOMONTH(clean_data[[#This Row],[Date]],-1)+1</f>
        <v>45047</v>
      </c>
    </row>
    <row r="1200" spans="1:23" x14ac:dyDescent="0.3">
      <c r="A1200" t="s">
        <v>1272</v>
      </c>
      <c r="B1200" s="1">
        <v>45551</v>
      </c>
      <c r="C1200" t="s">
        <v>58</v>
      </c>
      <c r="D1200" t="s">
        <v>84</v>
      </c>
      <c r="E1200" t="s">
        <v>78</v>
      </c>
      <c r="F1200" t="s">
        <v>28</v>
      </c>
      <c r="G1200" t="s">
        <v>85</v>
      </c>
      <c r="H1200">
        <v>44</v>
      </c>
      <c r="I1200">
        <v>8000</v>
      </c>
      <c r="J1200">
        <v>10</v>
      </c>
      <c r="K1200">
        <v>316800</v>
      </c>
      <c r="L1200">
        <v>174240</v>
      </c>
      <c r="M1200">
        <v>142560</v>
      </c>
      <c r="N1200" t="s">
        <v>49</v>
      </c>
      <c r="O1200" t="s">
        <v>50</v>
      </c>
      <c r="P1200" t="s">
        <v>24</v>
      </c>
      <c r="Q1200" t="str">
        <f>TEXT(clean_data[[#This Row],[Date]],"mmm")</f>
        <v>Sep</v>
      </c>
      <c r="R1200">
        <f>YEAR(clean_data[[#This Row],[Date]])</f>
        <v>2024</v>
      </c>
      <c r="S1200" s="2">
        <f>clean_data[[#This Row],[Profit]]/clean_data[[#This Row],[Revenue]]</f>
        <v>0.45</v>
      </c>
      <c r="T1200" t="str" cm="1">
        <f t="array" ref="T1200">_xlfn.IFS(clean_data[[#This Row],[Revenue]]&lt;300000,"Small",
     clean_data[[#This Row],[Revenue]]&lt;700000,"Medium",
     TRUE,"Large")</f>
        <v>Medium</v>
      </c>
      <c r="U1200" t="str" cm="1">
        <f t="array" ref="U1200">_xlfn.IFS(clean_data[[#This Row],[profit margin%]]&lt;0.5,"Low Profit",
     clean_data[[#This Row],[profit margin%]]&lt;0.6,"Medium Profit",
     TRUE,"High Profit")</f>
        <v>Low Profit</v>
      </c>
      <c r="V1200" t="str">
        <f>TEXT(clean_data[[#This Row],[Date]],"mmm-yyyy")</f>
        <v>Sep-2024</v>
      </c>
      <c r="W1200" s="8">
        <f>EOMONTH(clean_data[[#This Row],[Date]],-1)+1</f>
        <v>45536</v>
      </c>
    </row>
    <row r="1201" spans="1:23" x14ac:dyDescent="0.3">
      <c r="A1201" t="s">
        <v>1273</v>
      </c>
      <c r="B1201" s="1">
        <v>45623</v>
      </c>
      <c r="C1201" t="s">
        <v>46</v>
      </c>
      <c r="D1201" t="s">
        <v>47</v>
      </c>
      <c r="E1201" t="s">
        <v>52</v>
      </c>
      <c r="F1201" t="s">
        <v>20</v>
      </c>
      <c r="G1201" t="s">
        <v>74</v>
      </c>
      <c r="H1201">
        <v>20</v>
      </c>
      <c r="I1201">
        <v>4200</v>
      </c>
      <c r="J1201">
        <v>20</v>
      </c>
      <c r="K1201">
        <v>67200</v>
      </c>
      <c r="L1201">
        <v>26880</v>
      </c>
      <c r="M1201">
        <v>40320</v>
      </c>
      <c r="N1201" t="s">
        <v>49</v>
      </c>
      <c r="O1201" t="s">
        <v>67</v>
      </c>
      <c r="P1201" t="s">
        <v>24</v>
      </c>
      <c r="Q1201" t="str">
        <f>TEXT(clean_data[[#This Row],[Date]],"mmm")</f>
        <v>Nov</v>
      </c>
      <c r="R1201">
        <f>YEAR(clean_data[[#This Row],[Date]])</f>
        <v>2024</v>
      </c>
      <c r="S1201" s="2">
        <f>clean_data[[#This Row],[Profit]]/clean_data[[#This Row],[Revenue]]</f>
        <v>0.6</v>
      </c>
      <c r="T1201" t="str" cm="1">
        <f t="array" ref="T1201">_xlfn.IFS(clean_data[[#This Row],[Revenue]]&lt;300000,"Small",
     clean_data[[#This Row],[Revenue]]&lt;700000,"Medium",
     TRUE,"Large")</f>
        <v>Small</v>
      </c>
      <c r="U1201" t="str" cm="1">
        <f t="array" ref="U1201">_xlfn.IFS(clean_data[[#This Row],[profit margin%]]&lt;0.5,"Low Profit",
     clean_data[[#This Row],[profit margin%]]&lt;0.6,"Medium Profit",
     TRUE,"High Profit")</f>
        <v>High Profit</v>
      </c>
      <c r="V1201" t="str">
        <f>TEXT(clean_data[[#This Row],[Date]],"mmm-yyyy")</f>
        <v>Nov-2024</v>
      </c>
      <c r="W1201" s="8">
        <f>EOMONTH(clean_data[[#This Row],[Date]],-1)+1</f>
        <v>45597</v>
      </c>
    </row>
    <row r="1202" spans="1:23" x14ac:dyDescent="0.3">
      <c r="B1202" s="1"/>
      <c r="K1202">
        <f>AVERAGE(K2:K1201)</f>
        <v>314123.22916666669</v>
      </c>
    </row>
  </sheetData>
  <conditionalFormatting sqref="T1:T1048576">
    <cfRule type="containsText" dxfId="9" priority="4" operator="containsText" text="Medium">
      <formula>NOT(ISERROR(SEARCH("Medium",T1)))</formula>
    </cfRule>
    <cfRule type="containsText" dxfId="8" priority="5" operator="containsText" text="Large">
      <formula>NOT(ISERROR(SEARCH("Large",T1)))</formula>
    </cfRule>
    <cfRule type="containsText" dxfId="7" priority="6" operator="containsText" text="Small">
      <formula>NOT(ISERROR(SEARCH("Small",T1)))</formula>
    </cfRule>
  </conditionalFormatting>
  <conditionalFormatting sqref="U1:U1048576">
    <cfRule type="containsText" dxfId="6" priority="1" operator="containsText" text="High Profit">
      <formula>NOT(ISERROR(SEARCH("High Profit",U1)))</formula>
    </cfRule>
    <cfRule type="containsText" dxfId="5" priority="2" operator="containsText" text="Medium Profit">
      <formula>NOT(ISERROR(SEARCH("Medium Profit",U1)))</formula>
    </cfRule>
    <cfRule type="containsText" dxfId="4" priority="3" operator="containsText" text="Low Profit">
      <formula>NOT(ISERROR(SEARCH("Low Profit",U1)))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489CE-5EAF-45B4-8563-5BB477B61CAE}">
  <dimension ref="A1:C4"/>
  <sheetViews>
    <sheetView tabSelected="1" topLeftCell="A2" zoomScale="79" workbookViewId="0">
      <selection activeCell="S18" sqref="S18"/>
    </sheetView>
  </sheetViews>
  <sheetFormatPr defaultRowHeight="14.4" x14ac:dyDescent="0.3"/>
  <cols>
    <col min="2" max="3" width="10" bestFit="1" customWidth="1"/>
  </cols>
  <sheetData>
    <row r="1" spans="1:3" x14ac:dyDescent="0.3">
      <c r="A1" s="3" t="s">
        <v>1278</v>
      </c>
      <c r="C1">
        <f>SUM(clean_data[Revenue])</f>
        <v>376947875</v>
      </c>
    </row>
    <row r="2" spans="1:3" x14ac:dyDescent="0.3">
      <c r="A2" s="3" t="s">
        <v>1279</v>
      </c>
      <c r="C2">
        <f>COUNTA(clean_data[Order_ID])</f>
        <v>1200</v>
      </c>
    </row>
    <row r="3" spans="1:3" x14ac:dyDescent="0.3">
      <c r="A3" s="3" t="s">
        <v>1280</v>
      </c>
      <c r="C3">
        <f>SUM(clean_data[Profit])</f>
        <v>179270953.25</v>
      </c>
    </row>
    <row r="4" spans="1:3" x14ac:dyDescent="0.3">
      <c r="A4" s="3" t="s">
        <v>1281</v>
      </c>
      <c r="C4">
        <f>C1/C2</f>
        <v>314123.22916666669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B5CCD-9494-46E0-A368-E6D8A97A8387}">
  <dimension ref="A1:P1201"/>
  <sheetViews>
    <sheetView topLeftCell="A15" zoomScale="107" workbookViewId="0">
      <selection activeCell="G13" sqref="G13"/>
    </sheetView>
  </sheetViews>
  <sheetFormatPr defaultRowHeight="14.4" x14ac:dyDescent="0.3"/>
  <cols>
    <col min="1" max="1" width="10.77734375" bestFit="1" customWidth="1"/>
    <col min="2" max="2" width="10.33203125" bestFit="1" customWidth="1"/>
    <col min="3" max="3" width="9" bestFit="1" customWidth="1"/>
    <col min="4" max="4" width="10" bestFit="1" customWidth="1"/>
    <col min="5" max="5" width="13.21875" bestFit="1" customWidth="1"/>
    <col min="6" max="6" width="18.5546875" bestFit="1" customWidth="1"/>
    <col min="7" max="7" width="16" bestFit="1" customWidth="1"/>
    <col min="8" max="8" width="12.21875" bestFit="1" customWidth="1"/>
    <col min="9" max="9" width="11.88671875" bestFit="1" customWidth="1"/>
    <col min="10" max="10" width="13" bestFit="1" customWidth="1"/>
    <col min="11" max="11" width="10.5546875" bestFit="1" customWidth="1"/>
    <col min="12" max="13" width="10" bestFit="1" customWidth="1"/>
    <col min="14" max="14" width="20" bestFit="1" customWidth="1"/>
    <col min="15" max="15" width="18.6640625" bestFit="1" customWidth="1"/>
    <col min="16" max="16" width="13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s="1">
        <v>44774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44</v>
      </c>
      <c r="I2">
        <v>3500</v>
      </c>
      <c r="J2">
        <v>20</v>
      </c>
      <c r="K2">
        <v>123200</v>
      </c>
      <c r="L2">
        <v>49280</v>
      </c>
      <c r="M2">
        <v>73920</v>
      </c>
      <c r="N2" t="s">
        <v>22</v>
      </c>
      <c r="O2" t="s">
        <v>23</v>
      </c>
      <c r="P2" t="s">
        <v>24</v>
      </c>
    </row>
    <row r="3" spans="1:16" x14ac:dyDescent="0.3">
      <c r="A3" t="s">
        <v>25</v>
      </c>
      <c r="B3" s="1">
        <v>44621</v>
      </c>
      <c r="C3" t="s">
        <v>26</v>
      </c>
      <c r="D3" t="s">
        <v>27</v>
      </c>
      <c r="E3" t="s">
        <v>19</v>
      </c>
      <c r="F3" t="s">
        <v>28</v>
      </c>
      <c r="G3" t="s">
        <v>29</v>
      </c>
      <c r="H3">
        <v>13</v>
      </c>
      <c r="I3">
        <v>15000</v>
      </c>
      <c r="J3">
        <v>20</v>
      </c>
      <c r="K3">
        <v>156000</v>
      </c>
      <c r="L3">
        <v>85800</v>
      </c>
      <c r="M3">
        <v>70200</v>
      </c>
      <c r="N3" t="s">
        <v>30</v>
      </c>
      <c r="O3" t="s">
        <v>23</v>
      </c>
      <c r="P3" t="s">
        <v>24</v>
      </c>
    </row>
    <row r="4" spans="1:16" x14ac:dyDescent="0.3">
      <c r="A4" t="s">
        <v>31</v>
      </c>
      <c r="B4" s="1">
        <v>45103</v>
      </c>
      <c r="C4" t="s">
        <v>26</v>
      </c>
      <c r="D4" t="s">
        <v>27</v>
      </c>
      <c r="E4" t="s">
        <v>32</v>
      </c>
      <c r="F4" t="s">
        <v>33</v>
      </c>
      <c r="G4" t="s">
        <v>34</v>
      </c>
      <c r="H4">
        <v>10</v>
      </c>
      <c r="I4">
        <v>25000</v>
      </c>
      <c r="J4">
        <v>5</v>
      </c>
      <c r="K4">
        <v>237500</v>
      </c>
      <c r="L4">
        <v>118750</v>
      </c>
      <c r="M4">
        <v>118750</v>
      </c>
      <c r="N4" t="s">
        <v>30</v>
      </c>
      <c r="O4" t="s">
        <v>35</v>
      </c>
      <c r="P4" t="s">
        <v>24</v>
      </c>
    </row>
    <row r="5" spans="1:16" x14ac:dyDescent="0.3">
      <c r="A5" t="s">
        <v>36</v>
      </c>
      <c r="B5" s="1">
        <v>45295</v>
      </c>
      <c r="C5" t="s">
        <v>17</v>
      </c>
      <c r="D5" t="s">
        <v>37</v>
      </c>
      <c r="E5" t="s">
        <v>38</v>
      </c>
      <c r="F5" t="s">
        <v>33</v>
      </c>
      <c r="G5" t="s">
        <v>39</v>
      </c>
      <c r="H5">
        <v>47</v>
      </c>
      <c r="I5">
        <v>5000</v>
      </c>
      <c r="J5">
        <v>15</v>
      </c>
      <c r="K5">
        <v>199750</v>
      </c>
      <c r="L5">
        <v>99875</v>
      </c>
      <c r="M5">
        <v>99875</v>
      </c>
      <c r="N5" t="s">
        <v>30</v>
      </c>
      <c r="O5" t="s">
        <v>23</v>
      </c>
      <c r="P5" t="s">
        <v>40</v>
      </c>
    </row>
    <row r="6" spans="1:16" x14ac:dyDescent="0.3">
      <c r="A6" t="s">
        <v>41</v>
      </c>
      <c r="B6" s="1">
        <v>44730</v>
      </c>
      <c r="C6" t="s">
        <v>17</v>
      </c>
      <c r="D6" t="s">
        <v>42</v>
      </c>
      <c r="E6" t="s">
        <v>38</v>
      </c>
      <c r="F6" t="s">
        <v>33</v>
      </c>
      <c r="G6" t="s">
        <v>43</v>
      </c>
      <c r="H6">
        <v>13</v>
      </c>
      <c r="I6">
        <v>4000</v>
      </c>
      <c r="J6">
        <v>0</v>
      </c>
      <c r="K6">
        <v>52000</v>
      </c>
      <c r="L6">
        <v>26000</v>
      </c>
      <c r="M6">
        <v>26000</v>
      </c>
      <c r="N6" t="s">
        <v>22</v>
      </c>
      <c r="O6" t="s">
        <v>44</v>
      </c>
      <c r="P6" t="s">
        <v>24</v>
      </c>
    </row>
    <row r="7" spans="1:16" x14ac:dyDescent="0.3">
      <c r="A7" t="s">
        <v>45</v>
      </c>
      <c r="B7" s="1">
        <v>45110</v>
      </c>
      <c r="C7" t="s">
        <v>46</v>
      </c>
      <c r="D7" t="s">
        <v>47</v>
      </c>
      <c r="E7" t="s">
        <v>32</v>
      </c>
      <c r="F7" t="s">
        <v>33</v>
      </c>
      <c r="G7" t="s">
        <v>48</v>
      </c>
      <c r="H7">
        <v>41</v>
      </c>
      <c r="I7">
        <v>1500</v>
      </c>
      <c r="J7">
        <v>10</v>
      </c>
      <c r="K7">
        <v>55350</v>
      </c>
      <c r="L7">
        <v>27675</v>
      </c>
      <c r="M7">
        <v>27675</v>
      </c>
      <c r="N7" t="s">
        <v>49</v>
      </c>
      <c r="O7" t="s">
        <v>50</v>
      </c>
      <c r="P7" t="s">
        <v>24</v>
      </c>
    </row>
    <row r="8" spans="1:16" x14ac:dyDescent="0.3">
      <c r="A8" t="s">
        <v>51</v>
      </c>
      <c r="B8" s="1">
        <v>44979</v>
      </c>
      <c r="C8" t="s">
        <v>17</v>
      </c>
      <c r="D8" t="s">
        <v>42</v>
      </c>
      <c r="E8" t="s">
        <v>52</v>
      </c>
      <c r="F8" t="s">
        <v>20</v>
      </c>
      <c r="G8" t="s">
        <v>53</v>
      </c>
      <c r="H8">
        <v>47</v>
      </c>
      <c r="I8">
        <v>600</v>
      </c>
      <c r="J8">
        <v>5</v>
      </c>
      <c r="K8">
        <v>26790</v>
      </c>
      <c r="L8">
        <v>10716</v>
      </c>
      <c r="M8">
        <v>16074</v>
      </c>
      <c r="N8" t="s">
        <v>49</v>
      </c>
      <c r="O8" t="s">
        <v>23</v>
      </c>
      <c r="P8" t="s">
        <v>24</v>
      </c>
    </row>
    <row r="9" spans="1:16" x14ac:dyDescent="0.3">
      <c r="A9" t="s">
        <v>54</v>
      </c>
      <c r="B9" s="1">
        <v>45098</v>
      </c>
      <c r="C9" t="s">
        <v>46</v>
      </c>
      <c r="D9" t="s">
        <v>55</v>
      </c>
      <c r="E9" t="s">
        <v>56</v>
      </c>
      <c r="F9" t="s">
        <v>20</v>
      </c>
      <c r="G9" t="s">
        <v>21</v>
      </c>
      <c r="H9">
        <v>21</v>
      </c>
      <c r="I9">
        <v>3500</v>
      </c>
      <c r="J9">
        <v>15</v>
      </c>
      <c r="K9">
        <v>62475</v>
      </c>
      <c r="L9">
        <v>24990</v>
      </c>
      <c r="M9">
        <v>37485</v>
      </c>
      <c r="N9" t="s">
        <v>30</v>
      </c>
      <c r="O9" t="s">
        <v>44</v>
      </c>
      <c r="P9" t="s">
        <v>24</v>
      </c>
    </row>
    <row r="10" spans="1:16" x14ac:dyDescent="0.3">
      <c r="A10" t="s">
        <v>57</v>
      </c>
      <c r="B10" s="1">
        <v>45176</v>
      </c>
      <c r="C10" t="s">
        <v>58</v>
      </c>
      <c r="D10" t="s">
        <v>59</v>
      </c>
      <c r="E10" t="s">
        <v>60</v>
      </c>
      <c r="F10" t="s">
        <v>20</v>
      </c>
      <c r="G10" t="s">
        <v>61</v>
      </c>
      <c r="H10">
        <v>9</v>
      </c>
      <c r="I10">
        <v>800</v>
      </c>
      <c r="J10">
        <v>5</v>
      </c>
      <c r="K10">
        <v>6840</v>
      </c>
      <c r="L10">
        <v>2736</v>
      </c>
      <c r="M10">
        <v>4104</v>
      </c>
      <c r="N10" t="s">
        <v>22</v>
      </c>
      <c r="O10" t="s">
        <v>50</v>
      </c>
      <c r="P10" t="s">
        <v>40</v>
      </c>
    </row>
    <row r="11" spans="1:16" x14ac:dyDescent="0.3">
      <c r="A11" t="s">
        <v>62</v>
      </c>
      <c r="B11" s="1">
        <v>45401</v>
      </c>
      <c r="C11" t="s">
        <v>58</v>
      </c>
      <c r="D11" t="s">
        <v>59</v>
      </c>
      <c r="E11" t="s">
        <v>19</v>
      </c>
      <c r="F11" t="s">
        <v>20</v>
      </c>
      <c r="G11" t="s">
        <v>53</v>
      </c>
      <c r="H11">
        <v>32</v>
      </c>
      <c r="I11">
        <v>600</v>
      </c>
      <c r="J11">
        <v>0</v>
      </c>
      <c r="K11">
        <v>19200</v>
      </c>
      <c r="L11">
        <v>7680</v>
      </c>
      <c r="M11">
        <v>11520</v>
      </c>
      <c r="N11" t="s">
        <v>30</v>
      </c>
      <c r="O11" t="s">
        <v>44</v>
      </c>
      <c r="P11" t="s">
        <v>24</v>
      </c>
    </row>
    <row r="12" spans="1:16" x14ac:dyDescent="0.3">
      <c r="A12" t="s">
        <v>63</v>
      </c>
      <c r="B12" s="1">
        <v>44891</v>
      </c>
      <c r="C12" t="s">
        <v>58</v>
      </c>
      <c r="D12" t="s">
        <v>64</v>
      </c>
      <c r="E12" t="s">
        <v>52</v>
      </c>
      <c r="F12" t="s">
        <v>65</v>
      </c>
      <c r="G12" t="s">
        <v>66</v>
      </c>
      <c r="H12">
        <v>39</v>
      </c>
      <c r="I12">
        <v>5500</v>
      </c>
      <c r="J12">
        <v>15</v>
      </c>
      <c r="K12">
        <v>182325</v>
      </c>
      <c r="L12">
        <v>82046.25</v>
      </c>
      <c r="M12">
        <v>100278.75</v>
      </c>
      <c r="N12" t="s">
        <v>49</v>
      </c>
      <c r="O12" t="s">
        <v>67</v>
      </c>
      <c r="P12" t="s">
        <v>40</v>
      </c>
    </row>
    <row r="13" spans="1:16" x14ac:dyDescent="0.3">
      <c r="A13" t="s">
        <v>68</v>
      </c>
      <c r="B13" s="1">
        <v>44583</v>
      </c>
      <c r="C13" t="s">
        <v>26</v>
      </c>
      <c r="D13" t="s">
        <v>69</v>
      </c>
      <c r="E13" t="s">
        <v>70</v>
      </c>
      <c r="F13" t="s">
        <v>28</v>
      </c>
      <c r="G13" t="s">
        <v>71</v>
      </c>
      <c r="H13">
        <v>28</v>
      </c>
      <c r="I13">
        <v>35000</v>
      </c>
      <c r="J13">
        <v>5</v>
      </c>
      <c r="K13">
        <v>931000</v>
      </c>
      <c r="L13">
        <v>512050</v>
      </c>
      <c r="M13">
        <v>418950</v>
      </c>
      <c r="N13" t="s">
        <v>30</v>
      </c>
      <c r="O13" t="s">
        <v>50</v>
      </c>
      <c r="P13" t="s">
        <v>24</v>
      </c>
    </row>
    <row r="14" spans="1:16" x14ac:dyDescent="0.3">
      <c r="A14" t="s">
        <v>72</v>
      </c>
      <c r="B14" s="1">
        <v>45560</v>
      </c>
      <c r="C14" t="s">
        <v>46</v>
      </c>
      <c r="D14" t="s">
        <v>47</v>
      </c>
      <c r="E14" t="s">
        <v>73</v>
      </c>
      <c r="F14" t="s">
        <v>20</v>
      </c>
      <c r="G14" t="s">
        <v>74</v>
      </c>
      <c r="H14">
        <v>24</v>
      </c>
      <c r="I14">
        <v>4200</v>
      </c>
      <c r="J14">
        <v>5</v>
      </c>
      <c r="K14">
        <v>95760</v>
      </c>
      <c r="L14">
        <v>38304</v>
      </c>
      <c r="M14">
        <v>57456</v>
      </c>
      <c r="N14" t="s">
        <v>22</v>
      </c>
      <c r="O14" t="s">
        <v>35</v>
      </c>
      <c r="P14" t="s">
        <v>40</v>
      </c>
    </row>
    <row r="15" spans="1:16" x14ac:dyDescent="0.3">
      <c r="A15" t="s">
        <v>75</v>
      </c>
      <c r="B15" s="1">
        <v>45185</v>
      </c>
      <c r="C15" t="s">
        <v>26</v>
      </c>
      <c r="D15" t="s">
        <v>27</v>
      </c>
      <c r="E15" t="s">
        <v>70</v>
      </c>
      <c r="F15" t="s">
        <v>33</v>
      </c>
      <c r="G15" t="s">
        <v>76</v>
      </c>
      <c r="H15">
        <v>4</v>
      </c>
      <c r="I15">
        <v>8500</v>
      </c>
      <c r="J15">
        <v>5</v>
      </c>
      <c r="K15">
        <v>32300</v>
      </c>
      <c r="L15">
        <v>16150</v>
      </c>
      <c r="M15">
        <v>16150</v>
      </c>
      <c r="N15" t="s">
        <v>30</v>
      </c>
      <c r="O15" t="s">
        <v>35</v>
      </c>
      <c r="P15" t="s">
        <v>40</v>
      </c>
    </row>
    <row r="16" spans="1:16" x14ac:dyDescent="0.3">
      <c r="A16" t="s">
        <v>77</v>
      </c>
      <c r="B16" s="1">
        <v>45531</v>
      </c>
      <c r="C16" t="s">
        <v>26</v>
      </c>
      <c r="D16" t="s">
        <v>27</v>
      </c>
      <c r="E16" t="s">
        <v>78</v>
      </c>
      <c r="F16" t="s">
        <v>65</v>
      </c>
      <c r="G16" t="s">
        <v>79</v>
      </c>
      <c r="H16">
        <v>11</v>
      </c>
      <c r="I16">
        <v>900</v>
      </c>
      <c r="J16">
        <v>10</v>
      </c>
      <c r="K16">
        <v>8910</v>
      </c>
      <c r="L16">
        <v>4009.5</v>
      </c>
      <c r="M16">
        <v>4900.5</v>
      </c>
      <c r="N16" t="s">
        <v>22</v>
      </c>
      <c r="O16" t="s">
        <v>23</v>
      </c>
      <c r="P16" t="s">
        <v>40</v>
      </c>
    </row>
    <row r="17" spans="1:16" x14ac:dyDescent="0.3">
      <c r="A17" t="s">
        <v>80</v>
      </c>
      <c r="B17" s="1">
        <v>44975</v>
      </c>
      <c r="C17" t="s">
        <v>46</v>
      </c>
      <c r="D17" t="s">
        <v>55</v>
      </c>
      <c r="E17" t="s">
        <v>32</v>
      </c>
      <c r="F17" t="s">
        <v>33</v>
      </c>
      <c r="G17" t="s">
        <v>48</v>
      </c>
      <c r="H17">
        <v>34</v>
      </c>
      <c r="I17">
        <v>1500</v>
      </c>
      <c r="J17">
        <v>15</v>
      </c>
      <c r="K17">
        <v>43350</v>
      </c>
      <c r="L17">
        <v>21675</v>
      </c>
      <c r="M17">
        <v>21675</v>
      </c>
      <c r="N17" t="s">
        <v>30</v>
      </c>
      <c r="O17" t="s">
        <v>44</v>
      </c>
      <c r="P17" t="s">
        <v>24</v>
      </c>
    </row>
    <row r="18" spans="1:16" x14ac:dyDescent="0.3">
      <c r="A18" t="s">
        <v>81</v>
      </c>
      <c r="B18" s="1">
        <v>44692</v>
      </c>
      <c r="C18" t="s">
        <v>26</v>
      </c>
      <c r="D18" t="s">
        <v>27</v>
      </c>
      <c r="E18" t="s">
        <v>38</v>
      </c>
      <c r="F18" t="s">
        <v>20</v>
      </c>
      <c r="G18" t="s">
        <v>21</v>
      </c>
      <c r="H18">
        <v>5</v>
      </c>
      <c r="I18">
        <v>3500</v>
      </c>
      <c r="J18">
        <v>0</v>
      </c>
      <c r="K18">
        <v>17500</v>
      </c>
      <c r="L18">
        <v>7000</v>
      </c>
      <c r="M18">
        <v>10500</v>
      </c>
      <c r="N18" t="s">
        <v>30</v>
      </c>
      <c r="O18" t="s">
        <v>35</v>
      </c>
      <c r="P18" t="s">
        <v>24</v>
      </c>
    </row>
    <row r="19" spans="1:16" x14ac:dyDescent="0.3">
      <c r="A19" t="s">
        <v>82</v>
      </c>
      <c r="B19" s="1">
        <v>45202</v>
      </c>
      <c r="C19" t="s">
        <v>46</v>
      </c>
      <c r="D19" t="s">
        <v>55</v>
      </c>
      <c r="E19" t="s">
        <v>60</v>
      </c>
      <c r="F19" t="s">
        <v>20</v>
      </c>
      <c r="G19" t="s">
        <v>53</v>
      </c>
      <c r="H19">
        <v>9</v>
      </c>
      <c r="I19">
        <v>600</v>
      </c>
      <c r="J19">
        <v>20</v>
      </c>
      <c r="K19">
        <v>4320</v>
      </c>
      <c r="L19">
        <v>1728</v>
      </c>
      <c r="M19">
        <v>2592</v>
      </c>
      <c r="N19" t="s">
        <v>49</v>
      </c>
      <c r="O19" t="s">
        <v>44</v>
      </c>
      <c r="P19" t="s">
        <v>40</v>
      </c>
    </row>
    <row r="20" spans="1:16" x14ac:dyDescent="0.3">
      <c r="A20" t="s">
        <v>83</v>
      </c>
      <c r="B20" s="1">
        <v>45499</v>
      </c>
      <c r="C20" t="s">
        <v>58</v>
      </c>
      <c r="D20" t="s">
        <v>84</v>
      </c>
      <c r="E20" t="s">
        <v>52</v>
      </c>
      <c r="F20" t="s">
        <v>28</v>
      </c>
      <c r="G20" t="s">
        <v>85</v>
      </c>
      <c r="H20">
        <v>23</v>
      </c>
      <c r="I20">
        <v>8000</v>
      </c>
      <c r="J20">
        <v>15</v>
      </c>
      <c r="K20">
        <v>156400</v>
      </c>
      <c r="L20">
        <v>86020</v>
      </c>
      <c r="M20">
        <v>70380</v>
      </c>
      <c r="N20" t="s">
        <v>49</v>
      </c>
      <c r="O20" t="s">
        <v>35</v>
      </c>
      <c r="P20" t="s">
        <v>24</v>
      </c>
    </row>
    <row r="21" spans="1:16" x14ac:dyDescent="0.3">
      <c r="A21" t="s">
        <v>86</v>
      </c>
      <c r="B21" s="1">
        <v>44744</v>
      </c>
      <c r="C21" t="s">
        <v>58</v>
      </c>
      <c r="D21" t="s">
        <v>64</v>
      </c>
      <c r="E21" t="s">
        <v>70</v>
      </c>
      <c r="F21" t="s">
        <v>28</v>
      </c>
      <c r="G21" t="s">
        <v>87</v>
      </c>
      <c r="H21">
        <v>13</v>
      </c>
      <c r="I21">
        <v>45000</v>
      </c>
      <c r="J21">
        <v>5</v>
      </c>
      <c r="K21">
        <v>555750</v>
      </c>
      <c r="L21">
        <v>305662.5</v>
      </c>
      <c r="M21">
        <v>250087.5</v>
      </c>
      <c r="N21" t="s">
        <v>49</v>
      </c>
      <c r="O21" t="s">
        <v>44</v>
      </c>
      <c r="P21" t="s">
        <v>40</v>
      </c>
    </row>
    <row r="22" spans="1:16" x14ac:dyDescent="0.3">
      <c r="A22" t="s">
        <v>88</v>
      </c>
      <c r="B22" s="1">
        <v>45388</v>
      </c>
      <c r="C22" t="s">
        <v>17</v>
      </c>
      <c r="D22" t="s">
        <v>37</v>
      </c>
      <c r="E22" t="s">
        <v>19</v>
      </c>
      <c r="F22" t="s">
        <v>28</v>
      </c>
      <c r="G22" t="s">
        <v>85</v>
      </c>
      <c r="H22">
        <v>36</v>
      </c>
      <c r="I22">
        <v>8000</v>
      </c>
      <c r="J22">
        <v>0</v>
      </c>
      <c r="K22">
        <v>288000</v>
      </c>
      <c r="L22">
        <v>158400</v>
      </c>
      <c r="M22">
        <v>129600</v>
      </c>
      <c r="N22" t="s">
        <v>22</v>
      </c>
      <c r="O22" t="s">
        <v>67</v>
      </c>
      <c r="P22" t="s">
        <v>24</v>
      </c>
    </row>
    <row r="23" spans="1:16" x14ac:dyDescent="0.3">
      <c r="A23" t="s">
        <v>89</v>
      </c>
      <c r="B23" s="1">
        <v>44564</v>
      </c>
      <c r="C23" t="s">
        <v>46</v>
      </c>
      <c r="D23" t="s">
        <v>47</v>
      </c>
      <c r="E23" t="s">
        <v>32</v>
      </c>
      <c r="F23" t="s">
        <v>65</v>
      </c>
      <c r="G23" t="s">
        <v>66</v>
      </c>
      <c r="H23">
        <v>14</v>
      </c>
      <c r="I23">
        <v>5500</v>
      </c>
      <c r="J23">
        <v>15</v>
      </c>
      <c r="K23">
        <v>65450</v>
      </c>
      <c r="L23">
        <v>29452.5</v>
      </c>
      <c r="M23">
        <v>35997.5</v>
      </c>
      <c r="N23" t="s">
        <v>30</v>
      </c>
      <c r="O23" t="s">
        <v>23</v>
      </c>
      <c r="P23" t="s">
        <v>24</v>
      </c>
    </row>
    <row r="24" spans="1:16" x14ac:dyDescent="0.3">
      <c r="A24" t="s">
        <v>90</v>
      </c>
      <c r="B24" s="1">
        <v>44574</v>
      </c>
      <c r="C24" t="s">
        <v>17</v>
      </c>
      <c r="D24" t="s">
        <v>37</v>
      </c>
      <c r="E24" t="s">
        <v>73</v>
      </c>
      <c r="F24" t="s">
        <v>65</v>
      </c>
      <c r="G24" t="s">
        <v>79</v>
      </c>
      <c r="H24">
        <v>43</v>
      </c>
      <c r="I24">
        <v>900</v>
      </c>
      <c r="J24">
        <v>15</v>
      </c>
      <c r="K24">
        <v>32895</v>
      </c>
      <c r="L24">
        <v>14802.75</v>
      </c>
      <c r="M24">
        <v>18092.25</v>
      </c>
      <c r="N24" t="s">
        <v>30</v>
      </c>
      <c r="O24" t="s">
        <v>50</v>
      </c>
      <c r="P24" t="s">
        <v>24</v>
      </c>
    </row>
    <row r="25" spans="1:16" x14ac:dyDescent="0.3">
      <c r="A25" t="s">
        <v>91</v>
      </c>
      <c r="B25" s="1">
        <v>44959</v>
      </c>
      <c r="C25" t="s">
        <v>26</v>
      </c>
      <c r="D25" t="s">
        <v>69</v>
      </c>
      <c r="E25" t="s">
        <v>56</v>
      </c>
      <c r="F25" t="s">
        <v>28</v>
      </c>
      <c r="G25" t="s">
        <v>29</v>
      </c>
      <c r="H25">
        <v>31</v>
      </c>
      <c r="I25">
        <v>15000</v>
      </c>
      <c r="J25">
        <v>20</v>
      </c>
      <c r="K25">
        <v>372000</v>
      </c>
      <c r="L25">
        <v>204600</v>
      </c>
      <c r="M25">
        <v>167400</v>
      </c>
      <c r="N25" t="s">
        <v>30</v>
      </c>
      <c r="O25" t="s">
        <v>35</v>
      </c>
      <c r="P25" t="s">
        <v>40</v>
      </c>
    </row>
    <row r="26" spans="1:16" x14ac:dyDescent="0.3">
      <c r="A26" t="s">
        <v>92</v>
      </c>
      <c r="B26" s="1">
        <v>45538</v>
      </c>
      <c r="C26" t="s">
        <v>46</v>
      </c>
      <c r="D26" t="s">
        <v>47</v>
      </c>
      <c r="E26" t="s">
        <v>38</v>
      </c>
      <c r="F26" t="s">
        <v>28</v>
      </c>
      <c r="G26" t="s">
        <v>87</v>
      </c>
      <c r="H26">
        <v>26</v>
      </c>
      <c r="I26">
        <v>45000</v>
      </c>
      <c r="J26">
        <v>0</v>
      </c>
      <c r="K26">
        <v>1170000</v>
      </c>
      <c r="L26">
        <v>643500</v>
      </c>
      <c r="M26">
        <v>526500</v>
      </c>
      <c r="N26" t="s">
        <v>30</v>
      </c>
      <c r="O26" t="s">
        <v>67</v>
      </c>
      <c r="P26" t="s">
        <v>40</v>
      </c>
    </row>
    <row r="27" spans="1:16" x14ac:dyDescent="0.3">
      <c r="A27" t="s">
        <v>93</v>
      </c>
      <c r="B27" s="1">
        <v>44640</v>
      </c>
      <c r="C27" t="s">
        <v>26</v>
      </c>
      <c r="D27" t="s">
        <v>69</v>
      </c>
      <c r="E27" t="s">
        <v>38</v>
      </c>
      <c r="F27" t="s">
        <v>33</v>
      </c>
      <c r="G27" t="s">
        <v>34</v>
      </c>
      <c r="H27">
        <v>14</v>
      </c>
      <c r="I27">
        <v>25000</v>
      </c>
      <c r="J27">
        <v>10</v>
      </c>
      <c r="K27">
        <v>315000</v>
      </c>
      <c r="L27">
        <v>157500</v>
      </c>
      <c r="M27">
        <v>157500</v>
      </c>
      <c r="N27" t="s">
        <v>49</v>
      </c>
      <c r="O27" t="s">
        <v>23</v>
      </c>
      <c r="P27" t="s">
        <v>24</v>
      </c>
    </row>
    <row r="28" spans="1:16" x14ac:dyDescent="0.3">
      <c r="A28" t="s">
        <v>94</v>
      </c>
      <c r="B28" s="1">
        <v>44826</v>
      </c>
      <c r="C28" t="s">
        <v>17</v>
      </c>
      <c r="D28" t="s">
        <v>37</v>
      </c>
      <c r="E28" t="s">
        <v>70</v>
      </c>
      <c r="F28" t="s">
        <v>28</v>
      </c>
      <c r="G28" t="s">
        <v>95</v>
      </c>
      <c r="H28">
        <v>30</v>
      </c>
      <c r="I28">
        <v>75000</v>
      </c>
      <c r="J28">
        <v>20</v>
      </c>
      <c r="K28">
        <v>1800000</v>
      </c>
      <c r="L28">
        <v>990000</v>
      </c>
      <c r="M28">
        <v>810000</v>
      </c>
      <c r="N28" t="s">
        <v>30</v>
      </c>
      <c r="O28" t="s">
        <v>35</v>
      </c>
      <c r="P28" t="s">
        <v>40</v>
      </c>
    </row>
    <row r="29" spans="1:16" x14ac:dyDescent="0.3">
      <c r="A29" t="s">
        <v>96</v>
      </c>
      <c r="B29" s="1">
        <v>45603</v>
      </c>
      <c r="C29" t="s">
        <v>17</v>
      </c>
      <c r="D29" t="s">
        <v>18</v>
      </c>
      <c r="E29" t="s">
        <v>70</v>
      </c>
      <c r="F29" t="s">
        <v>28</v>
      </c>
      <c r="G29" t="s">
        <v>87</v>
      </c>
      <c r="H29">
        <v>24</v>
      </c>
      <c r="I29">
        <v>45000</v>
      </c>
      <c r="J29">
        <v>10</v>
      </c>
      <c r="K29">
        <v>972000</v>
      </c>
      <c r="L29">
        <v>534600</v>
      </c>
      <c r="M29">
        <v>437400</v>
      </c>
      <c r="N29" t="s">
        <v>49</v>
      </c>
      <c r="O29" t="s">
        <v>67</v>
      </c>
      <c r="P29" t="s">
        <v>24</v>
      </c>
    </row>
    <row r="30" spans="1:16" x14ac:dyDescent="0.3">
      <c r="A30" t="s">
        <v>97</v>
      </c>
      <c r="B30" s="1">
        <v>45158</v>
      </c>
      <c r="C30" t="s">
        <v>26</v>
      </c>
      <c r="D30" t="s">
        <v>69</v>
      </c>
      <c r="E30" t="s">
        <v>52</v>
      </c>
      <c r="F30" t="s">
        <v>20</v>
      </c>
      <c r="G30" t="s">
        <v>61</v>
      </c>
      <c r="H30">
        <v>8</v>
      </c>
      <c r="I30">
        <v>800</v>
      </c>
      <c r="J30">
        <v>0</v>
      </c>
      <c r="K30">
        <v>6400</v>
      </c>
      <c r="L30">
        <v>2560</v>
      </c>
      <c r="M30">
        <v>3840</v>
      </c>
      <c r="N30" t="s">
        <v>30</v>
      </c>
      <c r="O30" t="s">
        <v>50</v>
      </c>
      <c r="P30" t="s">
        <v>40</v>
      </c>
    </row>
    <row r="31" spans="1:16" x14ac:dyDescent="0.3">
      <c r="A31" t="s">
        <v>98</v>
      </c>
      <c r="B31" s="1">
        <v>45127</v>
      </c>
      <c r="C31" t="s">
        <v>46</v>
      </c>
      <c r="D31" t="s">
        <v>55</v>
      </c>
      <c r="E31" t="s">
        <v>19</v>
      </c>
      <c r="F31" t="s">
        <v>33</v>
      </c>
      <c r="G31" t="s">
        <v>43</v>
      </c>
      <c r="H31">
        <v>32</v>
      </c>
      <c r="I31">
        <v>4000</v>
      </c>
      <c r="J31">
        <v>10</v>
      </c>
      <c r="K31">
        <v>115200</v>
      </c>
      <c r="L31">
        <v>57600</v>
      </c>
      <c r="M31">
        <v>57600</v>
      </c>
      <c r="N31" t="s">
        <v>30</v>
      </c>
      <c r="O31" t="s">
        <v>23</v>
      </c>
      <c r="P31" t="s">
        <v>24</v>
      </c>
    </row>
    <row r="32" spans="1:16" x14ac:dyDescent="0.3">
      <c r="A32" t="s">
        <v>99</v>
      </c>
      <c r="B32" s="1">
        <v>45079</v>
      </c>
      <c r="C32" t="s">
        <v>26</v>
      </c>
      <c r="D32" t="s">
        <v>69</v>
      </c>
      <c r="E32" t="s">
        <v>78</v>
      </c>
      <c r="F32" t="s">
        <v>33</v>
      </c>
      <c r="G32" t="s">
        <v>76</v>
      </c>
      <c r="H32">
        <v>48</v>
      </c>
      <c r="I32">
        <v>8500</v>
      </c>
      <c r="J32">
        <v>15</v>
      </c>
      <c r="K32">
        <v>346800</v>
      </c>
      <c r="L32">
        <v>173400</v>
      </c>
      <c r="M32">
        <v>173400</v>
      </c>
      <c r="N32" t="s">
        <v>22</v>
      </c>
      <c r="O32" t="s">
        <v>23</v>
      </c>
      <c r="P32" t="s">
        <v>40</v>
      </c>
    </row>
    <row r="33" spans="1:16" x14ac:dyDescent="0.3">
      <c r="A33" t="s">
        <v>100</v>
      </c>
      <c r="B33" s="1">
        <v>45627</v>
      </c>
      <c r="C33" t="s">
        <v>26</v>
      </c>
      <c r="D33" t="s">
        <v>27</v>
      </c>
      <c r="E33" t="s">
        <v>78</v>
      </c>
      <c r="F33" t="s">
        <v>28</v>
      </c>
      <c r="G33" t="s">
        <v>71</v>
      </c>
      <c r="H33">
        <v>38</v>
      </c>
      <c r="I33">
        <v>35000</v>
      </c>
      <c r="J33">
        <v>20</v>
      </c>
      <c r="K33">
        <v>1064000</v>
      </c>
      <c r="L33">
        <v>585200</v>
      </c>
      <c r="M33">
        <v>478800</v>
      </c>
      <c r="N33" t="s">
        <v>49</v>
      </c>
      <c r="O33" t="s">
        <v>44</v>
      </c>
      <c r="P33" t="s">
        <v>24</v>
      </c>
    </row>
    <row r="34" spans="1:16" x14ac:dyDescent="0.3">
      <c r="A34" t="s">
        <v>101</v>
      </c>
      <c r="B34" s="1">
        <v>44630</v>
      </c>
      <c r="C34" t="s">
        <v>17</v>
      </c>
      <c r="D34" t="s">
        <v>18</v>
      </c>
      <c r="E34" t="s">
        <v>70</v>
      </c>
      <c r="F34" t="s">
        <v>20</v>
      </c>
      <c r="G34" t="s">
        <v>74</v>
      </c>
      <c r="H34">
        <v>43</v>
      </c>
      <c r="I34">
        <v>4200</v>
      </c>
      <c r="J34">
        <v>0</v>
      </c>
      <c r="K34">
        <v>180600</v>
      </c>
      <c r="L34">
        <v>72240</v>
      </c>
      <c r="M34">
        <v>108360</v>
      </c>
      <c r="N34" t="s">
        <v>22</v>
      </c>
      <c r="O34" t="s">
        <v>23</v>
      </c>
      <c r="P34" t="s">
        <v>24</v>
      </c>
    </row>
    <row r="35" spans="1:16" x14ac:dyDescent="0.3">
      <c r="A35" t="s">
        <v>102</v>
      </c>
      <c r="B35" s="1">
        <v>44842</v>
      </c>
      <c r="C35" t="s">
        <v>46</v>
      </c>
      <c r="D35" t="s">
        <v>47</v>
      </c>
      <c r="E35" t="s">
        <v>32</v>
      </c>
      <c r="F35" t="s">
        <v>28</v>
      </c>
      <c r="G35" t="s">
        <v>87</v>
      </c>
      <c r="H35">
        <v>48</v>
      </c>
      <c r="I35">
        <v>45000</v>
      </c>
      <c r="J35">
        <v>10</v>
      </c>
      <c r="K35">
        <v>1944000</v>
      </c>
      <c r="L35">
        <v>1069200</v>
      </c>
      <c r="M35">
        <v>874800</v>
      </c>
      <c r="N35" t="s">
        <v>22</v>
      </c>
      <c r="O35" t="s">
        <v>44</v>
      </c>
      <c r="P35" t="s">
        <v>24</v>
      </c>
    </row>
    <row r="36" spans="1:16" x14ac:dyDescent="0.3">
      <c r="A36" t="s">
        <v>103</v>
      </c>
      <c r="B36" s="1">
        <v>45083</v>
      </c>
      <c r="C36" t="s">
        <v>26</v>
      </c>
      <c r="D36" t="s">
        <v>69</v>
      </c>
      <c r="E36" t="s">
        <v>56</v>
      </c>
      <c r="F36" t="s">
        <v>65</v>
      </c>
      <c r="G36" t="s">
        <v>104</v>
      </c>
      <c r="H36">
        <v>13</v>
      </c>
      <c r="I36">
        <v>3000</v>
      </c>
      <c r="J36">
        <v>15</v>
      </c>
      <c r="K36">
        <v>33150</v>
      </c>
      <c r="L36">
        <v>14917.5</v>
      </c>
      <c r="M36">
        <v>18232.5</v>
      </c>
      <c r="N36" t="s">
        <v>49</v>
      </c>
      <c r="O36" t="s">
        <v>44</v>
      </c>
      <c r="P36" t="s">
        <v>24</v>
      </c>
    </row>
    <row r="37" spans="1:16" x14ac:dyDescent="0.3">
      <c r="A37" t="s">
        <v>105</v>
      </c>
      <c r="B37" s="1">
        <v>44986</v>
      </c>
      <c r="C37" t="s">
        <v>46</v>
      </c>
      <c r="D37" t="s">
        <v>55</v>
      </c>
      <c r="E37" t="s">
        <v>70</v>
      </c>
      <c r="F37" t="s">
        <v>33</v>
      </c>
      <c r="G37" t="s">
        <v>39</v>
      </c>
      <c r="H37">
        <v>50</v>
      </c>
      <c r="I37">
        <v>5000</v>
      </c>
      <c r="J37">
        <v>10</v>
      </c>
      <c r="K37">
        <v>225000</v>
      </c>
      <c r="L37">
        <v>112500</v>
      </c>
      <c r="M37">
        <v>112500</v>
      </c>
      <c r="N37" t="s">
        <v>22</v>
      </c>
      <c r="O37" t="s">
        <v>67</v>
      </c>
      <c r="P37" t="s">
        <v>24</v>
      </c>
    </row>
    <row r="38" spans="1:16" x14ac:dyDescent="0.3">
      <c r="A38" t="s">
        <v>106</v>
      </c>
      <c r="B38" s="1">
        <v>45344</v>
      </c>
      <c r="C38" t="s">
        <v>17</v>
      </c>
      <c r="D38" t="s">
        <v>18</v>
      </c>
      <c r="E38" t="s">
        <v>52</v>
      </c>
      <c r="F38" t="s">
        <v>33</v>
      </c>
      <c r="G38" t="s">
        <v>76</v>
      </c>
      <c r="H38">
        <v>38</v>
      </c>
      <c r="I38">
        <v>8500</v>
      </c>
      <c r="J38">
        <v>10</v>
      </c>
      <c r="K38">
        <v>290700</v>
      </c>
      <c r="L38">
        <v>145350</v>
      </c>
      <c r="M38">
        <v>145350</v>
      </c>
      <c r="N38" t="s">
        <v>30</v>
      </c>
      <c r="O38" t="s">
        <v>67</v>
      </c>
      <c r="P38" t="s">
        <v>24</v>
      </c>
    </row>
    <row r="39" spans="1:16" x14ac:dyDescent="0.3">
      <c r="A39" t="s">
        <v>107</v>
      </c>
      <c r="B39" s="1">
        <v>45394</v>
      </c>
      <c r="C39" t="s">
        <v>17</v>
      </c>
      <c r="D39" t="s">
        <v>37</v>
      </c>
      <c r="E39" t="s">
        <v>38</v>
      </c>
      <c r="F39" t="s">
        <v>28</v>
      </c>
      <c r="G39" t="s">
        <v>85</v>
      </c>
      <c r="H39">
        <v>37</v>
      </c>
      <c r="I39">
        <v>8000</v>
      </c>
      <c r="J39">
        <v>5</v>
      </c>
      <c r="K39">
        <v>281200</v>
      </c>
      <c r="L39">
        <v>154660</v>
      </c>
      <c r="M39">
        <v>126540</v>
      </c>
      <c r="N39" t="s">
        <v>30</v>
      </c>
      <c r="O39" t="s">
        <v>23</v>
      </c>
      <c r="P39" t="s">
        <v>24</v>
      </c>
    </row>
    <row r="40" spans="1:16" x14ac:dyDescent="0.3">
      <c r="A40" t="s">
        <v>108</v>
      </c>
      <c r="B40" s="1">
        <v>44578</v>
      </c>
      <c r="C40" t="s">
        <v>46</v>
      </c>
      <c r="D40" t="s">
        <v>55</v>
      </c>
      <c r="E40" t="s">
        <v>32</v>
      </c>
      <c r="F40" t="s">
        <v>28</v>
      </c>
      <c r="G40" t="s">
        <v>71</v>
      </c>
      <c r="H40">
        <v>40</v>
      </c>
      <c r="I40">
        <v>35000</v>
      </c>
      <c r="J40">
        <v>10</v>
      </c>
      <c r="K40">
        <v>1260000</v>
      </c>
      <c r="L40">
        <v>693000</v>
      </c>
      <c r="M40">
        <v>567000</v>
      </c>
      <c r="N40" t="s">
        <v>22</v>
      </c>
      <c r="O40" t="s">
        <v>50</v>
      </c>
      <c r="P40" t="s">
        <v>24</v>
      </c>
    </row>
    <row r="41" spans="1:16" x14ac:dyDescent="0.3">
      <c r="A41" t="s">
        <v>109</v>
      </c>
      <c r="B41" s="1">
        <v>45545</v>
      </c>
      <c r="C41" t="s">
        <v>58</v>
      </c>
      <c r="D41" t="s">
        <v>59</v>
      </c>
      <c r="E41" t="s">
        <v>32</v>
      </c>
      <c r="F41" t="s">
        <v>33</v>
      </c>
      <c r="G41" t="s">
        <v>43</v>
      </c>
      <c r="H41">
        <v>9</v>
      </c>
      <c r="I41">
        <v>4000</v>
      </c>
      <c r="J41">
        <v>5</v>
      </c>
      <c r="K41">
        <v>34200</v>
      </c>
      <c r="L41">
        <v>17100</v>
      </c>
      <c r="M41">
        <v>17100</v>
      </c>
      <c r="N41" t="s">
        <v>22</v>
      </c>
      <c r="O41" t="s">
        <v>23</v>
      </c>
      <c r="P41" t="s">
        <v>24</v>
      </c>
    </row>
    <row r="42" spans="1:16" x14ac:dyDescent="0.3">
      <c r="A42" t="s">
        <v>110</v>
      </c>
      <c r="B42" s="1">
        <v>44915</v>
      </c>
      <c r="C42" t="s">
        <v>17</v>
      </c>
      <c r="D42" t="s">
        <v>37</v>
      </c>
      <c r="E42" t="s">
        <v>111</v>
      </c>
      <c r="F42" t="s">
        <v>28</v>
      </c>
      <c r="G42" t="s">
        <v>71</v>
      </c>
      <c r="H42">
        <v>19</v>
      </c>
      <c r="I42">
        <v>35000</v>
      </c>
      <c r="J42">
        <v>5</v>
      </c>
      <c r="K42">
        <v>631750</v>
      </c>
      <c r="L42">
        <v>347462.5</v>
      </c>
      <c r="M42">
        <v>284287.5</v>
      </c>
      <c r="N42" t="s">
        <v>22</v>
      </c>
      <c r="O42" t="s">
        <v>67</v>
      </c>
      <c r="P42" t="s">
        <v>24</v>
      </c>
    </row>
    <row r="43" spans="1:16" x14ac:dyDescent="0.3">
      <c r="A43" t="s">
        <v>112</v>
      </c>
      <c r="B43" s="1">
        <v>45184</v>
      </c>
      <c r="C43" t="s">
        <v>58</v>
      </c>
      <c r="D43" t="s">
        <v>59</v>
      </c>
      <c r="E43" t="s">
        <v>19</v>
      </c>
      <c r="F43" t="s">
        <v>65</v>
      </c>
      <c r="G43" t="s">
        <v>104</v>
      </c>
      <c r="H43">
        <v>43</v>
      </c>
      <c r="I43">
        <v>3000</v>
      </c>
      <c r="J43">
        <v>0</v>
      </c>
      <c r="K43">
        <v>129000</v>
      </c>
      <c r="L43">
        <v>58050</v>
      </c>
      <c r="M43">
        <v>70950</v>
      </c>
      <c r="N43" t="s">
        <v>22</v>
      </c>
      <c r="O43" t="s">
        <v>67</v>
      </c>
      <c r="P43" t="s">
        <v>24</v>
      </c>
    </row>
    <row r="44" spans="1:16" x14ac:dyDescent="0.3">
      <c r="A44" t="s">
        <v>113</v>
      </c>
      <c r="B44" s="1">
        <v>45202</v>
      </c>
      <c r="C44" t="s">
        <v>46</v>
      </c>
      <c r="D44" t="s">
        <v>55</v>
      </c>
      <c r="E44" t="s">
        <v>19</v>
      </c>
      <c r="F44" t="s">
        <v>20</v>
      </c>
      <c r="G44" t="s">
        <v>74</v>
      </c>
      <c r="H44">
        <v>2</v>
      </c>
      <c r="I44">
        <v>4200</v>
      </c>
      <c r="J44">
        <v>0</v>
      </c>
      <c r="K44">
        <v>8400</v>
      </c>
      <c r="L44">
        <v>3360</v>
      </c>
      <c r="M44">
        <v>5040</v>
      </c>
      <c r="N44" t="s">
        <v>49</v>
      </c>
      <c r="O44" t="s">
        <v>67</v>
      </c>
      <c r="P44" t="s">
        <v>24</v>
      </c>
    </row>
    <row r="45" spans="1:16" x14ac:dyDescent="0.3">
      <c r="A45" t="s">
        <v>114</v>
      </c>
      <c r="B45" s="1">
        <v>44696</v>
      </c>
      <c r="C45" t="s">
        <v>58</v>
      </c>
      <c r="D45" t="s">
        <v>64</v>
      </c>
      <c r="E45" t="s">
        <v>38</v>
      </c>
      <c r="F45" t="s">
        <v>20</v>
      </c>
      <c r="G45" t="s">
        <v>115</v>
      </c>
      <c r="H45">
        <v>32</v>
      </c>
      <c r="I45">
        <v>2500</v>
      </c>
      <c r="J45">
        <v>15</v>
      </c>
      <c r="K45">
        <v>68000</v>
      </c>
      <c r="L45">
        <v>27200</v>
      </c>
      <c r="M45">
        <v>40800</v>
      </c>
      <c r="N45" t="s">
        <v>30</v>
      </c>
      <c r="O45" t="s">
        <v>35</v>
      </c>
      <c r="P45" t="s">
        <v>24</v>
      </c>
    </row>
    <row r="46" spans="1:16" x14ac:dyDescent="0.3">
      <c r="A46" t="s">
        <v>116</v>
      </c>
      <c r="B46" s="1">
        <v>44767</v>
      </c>
      <c r="C46" t="s">
        <v>58</v>
      </c>
      <c r="D46" t="s">
        <v>84</v>
      </c>
      <c r="E46" t="s">
        <v>78</v>
      </c>
      <c r="F46" t="s">
        <v>65</v>
      </c>
      <c r="G46" t="s">
        <v>117</v>
      </c>
      <c r="H46">
        <v>36</v>
      </c>
      <c r="I46">
        <v>1200</v>
      </c>
      <c r="J46">
        <v>5</v>
      </c>
      <c r="K46">
        <v>41040</v>
      </c>
      <c r="L46">
        <v>18468</v>
      </c>
      <c r="M46">
        <v>22572</v>
      </c>
      <c r="N46" t="s">
        <v>49</v>
      </c>
      <c r="O46" t="s">
        <v>44</v>
      </c>
      <c r="P46" t="s">
        <v>24</v>
      </c>
    </row>
    <row r="47" spans="1:16" x14ac:dyDescent="0.3">
      <c r="A47" t="s">
        <v>118</v>
      </c>
      <c r="B47" s="1">
        <v>45465</v>
      </c>
      <c r="C47" t="s">
        <v>17</v>
      </c>
      <c r="D47" t="s">
        <v>37</v>
      </c>
      <c r="E47" t="s">
        <v>38</v>
      </c>
      <c r="F47" t="s">
        <v>65</v>
      </c>
      <c r="G47" t="s">
        <v>79</v>
      </c>
      <c r="H47">
        <v>29</v>
      </c>
      <c r="I47">
        <v>900</v>
      </c>
      <c r="J47">
        <v>5</v>
      </c>
      <c r="K47">
        <v>24795</v>
      </c>
      <c r="L47">
        <v>11157.75</v>
      </c>
      <c r="M47">
        <v>13637.25</v>
      </c>
      <c r="N47" t="s">
        <v>49</v>
      </c>
      <c r="O47" t="s">
        <v>50</v>
      </c>
      <c r="P47" t="s">
        <v>24</v>
      </c>
    </row>
    <row r="48" spans="1:16" x14ac:dyDescent="0.3">
      <c r="A48" t="s">
        <v>119</v>
      </c>
      <c r="B48" s="1">
        <v>45043</v>
      </c>
      <c r="C48" t="s">
        <v>17</v>
      </c>
      <c r="D48" t="s">
        <v>42</v>
      </c>
      <c r="E48" t="s">
        <v>60</v>
      </c>
      <c r="F48" t="s">
        <v>20</v>
      </c>
      <c r="G48" t="s">
        <v>61</v>
      </c>
      <c r="H48">
        <v>29</v>
      </c>
      <c r="I48">
        <v>800</v>
      </c>
      <c r="J48">
        <v>0</v>
      </c>
      <c r="K48">
        <v>23200</v>
      </c>
      <c r="L48">
        <v>9280</v>
      </c>
      <c r="M48">
        <v>13920</v>
      </c>
      <c r="N48" t="s">
        <v>30</v>
      </c>
      <c r="O48" t="s">
        <v>50</v>
      </c>
      <c r="P48" t="s">
        <v>24</v>
      </c>
    </row>
    <row r="49" spans="1:16" x14ac:dyDescent="0.3">
      <c r="A49" t="s">
        <v>120</v>
      </c>
      <c r="B49" s="1">
        <v>45210</v>
      </c>
      <c r="C49" t="s">
        <v>26</v>
      </c>
      <c r="D49" t="s">
        <v>27</v>
      </c>
      <c r="E49" t="s">
        <v>78</v>
      </c>
      <c r="F49" t="s">
        <v>20</v>
      </c>
      <c r="G49" t="s">
        <v>115</v>
      </c>
      <c r="H49">
        <v>45</v>
      </c>
      <c r="I49">
        <v>2500</v>
      </c>
      <c r="J49">
        <v>5</v>
      </c>
      <c r="K49">
        <v>106875</v>
      </c>
      <c r="L49">
        <v>42750</v>
      </c>
      <c r="M49">
        <v>64125</v>
      </c>
      <c r="N49" t="s">
        <v>30</v>
      </c>
      <c r="O49" t="s">
        <v>23</v>
      </c>
      <c r="P49" t="s">
        <v>24</v>
      </c>
    </row>
    <row r="50" spans="1:16" x14ac:dyDescent="0.3">
      <c r="A50" t="s">
        <v>121</v>
      </c>
      <c r="B50" s="1">
        <v>45362</v>
      </c>
      <c r="C50" t="s">
        <v>58</v>
      </c>
      <c r="D50" t="s">
        <v>59</v>
      </c>
      <c r="E50" t="s">
        <v>56</v>
      </c>
      <c r="F50" t="s">
        <v>20</v>
      </c>
      <c r="G50" t="s">
        <v>115</v>
      </c>
      <c r="H50">
        <v>25</v>
      </c>
      <c r="I50">
        <v>2500</v>
      </c>
      <c r="J50">
        <v>20</v>
      </c>
      <c r="K50">
        <v>50000</v>
      </c>
      <c r="L50">
        <v>20000</v>
      </c>
      <c r="M50">
        <v>30000</v>
      </c>
      <c r="N50" t="s">
        <v>22</v>
      </c>
      <c r="O50" t="s">
        <v>23</v>
      </c>
      <c r="P50" t="s">
        <v>24</v>
      </c>
    </row>
    <row r="51" spans="1:16" x14ac:dyDescent="0.3">
      <c r="A51" t="s">
        <v>122</v>
      </c>
      <c r="B51" s="1">
        <v>45474</v>
      </c>
      <c r="C51" t="s">
        <v>17</v>
      </c>
      <c r="D51" t="s">
        <v>37</v>
      </c>
      <c r="E51" t="s">
        <v>32</v>
      </c>
      <c r="F51" t="s">
        <v>65</v>
      </c>
      <c r="G51" t="s">
        <v>79</v>
      </c>
      <c r="H51">
        <v>48</v>
      </c>
      <c r="I51">
        <v>900</v>
      </c>
      <c r="J51">
        <v>20</v>
      </c>
      <c r="K51">
        <v>34560</v>
      </c>
      <c r="L51">
        <v>15552</v>
      </c>
      <c r="M51">
        <v>19008</v>
      </c>
      <c r="N51" t="s">
        <v>30</v>
      </c>
      <c r="O51" t="s">
        <v>23</v>
      </c>
      <c r="P51" t="s">
        <v>40</v>
      </c>
    </row>
    <row r="52" spans="1:16" x14ac:dyDescent="0.3">
      <c r="A52" t="s">
        <v>123</v>
      </c>
      <c r="B52" s="1">
        <v>44994</v>
      </c>
      <c r="C52" t="s">
        <v>58</v>
      </c>
      <c r="D52" t="s">
        <v>59</v>
      </c>
      <c r="E52" t="s">
        <v>56</v>
      </c>
      <c r="F52" t="s">
        <v>65</v>
      </c>
      <c r="G52" t="s">
        <v>124</v>
      </c>
      <c r="H52">
        <v>43</v>
      </c>
      <c r="I52">
        <v>18000</v>
      </c>
      <c r="J52">
        <v>15</v>
      </c>
      <c r="K52">
        <v>657900</v>
      </c>
      <c r="L52">
        <v>296055</v>
      </c>
      <c r="M52">
        <v>361845</v>
      </c>
      <c r="N52" t="s">
        <v>49</v>
      </c>
      <c r="O52" t="s">
        <v>44</v>
      </c>
      <c r="P52" t="s">
        <v>24</v>
      </c>
    </row>
    <row r="53" spans="1:16" x14ac:dyDescent="0.3">
      <c r="A53" t="s">
        <v>125</v>
      </c>
      <c r="B53" s="1">
        <v>45597</v>
      </c>
      <c r="C53" t="s">
        <v>58</v>
      </c>
      <c r="D53" t="s">
        <v>64</v>
      </c>
      <c r="E53" t="s">
        <v>38</v>
      </c>
      <c r="F53" t="s">
        <v>28</v>
      </c>
      <c r="G53" t="s">
        <v>95</v>
      </c>
      <c r="H53">
        <v>42</v>
      </c>
      <c r="I53">
        <v>75000</v>
      </c>
      <c r="J53">
        <v>15</v>
      </c>
      <c r="K53">
        <v>2677500</v>
      </c>
      <c r="L53">
        <v>1472625</v>
      </c>
      <c r="M53">
        <v>1204875</v>
      </c>
      <c r="N53" t="s">
        <v>49</v>
      </c>
      <c r="O53" t="s">
        <v>44</v>
      </c>
      <c r="P53" t="s">
        <v>24</v>
      </c>
    </row>
    <row r="54" spans="1:16" x14ac:dyDescent="0.3">
      <c r="A54" t="s">
        <v>126</v>
      </c>
      <c r="B54" s="1">
        <v>44660</v>
      </c>
      <c r="C54" t="s">
        <v>58</v>
      </c>
      <c r="D54" t="s">
        <v>59</v>
      </c>
      <c r="E54" t="s">
        <v>19</v>
      </c>
      <c r="F54" t="s">
        <v>65</v>
      </c>
      <c r="G54" t="s">
        <v>124</v>
      </c>
      <c r="H54">
        <v>22</v>
      </c>
      <c r="I54">
        <v>18000</v>
      </c>
      <c r="J54">
        <v>15</v>
      </c>
      <c r="K54">
        <v>336600</v>
      </c>
      <c r="L54">
        <v>151470</v>
      </c>
      <c r="M54">
        <v>185130</v>
      </c>
      <c r="N54" t="s">
        <v>49</v>
      </c>
      <c r="O54" t="s">
        <v>50</v>
      </c>
      <c r="P54" t="s">
        <v>24</v>
      </c>
    </row>
    <row r="55" spans="1:16" x14ac:dyDescent="0.3">
      <c r="A55" t="s">
        <v>127</v>
      </c>
      <c r="B55" s="1">
        <v>44728</v>
      </c>
      <c r="C55" t="s">
        <v>26</v>
      </c>
      <c r="D55" t="s">
        <v>27</v>
      </c>
      <c r="E55" t="s">
        <v>70</v>
      </c>
      <c r="F55" t="s">
        <v>20</v>
      </c>
      <c r="G55" t="s">
        <v>21</v>
      </c>
      <c r="H55">
        <v>50</v>
      </c>
      <c r="I55">
        <v>3500</v>
      </c>
      <c r="J55">
        <v>0</v>
      </c>
      <c r="K55">
        <v>175000</v>
      </c>
      <c r="L55">
        <v>70000</v>
      </c>
      <c r="M55">
        <v>105000</v>
      </c>
      <c r="N55" t="s">
        <v>30</v>
      </c>
      <c r="O55" t="s">
        <v>44</v>
      </c>
      <c r="P55" t="s">
        <v>24</v>
      </c>
    </row>
    <row r="56" spans="1:16" x14ac:dyDescent="0.3">
      <c r="A56" t="s">
        <v>128</v>
      </c>
      <c r="B56" s="1">
        <v>44612</v>
      </c>
      <c r="C56" t="s">
        <v>46</v>
      </c>
      <c r="D56" t="s">
        <v>47</v>
      </c>
      <c r="E56" t="s">
        <v>78</v>
      </c>
      <c r="F56" t="s">
        <v>65</v>
      </c>
      <c r="G56" t="s">
        <v>117</v>
      </c>
      <c r="H56">
        <v>37</v>
      </c>
      <c r="I56">
        <v>1200</v>
      </c>
      <c r="J56">
        <v>5</v>
      </c>
      <c r="K56">
        <v>42180</v>
      </c>
      <c r="L56">
        <v>18981</v>
      </c>
      <c r="M56">
        <v>23199</v>
      </c>
      <c r="N56" t="s">
        <v>22</v>
      </c>
      <c r="O56" t="s">
        <v>50</v>
      </c>
      <c r="P56" t="s">
        <v>24</v>
      </c>
    </row>
    <row r="57" spans="1:16" x14ac:dyDescent="0.3">
      <c r="A57" t="s">
        <v>129</v>
      </c>
      <c r="B57" s="1">
        <v>45266</v>
      </c>
      <c r="C57" t="s">
        <v>26</v>
      </c>
      <c r="D57" t="s">
        <v>27</v>
      </c>
      <c r="E57" t="s">
        <v>73</v>
      </c>
      <c r="F57" t="s">
        <v>28</v>
      </c>
      <c r="G57" t="s">
        <v>29</v>
      </c>
      <c r="H57">
        <v>2</v>
      </c>
      <c r="I57">
        <v>15000</v>
      </c>
      <c r="J57">
        <v>10</v>
      </c>
      <c r="K57">
        <v>27000</v>
      </c>
      <c r="L57">
        <v>14850</v>
      </c>
      <c r="M57">
        <v>12150</v>
      </c>
      <c r="N57" t="s">
        <v>22</v>
      </c>
      <c r="O57" t="s">
        <v>23</v>
      </c>
      <c r="P57" t="s">
        <v>40</v>
      </c>
    </row>
    <row r="58" spans="1:16" x14ac:dyDescent="0.3">
      <c r="A58" t="s">
        <v>130</v>
      </c>
      <c r="B58" s="1">
        <v>45345</v>
      </c>
      <c r="C58" t="s">
        <v>46</v>
      </c>
      <c r="D58" t="s">
        <v>47</v>
      </c>
      <c r="E58" t="s">
        <v>38</v>
      </c>
      <c r="F58" t="s">
        <v>20</v>
      </c>
      <c r="G58" t="s">
        <v>21</v>
      </c>
      <c r="H58">
        <v>45</v>
      </c>
      <c r="I58">
        <v>3500</v>
      </c>
      <c r="J58">
        <v>10</v>
      </c>
      <c r="K58">
        <v>141750</v>
      </c>
      <c r="L58">
        <v>56700</v>
      </c>
      <c r="M58">
        <v>85050</v>
      </c>
      <c r="N58" t="s">
        <v>30</v>
      </c>
      <c r="O58" t="s">
        <v>67</v>
      </c>
      <c r="P58" t="s">
        <v>40</v>
      </c>
    </row>
    <row r="59" spans="1:16" x14ac:dyDescent="0.3">
      <c r="A59" t="s">
        <v>131</v>
      </c>
      <c r="B59" s="1">
        <v>44632</v>
      </c>
      <c r="C59" t="s">
        <v>58</v>
      </c>
      <c r="D59" t="s">
        <v>64</v>
      </c>
      <c r="E59" t="s">
        <v>70</v>
      </c>
      <c r="F59" t="s">
        <v>28</v>
      </c>
      <c r="G59" t="s">
        <v>29</v>
      </c>
      <c r="H59">
        <v>42</v>
      </c>
      <c r="I59">
        <v>15000</v>
      </c>
      <c r="J59">
        <v>10</v>
      </c>
      <c r="K59">
        <v>567000</v>
      </c>
      <c r="L59">
        <v>311850</v>
      </c>
      <c r="M59">
        <v>255150</v>
      </c>
      <c r="N59" t="s">
        <v>49</v>
      </c>
      <c r="O59" t="s">
        <v>23</v>
      </c>
      <c r="P59" t="s">
        <v>24</v>
      </c>
    </row>
    <row r="60" spans="1:16" x14ac:dyDescent="0.3">
      <c r="A60" t="s">
        <v>132</v>
      </c>
      <c r="B60" s="1">
        <v>44756</v>
      </c>
      <c r="C60" t="s">
        <v>17</v>
      </c>
      <c r="D60" t="s">
        <v>42</v>
      </c>
      <c r="E60" t="s">
        <v>60</v>
      </c>
      <c r="F60" t="s">
        <v>20</v>
      </c>
      <c r="G60" t="s">
        <v>115</v>
      </c>
      <c r="H60">
        <v>12</v>
      </c>
      <c r="I60">
        <v>2500</v>
      </c>
      <c r="J60">
        <v>20</v>
      </c>
      <c r="K60">
        <v>24000</v>
      </c>
      <c r="L60">
        <v>9600</v>
      </c>
      <c r="M60">
        <v>14400</v>
      </c>
      <c r="N60" t="s">
        <v>22</v>
      </c>
      <c r="O60" t="s">
        <v>67</v>
      </c>
      <c r="P60" t="s">
        <v>24</v>
      </c>
    </row>
    <row r="61" spans="1:16" x14ac:dyDescent="0.3">
      <c r="A61" t="s">
        <v>133</v>
      </c>
      <c r="B61" s="1">
        <v>45488</v>
      </c>
      <c r="C61" t="s">
        <v>58</v>
      </c>
      <c r="D61" t="s">
        <v>64</v>
      </c>
      <c r="E61" t="s">
        <v>38</v>
      </c>
      <c r="F61" t="s">
        <v>33</v>
      </c>
      <c r="G61" t="s">
        <v>34</v>
      </c>
      <c r="H61">
        <v>16</v>
      </c>
      <c r="I61">
        <v>25000</v>
      </c>
      <c r="J61">
        <v>0</v>
      </c>
      <c r="K61">
        <v>400000</v>
      </c>
      <c r="L61">
        <v>200000</v>
      </c>
      <c r="M61">
        <v>200000</v>
      </c>
      <c r="N61" t="s">
        <v>49</v>
      </c>
      <c r="O61" t="s">
        <v>44</v>
      </c>
      <c r="P61" t="s">
        <v>24</v>
      </c>
    </row>
    <row r="62" spans="1:16" x14ac:dyDescent="0.3">
      <c r="A62" t="s">
        <v>134</v>
      </c>
      <c r="B62" s="1">
        <v>45462</v>
      </c>
      <c r="C62" t="s">
        <v>58</v>
      </c>
      <c r="D62" t="s">
        <v>59</v>
      </c>
      <c r="E62" t="s">
        <v>56</v>
      </c>
      <c r="F62" t="s">
        <v>65</v>
      </c>
      <c r="G62" t="s">
        <v>124</v>
      </c>
      <c r="H62">
        <v>12</v>
      </c>
      <c r="I62">
        <v>18000</v>
      </c>
      <c r="J62">
        <v>15</v>
      </c>
      <c r="K62">
        <v>183600</v>
      </c>
      <c r="L62">
        <v>82620</v>
      </c>
      <c r="M62">
        <v>100980</v>
      </c>
      <c r="N62" t="s">
        <v>49</v>
      </c>
      <c r="O62" t="s">
        <v>50</v>
      </c>
      <c r="P62" t="s">
        <v>24</v>
      </c>
    </row>
    <row r="63" spans="1:16" x14ac:dyDescent="0.3">
      <c r="A63" t="s">
        <v>135</v>
      </c>
      <c r="B63" s="1">
        <v>45208</v>
      </c>
      <c r="C63" t="s">
        <v>17</v>
      </c>
      <c r="D63" t="s">
        <v>42</v>
      </c>
      <c r="E63" t="s">
        <v>56</v>
      </c>
      <c r="F63" t="s">
        <v>20</v>
      </c>
      <c r="G63" t="s">
        <v>21</v>
      </c>
      <c r="H63">
        <v>16</v>
      </c>
      <c r="I63">
        <v>3500</v>
      </c>
      <c r="J63">
        <v>15</v>
      </c>
      <c r="K63">
        <v>47600</v>
      </c>
      <c r="L63">
        <v>19040</v>
      </c>
      <c r="M63">
        <v>28560</v>
      </c>
      <c r="N63" t="s">
        <v>22</v>
      </c>
      <c r="O63" t="s">
        <v>44</v>
      </c>
      <c r="P63" t="s">
        <v>24</v>
      </c>
    </row>
    <row r="64" spans="1:16" x14ac:dyDescent="0.3">
      <c r="A64" t="s">
        <v>136</v>
      </c>
      <c r="B64" s="1">
        <v>45494</v>
      </c>
      <c r="C64" t="s">
        <v>58</v>
      </c>
      <c r="D64" t="s">
        <v>59</v>
      </c>
      <c r="E64" t="s">
        <v>56</v>
      </c>
      <c r="F64" t="s">
        <v>28</v>
      </c>
      <c r="G64" t="s">
        <v>71</v>
      </c>
      <c r="H64">
        <v>15</v>
      </c>
      <c r="I64">
        <v>35000</v>
      </c>
      <c r="J64">
        <v>15</v>
      </c>
      <c r="K64">
        <v>446250</v>
      </c>
      <c r="L64">
        <v>245437.5</v>
      </c>
      <c r="M64">
        <v>200812.5</v>
      </c>
      <c r="N64" t="s">
        <v>49</v>
      </c>
      <c r="O64" t="s">
        <v>67</v>
      </c>
      <c r="P64" t="s">
        <v>24</v>
      </c>
    </row>
    <row r="65" spans="1:16" x14ac:dyDescent="0.3">
      <c r="A65" t="s">
        <v>137</v>
      </c>
      <c r="B65" s="1">
        <v>45276</v>
      </c>
      <c r="C65" t="s">
        <v>17</v>
      </c>
      <c r="D65" t="s">
        <v>37</v>
      </c>
      <c r="E65" t="s">
        <v>111</v>
      </c>
      <c r="F65" t="s">
        <v>33</v>
      </c>
      <c r="G65" t="s">
        <v>34</v>
      </c>
      <c r="H65">
        <v>45</v>
      </c>
      <c r="I65">
        <v>25000</v>
      </c>
      <c r="J65">
        <v>15</v>
      </c>
      <c r="K65">
        <v>956250</v>
      </c>
      <c r="L65">
        <v>478125</v>
      </c>
      <c r="M65">
        <v>478125</v>
      </c>
      <c r="N65" t="s">
        <v>49</v>
      </c>
      <c r="O65" t="s">
        <v>50</v>
      </c>
      <c r="P65" t="s">
        <v>24</v>
      </c>
    </row>
    <row r="66" spans="1:16" x14ac:dyDescent="0.3">
      <c r="A66" t="s">
        <v>138</v>
      </c>
      <c r="B66" s="1">
        <v>44989</v>
      </c>
      <c r="C66" t="s">
        <v>46</v>
      </c>
      <c r="D66" t="s">
        <v>55</v>
      </c>
      <c r="E66" t="s">
        <v>52</v>
      </c>
      <c r="F66" t="s">
        <v>20</v>
      </c>
      <c r="G66" t="s">
        <v>74</v>
      </c>
      <c r="H66">
        <v>14</v>
      </c>
      <c r="I66">
        <v>4200</v>
      </c>
      <c r="J66">
        <v>15</v>
      </c>
      <c r="K66">
        <v>49980</v>
      </c>
      <c r="L66">
        <v>19992</v>
      </c>
      <c r="M66">
        <v>29988</v>
      </c>
      <c r="N66" t="s">
        <v>22</v>
      </c>
      <c r="O66" t="s">
        <v>67</v>
      </c>
      <c r="P66" t="s">
        <v>24</v>
      </c>
    </row>
    <row r="67" spans="1:16" x14ac:dyDescent="0.3">
      <c r="A67" t="s">
        <v>139</v>
      </c>
      <c r="B67" s="1">
        <v>45585</v>
      </c>
      <c r="C67" t="s">
        <v>17</v>
      </c>
      <c r="D67" t="s">
        <v>18</v>
      </c>
      <c r="E67" t="s">
        <v>19</v>
      </c>
      <c r="F67" t="s">
        <v>33</v>
      </c>
      <c r="G67" t="s">
        <v>76</v>
      </c>
      <c r="H67">
        <v>24</v>
      </c>
      <c r="I67">
        <v>8500</v>
      </c>
      <c r="J67">
        <v>5</v>
      </c>
      <c r="K67">
        <v>193800</v>
      </c>
      <c r="L67">
        <v>96900</v>
      </c>
      <c r="M67">
        <v>96900</v>
      </c>
      <c r="N67" t="s">
        <v>30</v>
      </c>
      <c r="O67" t="s">
        <v>67</v>
      </c>
      <c r="P67" t="s">
        <v>24</v>
      </c>
    </row>
    <row r="68" spans="1:16" x14ac:dyDescent="0.3">
      <c r="A68" t="s">
        <v>140</v>
      </c>
      <c r="B68" s="1">
        <v>44813</v>
      </c>
      <c r="C68" t="s">
        <v>26</v>
      </c>
      <c r="D68" t="s">
        <v>27</v>
      </c>
      <c r="E68" t="s">
        <v>111</v>
      </c>
      <c r="F68" t="s">
        <v>33</v>
      </c>
      <c r="G68" t="s">
        <v>76</v>
      </c>
      <c r="H68">
        <v>41</v>
      </c>
      <c r="I68">
        <v>8500</v>
      </c>
      <c r="J68">
        <v>15</v>
      </c>
      <c r="K68">
        <v>296225</v>
      </c>
      <c r="L68">
        <v>148112.5</v>
      </c>
      <c r="M68">
        <v>148112.5</v>
      </c>
      <c r="N68" t="s">
        <v>30</v>
      </c>
      <c r="O68" t="s">
        <v>67</v>
      </c>
      <c r="P68" t="s">
        <v>24</v>
      </c>
    </row>
    <row r="69" spans="1:16" x14ac:dyDescent="0.3">
      <c r="A69" t="s">
        <v>141</v>
      </c>
      <c r="B69" s="1">
        <v>45123</v>
      </c>
      <c r="C69" t="s">
        <v>58</v>
      </c>
      <c r="D69" t="s">
        <v>59</v>
      </c>
      <c r="E69" t="s">
        <v>70</v>
      </c>
      <c r="F69" t="s">
        <v>20</v>
      </c>
      <c r="G69" t="s">
        <v>21</v>
      </c>
      <c r="H69">
        <v>17</v>
      </c>
      <c r="I69">
        <v>3500</v>
      </c>
      <c r="J69">
        <v>15</v>
      </c>
      <c r="K69">
        <v>50575</v>
      </c>
      <c r="L69">
        <v>20230</v>
      </c>
      <c r="M69">
        <v>30345</v>
      </c>
      <c r="N69" t="s">
        <v>30</v>
      </c>
      <c r="O69" t="s">
        <v>23</v>
      </c>
      <c r="P69" t="s">
        <v>24</v>
      </c>
    </row>
    <row r="70" spans="1:16" x14ac:dyDescent="0.3">
      <c r="A70" t="s">
        <v>142</v>
      </c>
      <c r="B70" s="1">
        <v>45507</v>
      </c>
      <c r="C70" t="s">
        <v>26</v>
      </c>
      <c r="D70" t="s">
        <v>27</v>
      </c>
      <c r="E70" t="s">
        <v>78</v>
      </c>
      <c r="F70" t="s">
        <v>33</v>
      </c>
      <c r="G70" t="s">
        <v>39</v>
      </c>
      <c r="H70">
        <v>16</v>
      </c>
      <c r="I70">
        <v>5000</v>
      </c>
      <c r="J70">
        <v>0</v>
      </c>
      <c r="K70">
        <v>80000</v>
      </c>
      <c r="L70">
        <v>40000</v>
      </c>
      <c r="M70">
        <v>40000</v>
      </c>
      <c r="N70" t="s">
        <v>49</v>
      </c>
      <c r="O70" t="s">
        <v>67</v>
      </c>
      <c r="P70" t="s">
        <v>40</v>
      </c>
    </row>
    <row r="71" spans="1:16" x14ac:dyDescent="0.3">
      <c r="A71" t="s">
        <v>143</v>
      </c>
      <c r="B71" s="1">
        <v>45010</v>
      </c>
      <c r="C71" t="s">
        <v>58</v>
      </c>
      <c r="D71" t="s">
        <v>59</v>
      </c>
      <c r="E71" t="s">
        <v>60</v>
      </c>
      <c r="F71" t="s">
        <v>33</v>
      </c>
      <c r="G71" t="s">
        <v>43</v>
      </c>
      <c r="H71">
        <v>28</v>
      </c>
      <c r="I71">
        <v>4000</v>
      </c>
      <c r="J71">
        <v>10</v>
      </c>
      <c r="K71">
        <v>100800</v>
      </c>
      <c r="L71">
        <v>50400</v>
      </c>
      <c r="M71">
        <v>50400</v>
      </c>
      <c r="N71" t="s">
        <v>22</v>
      </c>
      <c r="O71" t="s">
        <v>35</v>
      </c>
      <c r="P71" t="s">
        <v>40</v>
      </c>
    </row>
    <row r="72" spans="1:16" x14ac:dyDescent="0.3">
      <c r="A72" t="s">
        <v>144</v>
      </c>
      <c r="B72" s="1">
        <v>44767</v>
      </c>
      <c r="C72" t="s">
        <v>46</v>
      </c>
      <c r="D72" t="s">
        <v>47</v>
      </c>
      <c r="E72" t="s">
        <v>73</v>
      </c>
      <c r="F72" t="s">
        <v>28</v>
      </c>
      <c r="G72" t="s">
        <v>87</v>
      </c>
      <c r="H72">
        <v>16</v>
      </c>
      <c r="I72">
        <v>45000</v>
      </c>
      <c r="J72">
        <v>5</v>
      </c>
      <c r="K72">
        <v>684000</v>
      </c>
      <c r="L72">
        <v>376200</v>
      </c>
      <c r="M72">
        <v>307800</v>
      </c>
      <c r="N72" t="s">
        <v>30</v>
      </c>
      <c r="O72" t="s">
        <v>44</v>
      </c>
      <c r="P72" t="s">
        <v>40</v>
      </c>
    </row>
    <row r="73" spans="1:16" x14ac:dyDescent="0.3">
      <c r="A73" t="s">
        <v>145</v>
      </c>
      <c r="B73" s="1">
        <v>44575</v>
      </c>
      <c r="C73" t="s">
        <v>58</v>
      </c>
      <c r="D73" t="s">
        <v>64</v>
      </c>
      <c r="E73" t="s">
        <v>38</v>
      </c>
      <c r="F73" t="s">
        <v>65</v>
      </c>
      <c r="G73" t="s">
        <v>124</v>
      </c>
      <c r="H73">
        <v>3</v>
      </c>
      <c r="I73">
        <v>18000</v>
      </c>
      <c r="J73">
        <v>5</v>
      </c>
      <c r="K73">
        <v>51300</v>
      </c>
      <c r="L73">
        <v>23085</v>
      </c>
      <c r="M73">
        <v>28215</v>
      </c>
      <c r="N73" t="s">
        <v>22</v>
      </c>
      <c r="O73" t="s">
        <v>50</v>
      </c>
      <c r="P73" t="s">
        <v>24</v>
      </c>
    </row>
    <row r="74" spans="1:16" x14ac:dyDescent="0.3">
      <c r="A74" t="s">
        <v>146</v>
      </c>
      <c r="B74" s="1">
        <v>45446</v>
      </c>
      <c r="C74" t="s">
        <v>46</v>
      </c>
      <c r="D74" t="s">
        <v>55</v>
      </c>
      <c r="E74" t="s">
        <v>38</v>
      </c>
      <c r="F74" t="s">
        <v>20</v>
      </c>
      <c r="G74" t="s">
        <v>115</v>
      </c>
      <c r="H74">
        <v>8</v>
      </c>
      <c r="I74">
        <v>2500</v>
      </c>
      <c r="J74">
        <v>20</v>
      </c>
      <c r="K74">
        <v>16000</v>
      </c>
      <c r="L74">
        <v>6400</v>
      </c>
      <c r="M74">
        <v>9600</v>
      </c>
      <c r="N74" t="s">
        <v>22</v>
      </c>
      <c r="O74" t="s">
        <v>44</v>
      </c>
      <c r="P74" t="s">
        <v>24</v>
      </c>
    </row>
    <row r="75" spans="1:16" x14ac:dyDescent="0.3">
      <c r="A75" t="s">
        <v>147</v>
      </c>
      <c r="B75" s="1">
        <v>45104</v>
      </c>
      <c r="C75" t="s">
        <v>46</v>
      </c>
      <c r="D75" t="s">
        <v>47</v>
      </c>
      <c r="E75" t="s">
        <v>56</v>
      </c>
      <c r="F75" t="s">
        <v>20</v>
      </c>
      <c r="G75" t="s">
        <v>61</v>
      </c>
      <c r="H75">
        <v>39</v>
      </c>
      <c r="I75">
        <v>800</v>
      </c>
      <c r="J75">
        <v>20</v>
      </c>
      <c r="K75">
        <v>24960</v>
      </c>
      <c r="L75">
        <v>9984</v>
      </c>
      <c r="M75">
        <v>14976</v>
      </c>
      <c r="N75" t="s">
        <v>49</v>
      </c>
      <c r="O75" t="s">
        <v>35</v>
      </c>
      <c r="P75" t="s">
        <v>24</v>
      </c>
    </row>
    <row r="76" spans="1:16" x14ac:dyDescent="0.3">
      <c r="A76" t="s">
        <v>148</v>
      </c>
      <c r="B76" s="1">
        <v>45466</v>
      </c>
      <c r="C76" t="s">
        <v>17</v>
      </c>
      <c r="D76" t="s">
        <v>42</v>
      </c>
      <c r="E76" t="s">
        <v>32</v>
      </c>
      <c r="F76" t="s">
        <v>33</v>
      </c>
      <c r="G76" t="s">
        <v>43</v>
      </c>
      <c r="H76">
        <v>35</v>
      </c>
      <c r="I76">
        <v>4000</v>
      </c>
      <c r="J76">
        <v>15</v>
      </c>
      <c r="K76">
        <v>119000</v>
      </c>
      <c r="L76">
        <v>59500</v>
      </c>
      <c r="M76">
        <v>59500</v>
      </c>
      <c r="N76" t="s">
        <v>30</v>
      </c>
      <c r="O76" t="s">
        <v>67</v>
      </c>
      <c r="P76" t="s">
        <v>24</v>
      </c>
    </row>
    <row r="77" spans="1:16" x14ac:dyDescent="0.3">
      <c r="A77" t="s">
        <v>149</v>
      </c>
      <c r="B77" s="1">
        <v>44634</v>
      </c>
      <c r="C77" t="s">
        <v>17</v>
      </c>
      <c r="D77" t="s">
        <v>42</v>
      </c>
      <c r="E77" t="s">
        <v>73</v>
      </c>
      <c r="F77" t="s">
        <v>28</v>
      </c>
      <c r="G77" t="s">
        <v>95</v>
      </c>
      <c r="H77">
        <v>15</v>
      </c>
      <c r="I77">
        <v>75000</v>
      </c>
      <c r="J77">
        <v>20</v>
      </c>
      <c r="K77">
        <v>900000</v>
      </c>
      <c r="L77">
        <v>495000</v>
      </c>
      <c r="M77">
        <v>405000</v>
      </c>
      <c r="N77" t="s">
        <v>30</v>
      </c>
      <c r="O77" t="s">
        <v>50</v>
      </c>
      <c r="P77" t="s">
        <v>40</v>
      </c>
    </row>
    <row r="78" spans="1:16" x14ac:dyDescent="0.3">
      <c r="A78" t="s">
        <v>150</v>
      </c>
      <c r="B78" s="1">
        <v>44645</v>
      </c>
      <c r="C78" t="s">
        <v>46</v>
      </c>
      <c r="D78" t="s">
        <v>55</v>
      </c>
      <c r="E78" t="s">
        <v>111</v>
      </c>
      <c r="F78" t="s">
        <v>65</v>
      </c>
      <c r="G78" t="s">
        <v>124</v>
      </c>
      <c r="H78">
        <v>12</v>
      </c>
      <c r="I78">
        <v>18000</v>
      </c>
      <c r="J78">
        <v>20</v>
      </c>
      <c r="K78">
        <v>172800</v>
      </c>
      <c r="L78">
        <v>77760</v>
      </c>
      <c r="M78">
        <v>95040</v>
      </c>
      <c r="N78" t="s">
        <v>22</v>
      </c>
      <c r="O78" t="s">
        <v>23</v>
      </c>
      <c r="P78" t="s">
        <v>24</v>
      </c>
    </row>
    <row r="79" spans="1:16" x14ac:dyDescent="0.3">
      <c r="A79" t="s">
        <v>151</v>
      </c>
      <c r="B79" s="1">
        <v>44728</v>
      </c>
      <c r="C79" t="s">
        <v>17</v>
      </c>
      <c r="D79" t="s">
        <v>37</v>
      </c>
      <c r="E79" t="s">
        <v>70</v>
      </c>
      <c r="F79" t="s">
        <v>33</v>
      </c>
      <c r="G79" t="s">
        <v>39</v>
      </c>
      <c r="H79">
        <v>11</v>
      </c>
      <c r="I79">
        <v>5000</v>
      </c>
      <c r="J79">
        <v>10</v>
      </c>
      <c r="K79">
        <v>49500</v>
      </c>
      <c r="L79">
        <v>24750</v>
      </c>
      <c r="M79">
        <v>24750</v>
      </c>
      <c r="N79" t="s">
        <v>22</v>
      </c>
      <c r="O79" t="s">
        <v>23</v>
      </c>
      <c r="P79" t="s">
        <v>24</v>
      </c>
    </row>
    <row r="80" spans="1:16" x14ac:dyDescent="0.3">
      <c r="A80" t="s">
        <v>152</v>
      </c>
      <c r="B80" s="1">
        <v>45129</v>
      </c>
      <c r="C80" t="s">
        <v>58</v>
      </c>
      <c r="D80" t="s">
        <v>64</v>
      </c>
      <c r="E80" t="s">
        <v>56</v>
      </c>
      <c r="F80" t="s">
        <v>65</v>
      </c>
      <c r="G80" t="s">
        <v>117</v>
      </c>
      <c r="H80">
        <v>21</v>
      </c>
      <c r="I80">
        <v>1200</v>
      </c>
      <c r="J80">
        <v>10</v>
      </c>
      <c r="K80">
        <v>22680</v>
      </c>
      <c r="L80">
        <v>10206</v>
      </c>
      <c r="M80">
        <v>12474</v>
      </c>
      <c r="N80" t="s">
        <v>30</v>
      </c>
      <c r="O80" t="s">
        <v>23</v>
      </c>
      <c r="P80" t="s">
        <v>24</v>
      </c>
    </row>
    <row r="81" spans="1:16" x14ac:dyDescent="0.3">
      <c r="A81" t="s">
        <v>153</v>
      </c>
      <c r="B81" s="1">
        <v>45562</v>
      </c>
      <c r="C81" t="s">
        <v>26</v>
      </c>
      <c r="D81" t="s">
        <v>69</v>
      </c>
      <c r="E81" t="s">
        <v>32</v>
      </c>
      <c r="F81" t="s">
        <v>28</v>
      </c>
      <c r="G81" t="s">
        <v>87</v>
      </c>
      <c r="H81">
        <v>34</v>
      </c>
      <c r="I81">
        <v>45000</v>
      </c>
      <c r="J81">
        <v>10</v>
      </c>
      <c r="K81">
        <v>1377000</v>
      </c>
      <c r="L81">
        <v>757350</v>
      </c>
      <c r="M81">
        <v>619650</v>
      </c>
      <c r="N81" t="s">
        <v>49</v>
      </c>
      <c r="O81" t="s">
        <v>23</v>
      </c>
      <c r="P81" t="s">
        <v>40</v>
      </c>
    </row>
    <row r="82" spans="1:16" x14ac:dyDescent="0.3">
      <c r="A82" t="s">
        <v>154</v>
      </c>
      <c r="B82" s="1">
        <v>44658</v>
      </c>
      <c r="C82" t="s">
        <v>17</v>
      </c>
      <c r="D82" t="s">
        <v>42</v>
      </c>
      <c r="E82" t="s">
        <v>78</v>
      </c>
      <c r="F82" t="s">
        <v>33</v>
      </c>
      <c r="G82" t="s">
        <v>48</v>
      </c>
      <c r="H82">
        <v>45</v>
      </c>
      <c r="I82">
        <v>1500</v>
      </c>
      <c r="J82">
        <v>15</v>
      </c>
      <c r="K82">
        <v>57375</v>
      </c>
      <c r="L82">
        <v>28687.5</v>
      </c>
      <c r="M82">
        <v>28687.5</v>
      </c>
      <c r="N82" t="s">
        <v>30</v>
      </c>
      <c r="O82" t="s">
        <v>67</v>
      </c>
      <c r="P82" t="s">
        <v>24</v>
      </c>
    </row>
    <row r="83" spans="1:16" x14ac:dyDescent="0.3">
      <c r="A83" t="s">
        <v>155</v>
      </c>
      <c r="B83" s="1">
        <v>45039</v>
      </c>
      <c r="C83" t="s">
        <v>46</v>
      </c>
      <c r="D83" t="s">
        <v>55</v>
      </c>
      <c r="E83" t="s">
        <v>111</v>
      </c>
      <c r="F83" t="s">
        <v>28</v>
      </c>
      <c r="G83" t="s">
        <v>29</v>
      </c>
      <c r="H83">
        <v>27</v>
      </c>
      <c r="I83">
        <v>15000</v>
      </c>
      <c r="J83">
        <v>0</v>
      </c>
      <c r="K83">
        <v>405000</v>
      </c>
      <c r="L83">
        <v>222750</v>
      </c>
      <c r="M83">
        <v>182250</v>
      </c>
      <c r="N83" t="s">
        <v>30</v>
      </c>
      <c r="O83" t="s">
        <v>23</v>
      </c>
      <c r="P83" t="s">
        <v>24</v>
      </c>
    </row>
    <row r="84" spans="1:16" x14ac:dyDescent="0.3">
      <c r="A84" t="s">
        <v>156</v>
      </c>
      <c r="B84" s="1">
        <v>44794</v>
      </c>
      <c r="C84" t="s">
        <v>46</v>
      </c>
      <c r="D84" t="s">
        <v>55</v>
      </c>
      <c r="E84" t="s">
        <v>73</v>
      </c>
      <c r="F84" t="s">
        <v>33</v>
      </c>
      <c r="G84" t="s">
        <v>48</v>
      </c>
      <c r="H84">
        <v>31</v>
      </c>
      <c r="I84">
        <v>1500</v>
      </c>
      <c r="J84">
        <v>15</v>
      </c>
      <c r="K84">
        <v>39525</v>
      </c>
      <c r="L84">
        <v>19762.5</v>
      </c>
      <c r="M84">
        <v>19762.5</v>
      </c>
      <c r="N84" t="s">
        <v>49</v>
      </c>
      <c r="O84" t="s">
        <v>67</v>
      </c>
      <c r="P84" t="s">
        <v>24</v>
      </c>
    </row>
    <row r="85" spans="1:16" x14ac:dyDescent="0.3">
      <c r="A85" t="s">
        <v>157</v>
      </c>
      <c r="B85" s="1">
        <v>44847</v>
      </c>
      <c r="C85" t="s">
        <v>46</v>
      </c>
      <c r="D85" t="s">
        <v>47</v>
      </c>
      <c r="E85" t="s">
        <v>52</v>
      </c>
      <c r="F85" t="s">
        <v>33</v>
      </c>
      <c r="G85" t="s">
        <v>48</v>
      </c>
      <c r="H85">
        <v>22</v>
      </c>
      <c r="I85">
        <v>1500</v>
      </c>
      <c r="J85">
        <v>20</v>
      </c>
      <c r="K85">
        <v>26400</v>
      </c>
      <c r="L85">
        <v>13200</v>
      </c>
      <c r="M85">
        <v>13200</v>
      </c>
      <c r="N85" t="s">
        <v>30</v>
      </c>
      <c r="O85" t="s">
        <v>50</v>
      </c>
      <c r="P85" t="s">
        <v>24</v>
      </c>
    </row>
    <row r="86" spans="1:16" x14ac:dyDescent="0.3">
      <c r="A86" t="s">
        <v>158</v>
      </c>
      <c r="B86" s="1">
        <v>45165</v>
      </c>
      <c r="C86" t="s">
        <v>58</v>
      </c>
      <c r="D86" t="s">
        <v>84</v>
      </c>
      <c r="E86" t="s">
        <v>60</v>
      </c>
      <c r="F86" t="s">
        <v>65</v>
      </c>
      <c r="G86" t="s">
        <v>124</v>
      </c>
      <c r="H86">
        <v>22</v>
      </c>
      <c r="I86">
        <v>18000</v>
      </c>
      <c r="J86">
        <v>20</v>
      </c>
      <c r="K86">
        <v>316800</v>
      </c>
      <c r="L86">
        <v>142560</v>
      </c>
      <c r="M86">
        <v>174240</v>
      </c>
      <c r="N86" t="s">
        <v>49</v>
      </c>
      <c r="O86" t="s">
        <v>23</v>
      </c>
      <c r="P86" t="s">
        <v>40</v>
      </c>
    </row>
    <row r="87" spans="1:16" x14ac:dyDescent="0.3">
      <c r="A87" t="s">
        <v>159</v>
      </c>
      <c r="B87" s="1">
        <v>45197</v>
      </c>
      <c r="C87" t="s">
        <v>46</v>
      </c>
      <c r="D87" t="s">
        <v>47</v>
      </c>
      <c r="E87" t="s">
        <v>38</v>
      </c>
      <c r="F87" t="s">
        <v>65</v>
      </c>
      <c r="G87" t="s">
        <v>104</v>
      </c>
      <c r="H87">
        <v>50</v>
      </c>
      <c r="I87">
        <v>3000</v>
      </c>
      <c r="J87">
        <v>15</v>
      </c>
      <c r="K87">
        <v>127500</v>
      </c>
      <c r="L87">
        <v>57375</v>
      </c>
      <c r="M87">
        <v>70125</v>
      </c>
      <c r="N87" t="s">
        <v>49</v>
      </c>
      <c r="O87" t="s">
        <v>23</v>
      </c>
      <c r="P87" t="s">
        <v>24</v>
      </c>
    </row>
    <row r="88" spans="1:16" x14ac:dyDescent="0.3">
      <c r="A88" t="s">
        <v>160</v>
      </c>
      <c r="B88" s="1">
        <v>45304</v>
      </c>
      <c r="C88" t="s">
        <v>46</v>
      </c>
      <c r="D88" t="s">
        <v>55</v>
      </c>
      <c r="E88" t="s">
        <v>56</v>
      </c>
      <c r="F88" t="s">
        <v>20</v>
      </c>
      <c r="G88" t="s">
        <v>53</v>
      </c>
      <c r="H88">
        <v>38</v>
      </c>
      <c r="I88">
        <v>600</v>
      </c>
      <c r="J88">
        <v>10</v>
      </c>
      <c r="K88">
        <v>20520</v>
      </c>
      <c r="L88">
        <v>8208</v>
      </c>
      <c r="M88">
        <v>12312</v>
      </c>
      <c r="N88" t="s">
        <v>49</v>
      </c>
      <c r="O88" t="s">
        <v>35</v>
      </c>
      <c r="P88" t="s">
        <v>24</v>
      </c>
    </row>
    <row r="89" spans="1:16" x14ac:dyDescent="0.3">
      <c r="A89" t="s">
        <v>161</v>
      </c>
      <c r="B89" s="1">
        <v>45580</v>
      </c>
      <c r="C89" t="s">
        <v>26</v>
      </c>
      <c r="D89" t="s">
        <v>27</v>
      </c>
      <c r="E89" t="s">
        <v>32</v>
      </c>
      <c r="F89" t="s">
        <v>20</v>
      </c>
      <c r="G89" t="s">
        <v>21</v>
      </c>
      <c r="H89">
        <v>31</v>
      </c>
      <c r="I89">
        <v>3500</v>
      </c>
      <c r="J89">
        <v>10</v>
      </c>
      <c r="K89">
        <v>97650</v>
      </c>
      <c r="L89">
        <v>39060</v>
      </c>
      <c r="M89">
        <v>58590</v>
      </c>
      <c r="N89" t="s">
        <v>22</v>
      </c>
      <c r="O89" t="s">
        <v>23</v>
      </c>
      <c r="P89" t="s">
        <v>24</v>
      </c>
    </row>
    <row r="90" spans="1:16" x14ac:dyDescent="0.3">
      <c r="A90" t="s">
        <v>162</v>
      </c>
      <c r="B90" s="1">
        <v>44740</v>
      </c>
      <c r="C90" t="s">
        <v>17</v>
      </c>
      <c r="D90" t="s">
        <v>42</v>
      </c>
      <c r="E90" t="s">
        <v>111</v>
      </c>
      <c r="F90" t="s">
        <v>65</v>
      </c>
      <c r="G90" t="s">
        <v>124</v>
      </c>
      <c r="H90">
        <v>41</v>
      </c>
      <c r="I90">
        <v>18000</v>
      </c>
      <c r="J90">
        <v>15</v>
      </c>
      <c r="K90">
        <v>627300</v>
      </c>
      <c r="L90">
        <v>282285</v>
      </c>
      <c r="M90">
        <v>345015</v>
      </c>
      <c r="N90" t="s">
        <v>30</v>
      </c>
      <c r="O90" t="s">
        <v>67</v>
      </c>
      <c r="P90" t="s">
        <v>40</v>
      </c>
    </row>
    <row r="91" spans="1:16" x14ac:dyDescent="0.3">
      <c r="A91" t="s">
        <v>163</v>
      </c>
      <c r="B91" s="1">
        <v>44689</v>
      </c>
      <c r="C91" t="s">
        <v>17</v>
      </c>
      <c r="D91" t="s">
        <v>18</v>
      </c>
      <c r="E91" t="s">
        <v>52</v>
      </c>
      <c r="F91" t="s">
        <v>65</v>
      </c>
      <c r="G91" t="s">
        <v>117</v>
      </c>
      <c r="H91">
        <v>49</v>
      </c>
      <c r="I91">
        <v>1200</v>
      </c>
      <c r="J91">
        <v>0</v>
      </c>
      <c r="K91">
        <v>58800</v>
      </c>
      <c r="L91">
        <v>26460</v>
      </c>
      <c r="M91">
        <v>32340</v>
      </c>
      <c r="N91" t="s">
        <v>30</v>
      </c>
      <c r="O91" t="s">
        <v>50</v>
      </c>
      <c r="P91" t="s">
        <v>24</v>
      </c>
    </row>
    <row r="92" spans="1:16" x14ac:dyDescent="0.3">
      <c r="A92" t="s">
        <v>164</v>
      </c>
      <c r="B92" s="1">
        <v>44594</v>
      </c>
      <c r="C92" t="s">
        <v>17</v>
      </c>
      <c r="D92" t="s">
        <v>18</v>
      </c>
      <c r="E92" t="s">
        <v>73</v>
      </c>
      <c r="F92" t="s">
        <v>33</v>
      </c>
      <c r="G92" t="s">
        <v>34</v>
      </c>
      <c r="H92">
        <v>28</v>
      </c>
      <c r="I92">
        <v>25000</v>
      </c>
      <c r="J92">
        <v>5</v>
      </c>
      <c r="K92">
        <v>665000</v>
      </c>
      <c r="L92">
        <v>332500</v>
      </c>
      <c r="M92">
        <v>332500</v>
      </c>
      <c r="N92" t="s">
        <v>22</v>
      </c>
      <c r="O92" t="s">
        <v>23</v>
      </c>
      <c r="P92" t="s">
        <v>24</v>
      </c>
    </row>
    <row r="93" spans="1:16" x14ac:dyDescent="0.3">
      <c r="A93" t="s">
        <v>165</v>
      </c>
      <c r="B93" s="1">
        <v>44901</v>
      </c>
      <c r="C93" t="s">
        <v>46</v>
      </c>
      <c r="D93" t="s">
        <v>47</v>
      </c>
      <c r="E93" t="s">
        <v>38</v>
      </c>
      <c r="F93" t="s">
        <v>65</v>
      </c>
      <c r="G93" t="s">
        <v>79</v>
      </c>
      <c r="H93">
        <v>44</v>
      </c>
      <c r="I93">
        <v>900</v>
      </c>
      <c r="J93">
        <v>5</v>
      </c>
      <c r="K93">
        <v>37620</v>
      </c>
      <c r="L93">
        <v>16929</v>
      </c>
      <c r="M93">
        <v>20691</v>
      </c>
      <c r="N93" t="s">
        <v>22</v>
      </c>
      <c r="O93" t="s">
        <v>44</v>
      </c>
      <c r="P93" t="s">
        <v>24</v>
      </c>
    </row>
    <row r="94" spans="1:16" x14ac:dyDescent="0.3">
      <c r="A94" t="s">
        <v>166</v>
      </c>
      <c r="B94" s="1">
        <v>45000</v>
      </c>
      <c r="C94" t="s">
        <v>17</v>
      </c>
      <c r="D94" t="s">
        <v>37</v>
      </c>
      <c r="E94" t="s">
        <v>73</v>
      </c>
      <c r="F94" t="s">
        <v>28</v>
      </c>
      <c r="G94" t="s">
        <v>85</v>
      </c>
      <c r="H94">
        <v>19</v>
      </c>
      <c r="I94">
        <v>8000</v>
      </c>
      <c r="J94">
        <v>20</v>
      </c>
      <c r="K94">
        <v>121600</v>
      </c>
      <c r="L94">
        <v>66880</v>
      </c>
      <c r="M94">
        <v>54720</v>
      </c>
      <c r="N94" t="s">
        <v>30</v>
      </c>
      <c r="O94" t="s">
        <v>23</v>
      </c>
      <c r="P94" t="s">
        <v>24</v>
      </c>
    </row>
    <row r="95" spans="1:16" x14ac:dyDescent="0.3">
      <c r="A95" t="s">
        <v>167</v>
      </c>
      <c r="B95" s="1">
        <v>45249</v>
      </c>
      <c r="C95" t="s">
        <v>17</v>
      </c>
      <c r="D95" t="s">
        <v>42</v>
      </c>
      <c r="E95" t="s">
        <v>32</v>
      </c>
      <c r="F95" t="s">
        <v>33</v>
      </c>
      <c r="G95" t="s">
        <v>48</v>
      </c>
      <c r="H95">
        <v>20</v>
      </c>
      <c r="I95">
        <v>1500</v>
      </c>
      <c r="J95">
        <v>5</v>
      </c>
      <c r="K95">
        <v>28500</v>
      </c>
      <c r="L95">
        <v>14250</v>
      </c>
      <c r="M95">
        <v>14250</v>
      </c>
      <c r="N95" t="s">
        <v>49</v>
      </c>
      <c r="O95" t="s">
        <v>35</v>
      </c>
      <c r="P95" t="s">
        <v>24</v>
      </c>
    </row>
    <row r="96" spans="1:16" x14ac:dyDescent="0.3">
      <c r="A96" t="s">
        <v>168</v>
      </c>
      <c r="B96" s="1">
        <v>45029</v>
      </c>
      <c r="C96" t="s">
        <v>17</v>
      </c>
      <c r="D96" t="s">
        <v>42</v>
      </c>
      <c r="E96" t="s">
        <v>73</v>
      </c>
      <c r="F96" t="s">
        <v>33</v>
      </c>
      <c r="G96" t="s">
        <v>39</v>
      </c>
      <c r="H96">
        <v>43</v>
      </c>
      <c r="I96">
        <v>5000</v>
      </c>
      <c r="J96">
        <v>15</v>
      </c>
      <c r="K96">
        <v>182750</v>
      </c>
      <c r="L96">
        <v>91375</v>
      </c>
      <c r="M96">
        <v>91375</v>
      </c>
      <c r="N96" t="s">
        <v>30</v>
      </c>
      <c r="O96" t="s">
        <v>67</v>
      </c>
      <c r="P96" t="s">
        <v>24</v>
      </c>
    </row>
    <row r="97" spans="1:16" x14ac:dyDescent="0.3">
      <c r="A97" t="s">
        <v>169</v>
      </c>
      <c r="B97" s="1">
        <v>44671</v>
      </c>
      <c r="C97" t="s">
        <v>58</v>
      </c>
      <c r="D97" t="s">
        <v>59</v>
      </c>
      <c r="E97" t="s">
        <v>19</v>
      </c>
      <c r="F97" t="s">
        <v>33</v>
      </c>
      <c r="G97" t="s">
        <v>76</v>
      </c>
      <c r="H97">
        <v>41</v>
      </c>
      <c r="I97">
        <v>8500</v>
      </c>
      <c r="J97">
        <v>5</v>
      </c>
      <c r="K97">
        <v>331075</v>
      </c>
      <c r="L97">
        <v>165537.5</v>
      </c>
      <c r="M97">
        <v>165537.5</v>
      </c>
      <c r="N97" t="s">
        <v>49</v>
      </c>
      <c r="O97" t="s">
        <v>44</v>
      </c>
      <c r="P97" t="s">
        <v>40</v>
      </c>
    </row>
    <row r="98" spans="1:16" x14ac:dyDescent="0.3">
      <c r="A98" t="s">
        <v>170</v>
      </c>
      <c r="B98" s="1">
        <v>44763</v>
      </c>
      <c r="C98" t="s">
        <v>26</v>
      </c>
      <c r="D98" t="s">
        <v>69</v>
      </c>
      <c r="E98" t="s">
        <v>60</v>
      </c>
      <c r="F98" t="s">
        <v>28</v>
      </c>
      <c r="G98" t="s">
        <v>29</v>
      </c>
      <c r="H98">
        <v>24</v>
      </c>
      <c r="I98">
        <v>15000</v>
      </c>
      <c r="J98">
        <v>5</v>
      </c>
      <c r="K98">
        <v>342000</v>
      </c>
      <c r="L98">
        <v>188100</v>
      </c>
      <c r="M98">
        <v>153900</v>
      </c>
      <c r="N98" t="s">
        <v>49</v>
      </c>
      <c r="O98" t="s">
        <v>50</v>
      </c>
      <c r="P98" t="s">
        <v>24</v>
      </c>
    </row>
    <row r="99" spans="1:16" x14ac:dyDescent="0.3">
      <c r="A99" t="s">
        <v>171</v>
      </c>
      <c r="B99" s="1">
        <v>45357</v>
      </c>
      <c r="C99" t="s">
        <v>46</v>
      </c>
      <c r="D99" t="s">
        <v>47</v>
      </c>
      <c r="E99" t="s">
        <v>111</v>
      </c>
      <c r="F99" t="s">
        <v>33</v>
      </c>
      <c r="G99" t="s">
        <v>43</v>
      </c>
      <c r="H99">
        <v>33</v>
      </c>
      <c r="I99">
        <v>4000</v>
      </c>
      <c r="J99">
        <v>10</v>
      </c>
      <c r="K99">
        <v>118800</v>
      </c>
      <c r="L99">
        <v>59400</v>
      </c>
      <c r="M99">
        <v>59400</v>
      </c>
      <c r="N99" t="s">
        <v>49</v>
      </c>
      <c r="O99" t="s">
        <v>23</v>
      </c>
      <c r="P99" t="s">
        <v>24</v>
      </c>
    </row>
    <row r="100" spans="1:16" x14ac:dyDescent="0.3">
      <c r="A100" t="s">
        <v>172</v>
      </c>
      <c r="B100" s="1">
        <v>45131</v>
      </c>
      <c r="C100" t="s">
        <v>17</v>
      </c>
      <c r="D100" t="s">
        <v>18</v>
      </c>
      <c r="E100" t="s">
        <v>60</v>
      </c>
      <c r="F100" t="s">
        <v>28</v>
      </c>
      <c r="G100" t="s">
        <v>87</v>
      </c>
      <c r="H100">
        <v>49</v>
      </c>
      <c r="I100">
        <v>45000</v>
      </c>
      <c r="J100">
        <v>5</v>
      </c>
      <c r="K100">
        <v>2094750</v>
      </c>
      <c r="L100">
        <v>1152112.5</v>
      </c>
      <c r="M100">
        <v>942637.5</v>
      </c>
      <c r="N100" t="s">
        <v>22</v>
      </c>
      <c r="O100" t="s">
        <v>50</v>
      </c>
      <c r="P100" t="s">
        <v>24</v>
      </c>
    </row>
    <row r="101" spans="1:16" x14ac:dyDescent="0.3">
      <c r="A101" t="s">
        <v>173</v>
      </c>
      <c r="B101" s="1">
        <v>44738</v>
      </c>
      <c r="C101" t="s">
        <v>58</v>
      </c>
      <c r="D101" t="s">
        <v>84</v>
      </c>
      <c r="E101" t="s">
        <v>73</v>
      </c>
      <c r="F101" t="s">
        <v>28</v>
      </c>
      <c r="G101" t="s">
        <v>85</v>
      </c>
      <c r="H101">
        <v>24</v>
      </c>
      <c r="I101">
        <v>8000</v>
      </c>
      <c r="J101">
        <v>10</v>
      </c>
      <c r="K101">
        <v>172800</v>
      </c>
      <c r="L101">
        <v>95040</v>
      </c>
      <c r="M101">
        <v>77760</v>
      </c>
      <c r="N101" t="s">
        <v>49</v>
      </c>
      <c r="O101" t="s">
        <v>50</v>
      </c>
      <c r="P101" t="s">
        <v>40</v>
      </c>
    </row>
    <row r="102" spans="1:16" x14ac:dyDescent="0.3">
      <c r="A102" t="s">
        <v>174</v>
      </c>
      <c r="B102" s="1">
        <v>44764</v>
      </c>
      <c r="C102" t="s">
        <v>46</v>
      </c>
      <c r="D102" t="s">
        <v>55</v>
      </c>
      <c r="E102" t="s">
        <v>56</v>
      </c>
      <c r="F102" t="s">
        <v>33</v>
      </c>
      <c r="G102" t="s">
        <v>43</v>
      </c>
      <c r="H102">
        <v>15</v>
      </c>
      <c r="I102">
        <v>4000</v>
      </c>
      <c r="J102">
        <v>0</v>
      </c>
      <c r="K102">
        <v>60000</v>
      </c>
      <c r="L102">
        <v>30000</v>
      </c>
      <c r="M102">
        <v>30000</v>
      </c>
      <c r="N102" t="s">
        <v>22</v>
      </c>
      <c r="O102" t="s">
        <v>50</v>
      </c>
      <c r="P102" t="s">
        <v>24</v>
      </c>
    </row>
    <row r="103" spans="1:16" x14ac:dyDescent="0.3">
      <c r="A103" t="s">
        <v>175</v>
      </c>
      <c r="B103" s="1">
        <v>45355</v>
      </c>
      <c r="C103" t="s">
        <v>46</v>
      </c>
      <c r="D103" t="s">
        <v>47</v>
      </c>
      <c r="E103" t="s">
        <v>56</v>
      </c>
      <c r="F103" t="s">
        <v>33</v>
      </c>
      <c r="G103" t="s">
        <v>48</v>
      </c>
      <c r="H103">
        <v>8</v>
      </c>
      <c r="I103">
        <v>1500</v>
      </c>
      <c r="J103">
        <v>0</v>
      </c>
      <c r="K103">
        <v>12000</v>
      </c>
      <c r="L103">
        <v>6000</v>
      </c>
      <c r="M103">
        <v>6000</v>
      </c>
      <c r="N103" t="s">
        <v>22</v>
      </c>
      <c r="O103" t="s">
        <v>44</v>
      </c>
      <c r="P103" t="s">
        <v>24</v>
      </c>
    </row>
    <row r="104" spans="1:16" x14ac:dyDescent="0.3">
      <c r="A104" t="s">
        <v>176</v>
      </c>
      <c r="B104" s="1">
        <v>45306</v>
      </c>
      <c r="C104" t="s">
        <v>17</v>
      </c>
      <c r="D104" t="s">
        <v>42</v>
      </c>
      <c r="E104" t="s">
        <v>111</v>
      </c>
      <c r="F104" t="s">
        <v>65</v>
      </c>
      <c r="G104" t="s">
        <v>79</v>
      </c>
      <c r="H104">
        <v>48</v>
      </c>
      <c r="I104">
        <v>900</v>
      </c>
      <c r="J104">
        <v>5</v>
      </c>
      <c r="K104">
        <v>41040</v>
      </c>
      <c r="L104">
        <v>18468</v>
      </c>
      <c r="M104">
        <v>22572</v>
      </c>
      <c r="N104" t="s">
        <v>22</v>
      </c>
      <c r="O104" t="s">
        <v>35</v>
      </c>
      <c r="P104" t="s">
        <v>24</v>
      </c>
    </row>
    <row r="105" spans="1:16" x14ac:dyDescent="0.3">
      <c r="A105" t="s">
        <v>177</v>
      </c>
      <c r="B105" s="1">
        <v>45524</v>
      </c>
      <c r="C105" t="s">
        <v>58</v>
      </c>
      <c r="D105" t="s">
        <v>59</v>
      </c>
      <c r="E105" t="s">
        <v>56</v>
      </c>
      <c r="F105" t="s">
        <v>33</v>
      </c>
      <c r="G105" t="s">
        <v>76</v>
      </c>
      <c r="H105">
        <v>29</v>
      </c>
      <c r="I105">
        <v>8500</v>
      </c>
      <c r="J105">
        <v>15</v>
      </c>
      <c r="K105">
        <v>209525</v>
      </c>
      <c r="L105">
        <v>104762.5</v>
      </c>
      <c r="M105">
        <v>104762.5</v>
      </c>
      <c r="N105" t="s">
        <v>49</v>
      </c>
      <c r="O105" t="s">
        <v>35</v>
      </c>
      <c r="P105" t="s">
        <v>24</v>
      </c>
    </row>
    <row r="106" spans="1:16" x14ac:dyDescent="0.3">
      <c r="A106" t="s">
        <v>178</v>
      </c>
      <c r="B106" s="1">
        <v>45278</v>
      </c>
      <c r="C106" t="s">
        <v>17</v>
      </c>
      <c r="D106" t="s">
        <v>18</v>
      </c>
      <c r="E106" t="s">
        <v>32</v>
      </c>
      <c r="F106" t="s">
        <v>33</v>
      </c>
      <c r="G106" t="s">
        <v>76</v>
      </c>
      <c r="H106">
        <v>8</v>
      </c>
      <c r="I106">
        <v>8500</v>
      </c>
      <c r="J106">
        <v>15</v>
      </c>
      <c r="K106">
        <v>57800</v>
      </c>
      <c r="L106">
        <v>28900</v>
      </c>
      <c r="M106">
        <v>28900</v>
      </c>
      <c r="N106" t="s">
        <v>22</v>
      </c>
      <c r="O106" t="s">
        <v>44</v>
      </c>
      <c r="P106" t="s">
        <v>24</v>
      </c>
    </row>
    <row r="107" spans="1:16" x14ac:dyDescent="0.3">
      <c r="A107" t="s">
        <v>179</v>
      </c>
      <c r="B107" s="1">
        <v>44594</v>
      </c>
      <c r="C107" t="s">
        <v>17</v>
      </c>
      <c r="D107" t="s">
        <v>18</v>
      </c>
      <c r="E107" t="s">
        <v>78</v>
      </c>
      <c r="F107" t="s">
        <v>20</v>
      </c>
      <c r="G107" t="s">
        <v>21</v>
      </c>
      <c r="H107">
        <v>49</v>
      </c>
      <c r="I107">
        <v>3500</v>
      </c>
      <c r="J107">
        <v>20</v>
      </c>
      <c r="K107">
        <v>137200</v>
      </c>
      <c r="L107">
        <v>54880</v>
      </c>
      <c r="M107">
        <v>82320</v>
      </c>
      <c r="N107" t="s">
        <v>22</v>
      </c>
      <c r="O107" t="s">
        <v>44</v>
      </c>
      <c r="P107" t="s">
        <v>24</v>
      </c>
    </row>
    <row r="108" spans="1:16" x14ac:dyDescent="0.3">
      <c r="A108" t="s">
        <v>180</v>
      </c>
      <c r="B108" s="1">
        <v>44996</v>
      </c>
      <c r="C108" t="s">
        <v>46</v>
      </c>
      <c r="D108" t="s">
        <v>47</v>
      </c>
      <c r="E108" t="s">
        <v>73</v>
      </c>
      <c r="F108" t="s">
        <v>20</v>
      </c>
      <c r="G108" t="s">
        <v>74</v>
      </c>
      <c r="H108">
        <v>35</v>
      </c>
      <c r="I108">
        <v>4200</v>
      </c>
      <c r="J108">
        <v>10</v>
      </c>
      <c r="K108">
        <v>132300</v>
      </c>
      <c r="L108">
        <v>52920</v>
      </c>
      <c r="M108">
        <v>79380</v>
      </c>
      <c r="N108" t="s">
        <v>30</v>
      </c>
      <c r="O108" t="s">
        <v>35</v>
      </c>
      <c r="P108" t="s">
        <v>24</v>
      </c>
    </row>
    <row r="109" spans="1:16" x14ac:dyDescent="0.3">
      <c r="A109" t="s">
        <v>181</v>
      </c>
      <c r="B109" s="1">
        <v>44805</v>
      </c>
      <c r="C109" t="s">
        <v>17</v>
      </c>
      <c r="D109" t="s">
        <v>18</v>
      </c>
      <c r="E109" t="s">
        <v>38</v>
      </c>
      <c r="F109" t="s">
        <v>33</v>
      </c>
      <c r="G109" t="s">
        <v>39</v>
      </c>
      <c r="H109">
        <v>12</v>
      </c>
      <c r="I109">
        <v>5000</v>
      </c>
      <c r="J109">
        <v>10</v>
      </c>
      <c r="K109">
        <v>54000</v>
      </c>
      <c r="L109">
        <v>27000</v>
      </c>
      <c r="M109">
        <v>27000</v>
      </c>
      <c r="N109" t="s">
        <v>30</v>
      </c>
      <c r="O109" t="s">
        <v>23</v>
      </c>
      <c r="P109" t="s">
        <v>24</v>
      </c>
    </row>
    <row r="110" spans="1:16" x14ac:dyDescent="0.3">
      <c r="A110" t="s">
        <v>182</v>
      </c>
      <c r="B110" s="1">
        <v>45569</v>
      </c>
      <c r="C110" t="s">
        <v>26</v>
      </c>
      <c r="D110" t="s">
        <v>69</v>
      </c>
      <c r="E110" t="s">
        <v>60</v>
      </c>
      <c r="F110" t="s">
        <v>33</v>
      </c>
      <c r="G110" t="s">
        <v>43</v>
      </c>
      <c r="H110">
        <v>38</v>
      </c>
      <c r="I110">
        <v>4000</v>
      </c>
      <c r="J110">
        <v>0</v>
      </c>
      <c r="K110">
        <v>152000</v>
      </c>
      <c r="L110">
        <v>76000</v>
      </c>
      <c r="M110">
        <v>76000</v>
      </c>
      <c r="N110" t="s">
        <v>22</v>
      </c>
      <c r="O110" t="s">
        <v>44</v>
      </c>
      <c r="P110" t="s">
        <v>24</v>
      </c>
    </row>
    <row r="111" spans="1:16" x14ac:dyDescent="0.3">
      <c r="A111" t="s">
        <v>183</v>
      </c>
      <c r="B111" s="1">
        <v>44644</v>
      </c>
      <c r="C111" t="s">
        <v>17</v>
      </c>
      <c r="D111" t="s">
        <v>37</v>
      </c>
      <c r="E111" t="s">
        <v>56</v>
      </c>
      <c r="F111" t="s">
        <v>28</v>
      </c>
      <c r="G111" t="s">
        <v>85</v>
      </c>
      <c r="H111">
        <v>26</v>
      </c>
      <c r="I111">
        <v>8000</v>
      </c>
      <c r="J111">
        <v>15</v>
      </c>
      <c r="K111">
        <v>176800</v>
      </c>
      <c r="L111">
        <v>97240</v>
      </c>
      <c r="M111">
        <v>79560</v>
      </c>
      <c r="N111" t="s">
        <v>49</v>
      </c>
      <c r="O111" t="s">
        <v>23</v>
      </c>
      <c r="P111" t="s">
        <v>24</v>
      </c>
    </row>
    <row r="112" spans="1:16" x14ac:dyDescent="0.3">
      <c r="A112" t="s">
        <v>184</v>
      </c>
      <c r="B112" s="1">
        <v>44684</v>
      </c>
      <c r="C112" t="s">
        <v>17</v>
      </c>
      <c r="D112" t="s">
        <v>42</v>
      </c>
      <c r="E112" t="s">
        <v>78</v>
      </c>
      <c r="F112" t="s">
        <v>28</v>
      </c>
      <c r="G112" t="s">
        <v>87</v>
      </c>
      <c r="H112">
        <v>18</v>
      </c>
      <c r="I112">
        <v>45000</v>
      </c>
      <c r="J112">
        <v>20</v>
      </c>
      <c r="K112">
        <v>648000</v>
      </c>
      <c r="L112">
        <v>356400</v>
      </c>
      <c r="M112">
        <v>291600</v>
      </c>
      <c r="N112" t="s">
        <v>22</v>
      </c>
      <c r="O112" t="s">
        <v>50</v>
      </c>
      <c r="P112" t="s">
        <v>40</v>
      </c>
    </row>
    <row r="113" spans="1:16" x14ac:dyDescent="0.3">
      <c r="A113" t="s">
        <v>185</v>
      </c>
      <c r="B113" s="1">
        <v>45311</v>
      </c>
      <c r="C113" t="s">
        <v>17</v>
      </c>
      <c r="D113" t="s">
        <v>37</v>
      </c>
      <c r="E113" t="s">
        <v>111</v>
      </c>
      <c r="F113" t="s">
        <v>65</v>
      </c>
      <c r="G113" t="s">
        <v>117</v>
      </c>
      <c r="H113">
        <v>45</v>
      </c>
      <c r="I113">
        <v>1200</v>
      </c>
      <c r="J113">
        <v>0</v>
      </c>
      <c r="K113">
        <v>54000</v>
      </c>
      <c r="L113">
        <v>24300</v>
      </c>
      <c r="M113">
        <v>29700</v>
      </c>
      <c r="N113" t="s">
        <v>22</v>
      </c>
      <c r="O113" t="s">
        <v>44</v>
      </c>
      <c r="P113" t="s">
        <v>40</v>
      </c>
    </row>
    <row r="114" spans="1:16" x14ac:dyDescent="0.3">
      <c r="A114" t="s">
        <v>186</v>
      </c>
      <c r="B114" s="1">
        <v>45397</v>
      </c>
      <c r="C114" t="s">
        <v>46</v>
      </c>
      <c r="D114" t="s">
        <v>55</v>
      </c>
      <c r="E114" t="s">
        <v>70</v>
      </c>
      <c r="F114" t="s">
        <v>65</v>
      </c>
      <c r="G114" t="s">
        <v>66</v>
      </c>
      <c r="H114">
        <v>27</v>
      </c>
      <c r="I114">
        <v>5500</v>
      </c>
      <c r="J114">
        <v>0</v>
      </c>
      <c r="K114">
        <v>148500</v>
      </c>
      <c r="L114">
        <v>66825</v>
      </c>
      <c r="M114">
        <v>81675</v>
      </c>
      <c r="N114" t="s">
        <v>49</v>
      </c>
      <c r="O114" t="s">
        <v>50</v>
      </c>
      <c r="P114" t="s">
        <v>24</v>
      </c>
    </row>
    <row r="115" spans="1:16" x14ac:dyDescent="0.3">
      <c r="A115" t="s">
        <v>187</v>
      </c>
      <c r="B115" s="1">
        <v>45058</v>
      </c>
      <c r="C115" t="s">
        <v>46</v>
      </c>
      <c r="D115" t="s">
        <v>55</v>
      </c>
      <c r="E115" t="s">
        <v>52</v>
      </c>
      <c r="F115" t="s">
        <v>28</v>
      </c>
      <c r="G115" t="s">
        <v>95</v>
      </c>
      <c r="H115">
        <v>6</v>
      </c>
      <c r="I115">
        <v>75000</v>
      </c>
      <c r="J115">
        <v>15</v>
      </c>
      <c r="K115">
        <v>382500</v>
      </c>
      <c r="L115">
        <v>210375</v>
      </c>
      <c r="M115">
        <v>172125</v>
      </c>
      <c r="N115" t="s">
        <v>22</v>
      </c>
      <c r="O115" t="s">
        <v>50</v>
      </c>
      <c r="P115" t="s">
        <v>24</v>
      </c>
    </row>
    <row r="116" spans="1:16" x14ac:dyDescent="0.3">
      <c r="A116" t="s">
        <v>188</v>
      </c>
      <c r="B116" s="1">
        <v>44822</v>
      </c>
      <c r="C116" t="s">
        <v>26</v>
      </c>
      <c r="D116" t="s">
        <v>69</v>
      </c>
      <c r="E116" t="s">
        <v>52</v>
      </c>
      <c r="F116" t="s">
        <v>65</v>
      </c>
      <c r="G116" t="s">
        <v>124</v>
      </c>
      <c r="H116">
        <v>43</v>
      </c>
      <c r="I116">
        <v>18000</v>
      </c>
      <c r="J116">
        <v>15</v>
      </c>
      <c r="K116">
        <v>657900</v>
      </c>
      <c r="L116">
        <v>296055</v>
      </c>
      <c r="M116">
        <v>361845</v>
      </c>
      <c r="N116" t="s">
        <v>49</v>
      </c>
      <c r="O116" t="s">
        <v>67</v>
      </c>
      <c r="P116" t="s">
        <v>24</v>
      </c>
    </row>
    <row r="117" spans="1:16" x14ac:dyDescent="0.3">
      <c r="A117" t="s">
        <v>189</v>
      </c>
      <c r="B117" s="1">
        <v>45150</v>
      </c>
      <c r="C117" t="s">
        <v>26</v>
      </c>
      <c r="D117" t="s">
        <v>27</v>
      </c>
      <c r="E117" t="s">
        <v>78</v>
      </c>
      <c r="F117" t="s">
        <v>65</v>
      </c>
      <c r="G117" t="s">
        <v>104</v>
      </c>
      <c r="H117">
        <v>7</v>
      </c>
      <c r="I117">
        <v>3000</v>
      </c>
      <c r="J117">
        <v>10</v>
      </c>
      <c r="K117">
        <v>18900</v>
      </c>
      <c r="L117">
        <v>8505</v>
      </c>
      <c r="M117">
        <v>10395</v>
      </c>
      <c r="N117" t="s">
        <v>49</v>
      </c>
      <c r="O117" t="s">
        <v>35</v>
      </c>
      <c r="P117" t="s">
        <v>40</v>
      </c>
    </row>
    <row r="118" spans="1:16" x14ac:dyDescent="0.3">
      <c r="A118" t="s">
        <v>190</v>
      </c>
      <c r="B118" s="1">
        <v>45096</v>
      </c>
      <c r="C118" t="s">
        <v>46</v>
      </c>
      <c r="D118" t="s">
        <v>55</v>
      </c>
      <c r="E118" t="s">
        <v>111</v>
      </c>
      <c r="F118" t="s">
        <v>28</v>
      </c>
      <c r="G118" t="s">
        <v>29</v>
      </c>
      <c r="H118">
        <v>43</v>
      </c>
      <c r="I118">
        <v>15000</v>
      </c>
      <c r="J118">
        <v>10</v>
      </c>
      <c r="K118">
        <v>580500</v>
      </c>
      <c r="L118">
        <v>319275</v>
      </c>
      <c r="M118">
        <v>261225</v>
      </c>
      <c r="N118" t="s">
        <v>30</v>
      </c>
      <c r="O118" t="s">
        <v>50</v>
      </c>
      <c r="P118" t="s">
        <v>24</v>
      </c>
    </row>
    <row r="119" spans="1:16" x14ac:dyDescent="0.3">
      <c r="A119" t="s">
        <v>191</v>
      </c>
      <c r="B119" s="1">
        <v>45149</v>
      </c>
      <c r="C119" t="s">
        <v>17</v>
      </c>
      <c r="D119" t="s">
        <v>18</v>
      </c>
      <c r="E119" t="s">
        <v>78</v>
      </c>
      <c r="F119" t="s">
        <v>20</v>
      </c>
      <c r="G119" t="s">
        <v>53</v>
      </c>
      <c r="H119">
        <v>43</v>
      </c>
      <c r="I119">
        <v>600</v>
      </c>
      <c r="J119">
        <v>15</v>
      </c>
      <c r="K119">
        <v>21930</v>
      </c>
      <c r="L119">
        <v>8772</v>
      </c>
      <c r="M119">
        <v>13158</v>
      </c>
      <c r="N119" t="s">
        <v>30</v>
      </c>
      <c r="O119" t="s">
        <v>35</v>
      </c>
      <c r="P119" t="s">
        <v>24</v>
      </c>
    </row>
    <row r="120" spans="1:16" x14ac:dyDescent="0.3">
      <c r="A120" t="s">
        <v>192</v>
      </c>
      <c r="B120" s="1">
        <v>44736</v>
      </c>
      <c r="C120" t="s">
        <v>46</v>
      </c>
      <c r="D120" t="s">
        <v>55</v>
      </c>
      <c r="E120" t="s">
        <v>32</v>
      </c>
      <c r="F120" t="s">
        <v>65</v>
      </c>
      <c r="G120" t="s">
        <v>124</v>
      </c>
      <c r="H120">
        <v>11</v>
      </c>
      <c r="I120">
        <v>18000</v>
      </c>
      <c r="J120">
        <v>10</v>
      </c>
      <c r="K120">
        <v>178200</v>
      </c>
      <c r="L120">
        <v>80190</v>
      </c>
      <c r="M120">
        <v>98010</v>
      </c>
      <c r="N120" t="s">
        <v>22</v>
      </c>
      <c r="O120" t="s">
        <v>50</v>
      </c>
      <c r="P120" t="s">
        <v>24</v>
      </c>
    </row>
    <row r="121" spans="1:16" x14ac:dyDescent="0.3">
      <c r="A121" t="s">
        <v>193</v>
      </c>
      <c r="B121" s="1">
        <v>44714</v>
      </c>
      <c r="C121" t="s">
        <v>46</v>
      </c>
      <c r="D121" t="s">
        <v>47</v>
      </c>
      <c r="E121" t="s">
        <v>38</v>
      </c>
      <c r="F121" t="s">
        <v>28</v>
      </c>
      <c r="G121" t="s">
        <v>95</v>
      </c>
      <c r="H121">
        <v>18</v>
      </c>
      <c r="I121">
        <v>75000</v>
      </c>
      <c r="J121">
        <v>15</v>
      </c>
      <c r="K121">
        <v>1147500</v>
      </c>
      <c r="L121">
        <v>631125</v>
      </c>
      <c r="M121">
        <v>516375</v>
      </c>
      <c r="N121" t="s">
        <v>49</v>
      </c>
      <c r="O121" t="s">
        <v>67</v>
      </c>
      <c r="P121" t="s">
        <v>24</v>
      </c>
    </row>
    <row r="122" spans="1:16" x14ac:dyDescent="0.3">
      <c r="A122" t="s">
        <v>194</v>
      </c>
      <c r="B122" s="1">
        <v>45426</v>
      </c>
      <c r="C122" t="s">
        <v>17</v>
      </c>
      <c r="D122" t="s">
        <v>18</v>
      </c>
      <c r="E122" t="s">
        <v>111</v>
      </c>
      <c r="F122" t="s">
        <v>28</v>
      </c>
      <c r="G122" t="s">
        <v>71</v>
      </c>
      <c r="H122">
        <v>28</v>
      </c>
      <c r="I122">
        <v>35000</v>
      </c>
      <c r="J122">
        <v>0</v>
      </c>
      <c r="K122">
        <v>980000</v>
      </c>
      <c r="L122">
        <v>539000</v>
      </c>
      <c r="M122">
        <v>441000</v>
      </c>
      <c r="N122" t="s">
        <v>22</v>
      </c>
      <c r="O122" t="s">
        <v>67</v>
      </c>
      <c r="P122" t="s">
        <v>24</v>
      </c>
    </row>
    <row r="123" spans="1:16" x14ac:dyDescent="0.3">
      <c r="A123" t="s">
        <v>195</v>
      </c>
      <c r="B123" s="1">
        <v>45521</v>
      </c>
      <c r="C123" t="s">
        <v>17</v>
      </c>
      <c r="D123" t="s">
        <v>18</v>
      </c>
      <c r="E123" t="s">
        <v>19</v>
      </c>
      <c r="F123" t="s">
        <v>65</v>
      </c>
      <c r="G123" t="s">
        <v>79</v>
      </c>
      <c r="H123">
        <v>4</v>
      </c>
      <c r="I123">
        <v>900</v>
      </c>
      <c r="J123">
        <v>0</v>
      </c>
      <c r="K123">
        <v>3600</v>
      </c>
      <c r="L123">
        <v>1620</v>
      </c>
      <c r="M123">
        <v>1980</v>
      </c>
      <c r="N123" t="s">
        <v>49</v>
      </c>
      <c r="O123" t="s">
        <v>44</v>
      </c>
      <c r="P123" t="s">
        <v>24</v>
      </c>
    </row>
    <row r="124" spans="1:16" x14ac:dyDescent="0.3">
      <c r="A124" t="s">
        <v>196</v>
      </c>
      <c r="B124" s="1">
        <v>44829</v>
      </c>
      <c r="C124" t="s">
        <v>17</v>
      </c>
      <c r="D124" t="s">
        <v>37</v>
      </c>
      <c r="E124" t="s">
        <v>70</v>
      </c>
      <c r="F124" t="s">
        <v>28</v>
      </c>
      <c r="G124" t="s">
        <v>95</v>
      </c>
      <c r="H124">
        <v>32</v>
      </c>
      <c r="I124">
        <v>75000</v>
      </c>
      <c r="J124">
        <v>15</v>
      </c>
      <c r="K124">
        <v>2040000</v>
      </c>
      <c r="L124">
        <v>1122000</v>
      </c>
      <c r="M124">
        <v>918000</v>
      </c>
      <c r="N124" t="s">
        <v>30</v>
      </c>
      <c r="O124" t="s">
        <v>23</v>
      </c>
      <c r="P124" t="s">
        <v>24</v>
      </c>
    </row>
    <row r="125" spans="1:16" x14ac:dyDescent="0.3">
      <c r="A125" t="s">
        <v>197</v>
      </c>
      <c r="B125" s="1">
        <v>45619</v>
      </c>
      <c r="C125" t="s">
        <v>46</v>
      </c>
      <c r="D125" t="s">
        <v>55</v>
      </c>
      <c r="E125" t="s">
        <v>52</v>
      </c>
      <c r="F125" t="s">
        <v>65</v>
      </c>
      <c r="G125" t="s">
        <v>117</v>
      </c>
      <c r="H125">
        <v>28</v>
      </c>
      <c r="I125">
        <v>1200</v>
      </c>
      <c r="J125">
        <v>0</v>
      </c>
      <c r="K125">
        <v>33600</v>
      </c>
      <c r="L125">
        <v>15120</v>
      </c>
      <c r="M125">
        <v>18480</v>
      </c>
      <c r="N125" t="s">
        <v>30</v>
      </c>
      <c r="O125" t="s">
        <v>50</v>
      </c>
      <c r="P125" t="s">
        <v>24</v>
      </c>
    </row>
    <row r="126" spans="1:16" x14ac:dyDescent="0.3">
      <c r="A126" t="s">
        <v>198</v>
      </c>
      <c r="B126" s="1">
        <v>45401</v>
      </c>
      <c r="C126" t="s">
        <v>58</v>
      </c>
      <c r="D126" t="s">
        <v>64</v>
      </c>
      <c r="E126" t="s">
        <v>32</v>
      </c>
      <c r="F126" t="s">
        <v>33</v>
      </c>
      <c r="G126" t="s">
        <v>39</v>
      </c>
      <c r="H126">
        <v>26</v>
      </c>
      <c r="I126">
        <v>5000</v>
      </c>
      <c r="J126">
        <v>0</v>
      </c>
      <c r="K126">
        <v>130000</v>
      </c>
      <c r="L126">
        <v>65000</v>
      </c>
      <c r="M126">
        <v>65000</v>
      </c>
      <c r="N126" t="s">
        <v>30</v>
      </c>
      <c r="O126" t="s">
        <v>67</v>
      </c>
      <c r="P126" t="s">
        <v>24</v>
      </c>
    </row>
    <row r="127" spans="1:16" x14ac:dyDescent="0.3">
      <c r="A127" t="s">
        <v>199</v>
      </c>
      <c r="B127" s="1">
        <v>45470</v>
      </c>
      <c r="C127" t="s">
        <v>17</v>
      </c>
      <c r="D127" t="s">
        <v>18</v>
      </c>
      <c r="E127" t="s">
        <v>32</v>
      </c>
      <c r="F127" t="s">
        <v>28</v>
      </c>
      <c r="G127" t="s">
        <v>87</v>
      </c>
      <c r="H127">
        <v>28</v>
      </c>
      <c r="I127">
        <v>45000</v>
      </c>
      <c r="J127">
        <v>20</v>
      </c>
      <c r="K127">
        <v>1008000</v>
      </c>
      <c r="L127">
        <v>554400</v>
      </c>
      <c r="M127">
        <v>453600</v>
      </c>
      <c r="N127" t="s">
        <v>22</v>
      </c>
      <c r="O127" t="s">
        <v>35</v>
      </c>
      <c r="P127" t="s">
        <v>24</v>
      </c>
    </row>
    <row r="128" spans="1:16" x14ac:dyDescent="0.3">
      <c r="A128" t="s">
        <v>200</v>
      </c>
      <c r="B128" s="1">
        <v>45350</v>
      </c>
      <c r="C128" t="s">
        <v>17</v>
      </c>
      <c r="D128" t="s">
        <v>42</v>
      </c>
      <c r="E128" t="s">
        <v>70</v>
      </c>
      <c r="F128" t="s">
        <v>20</v>
      </c>
      <c r="G128" t="s">
        <v>61</v>
      </c>
      <c r="H128">
        <v>50</v>
      </c>
      <c r="I128">
        <v>800</v>
      </c>
      <c r="J128">
        <v>5</v>
      </c>
      <c r="K128">
        <v>38000</v>
      </c>
      <c r="L128">
        <v>15200</v>
      </c>
      <c r="M128">
        <v>22800</v>
      </c>
      <c r="N128" t="s">
        <v>22</v>
      </c>
      <c r="O128" t="s">
        <v>35</v>
      </c>
      <c r="P128" t="s">
        <v>24</v>
      </c>
    </row>
    <row r="129" spans="1:16" x14ac:dyDescent="0.3">
      <c r="A129" t="s">
        <v>201</v>
      </c>
      <c r="B129" s="1">
        <v>45582</v>
      </c>
      <c r="C129" t="s">
        <v>46</v>
      </c>
      <c r="D129" t="s">
        <v>55</v>
      </c>
      <c r="E129" t="s">
        <v>70</v>
      </c>
      <c r="F129" t="s">
        <v>20</v>
      </c>
      <c r="G129" t="s">
        <v>74</v>
      </c>
      <c r="H129">
        <v>7</v>
      </c>
      <c r="I129">
        <v>4200</v>
      </c>
      <c r="J129">
        <v>5</v>
      </c>
      <c r="K129">
        <v>27930</v>
      </c>
      <c r="L129">
        <v>11172</v>
      </c>
      <c r="M129">
        <v>16758</v>
      </c>
      <c r="N129" t="s">
        <v>30</v>
      </c>
      <c r="O129" t="s">
        <v>44</v>
      </c>
      <c r="P129" t="s">
        <v>24</v>
      </c>
    </row>
    <row r="130" spans="1:16" x14ac:dyDescent="0.3">
      <c r="A130" t="s">
        <v>202</v>
      </c>
      <c r="B130" s="1">
        <v>44859</v>
      </c>
      <c r="C130" t="s">
        <v>26</v>
      </c>
      <c r="D130" t="s">
        <v>27</v>
      </c>
      <c r="E130" t="s">
        <v>60</v>
      </c>
      <c r="F130" t="s">
        <v>65</v>
      </c>
      <c r="G130" t="s">
        <v>79</v>
      </c>
      <c r="H130">
        <v>49</v>
      </c>
      <c r="I130">
        <v>900</v>
      </c>
      <c r="J130">
        <v>20</v>
      </c>
      <c r="K130">
        <v>35280</v>
      </c>
      <c r="L130">
        <v>15876</v>
      </c>
      <c r="M130">
        <v>19404</v>
      </c>
      <c r="N130" t="s">
        <v>22</v>
      </c>
      <c r="O130" t="s">
        <v>67</v>
      </c>
      <c r="P130" t="s">
        <v>24</v>
      </c>
    </row>
    <row r="131" spans="1:16" x14ac:dyDescent="0.3">
      <c r="A131" t="s">
        <v>203</v>
      </c>
      <c r="B131" s="1">
        <v>45197</v>
      </c>
      <c r="C131" t="s">
        <v>17</v>
      </c>
      <c r="D131" t="s">
        <v>18</v>
      </c>
      <c r="E131" t="s">
        <v>60</v>
      </c>
      <c r="F131" t="s">
        <v>28</v>
      </c>
      <c r="G131" t="s">
        <v>85</v>
      </c>
      <c r="H131">
        <v>29</v>
      </c>
      <c r="I131">
        <v>8000</v>
      </c>
      <c r="J131">
        <v>10</v>
      </c>
      <c r="K131">
        <v>208800</v>
      </c>
      <c r="L131">
        <v>114840</v>
      </c>
      <c r="M131">
        <v>93960</v>
      </c>
      <c r="N131" t="s">
        <v>22</v>
      </c>
      <c r="O131" t="s">
        <v>35</v>
      </c>
      <c r="P131" t="s">
        <v>24</v>
      </c>
    </row>
    <row r="132" spans="1:16" x14ac:dyDescent="0.3">
      <c r="A132" t="s">
        <v>204</v>
      </c>
      <c r="B132" s="1">
        <v>45247</v>
      </c>
      <c r="C132" t="s">
        <v>26</v>
      </c>
      <c r="D132" t="s">
        <v>69</v>
      </c>
      <c r="E132" t="s">
        <v>60</v>
      </c>
      <c r="F132" t="s">
        <v>65</v>
      </c>
      <c r="G132" t="s">
        <v>117</v>
      </c>
      <c r="H132">
        <v>4</v>
      </c>
      <c r="I132">
        <v>1200</v>
      </c>
      <c r="J132">
        <v>10</v>
      </c>
      <c r="K132">
        <v>4320</v>
      </c>
      <c r="L132">
        <v>1944</v>
      </c>
      <c r="M132">
        <v>2376</v>
      </c>
      <c r="N132" t="s">
        <v>30</v>
      </c>
      <c r="O132" t="s">
        <v>35</v>
      </c>
      <c r="P132" t="s">
        <v>24</v>
      </c>
    </row>
    <row r="133" spans="1:16" x14ac:dyDescent="0.3">
      <c r="A133" t="s">
        <v>205</v>
      </c>
      <c r="B133" s="1">
        <v>45548</v>
      </c>
      <c r="C133" t="s">
        <v>58</v>
      </c>
      <c r="D133" t="s">
        <v>64</v>
      </c>
      <c r="E133" t="s">
        <v>111</v>
      </c>
      <c r="F133" t="s">
        <v>28</v>
      </c>
      <c r="G133" t="s">
        <v>85</v>
      </c>
      <c r="H133">
        <v>37</v>
      </c>
      <c r="I133">
        <v>8000</v>
      </c>
      <c r="J133">
        <v>5</v>
      </c>
      <c r="K133">
        <v>281200</v>
      </c>
      <c r="L133">
        <v>154660</v>
      </c>
      <c r="M133">
        <v>126540</v>
      </c>
      <c r="N133" t="s">
        <v>22</v>
      </c>
      <c r="O133" t="s">
        <v>23</v>
      </c>
      <c r="P133" t="s">
        <v>24</v>
      </c>
    </row>
    <row r="134" spans="1:16" x14ac:dyDescent="0.3">
      <c r="A134" t="s">
        <v>206</v>
      </c>
      <c r="B134" s="1">
        <v>45540</v>
      </c>
      <c r="C134" t="s">
        <v>26</v>
      </c>
      <c r="D134" t="s">
        <v>69</v>
      </c>
      <c r="E134" t="s">
        <v>52</v>
      </c>
      <c r="F134" t="s">
        <v>33</v>
      </c>
      <c r="G134" t="s">
        <v>39</v>
      </c>
      <c r="H134">
        <v>33</v>
      </c>
      <c r="I134">
        <v>5000</v>
      </c>
      <c r="J134">
        <v>5</v>
      </c>
      <c r="K134">
        <v>156750</v>
      </c>
      <c r="L134">
        <v>78375</v>
      </c>
      <c r="M134">
        <v>78375</v>
      </c>
      <c r="N134" t="s">
        <v>30</v>
      </c>
      <c r="O134" t="s">
        <v>23</v>
      </c>
      <c r="P134" t="s">
        <v>24</v>
      </c>
    </row>
    <row r="135" spans="1:16" x14ac:dyDescent="0.3">
      <c r="A135" t="s">
        <v>207</v>
      </c>
      <c r="B135" s="1">
        <v>45429</v>
      </c>
      <c r="C135" t="s">
        <v>46</v>
      </c>
      <c r="D135" t="s">
        <v>55</v>
      </c>
      <c r="E135" t="s">
        <v>70</v>
      </c>
      <c r="F135" t="s">
        <v>33</v>
      </c>
      <c r="G135" t="s">
        <v>48</v>
      </c>
      <c r="H135">
        <v>27</v>
      </c>
      <c r="I135">
        <v>1500</v>
      </c>
      <c r="J135">
        <v>10</v>
      </c>
      <c r="K135">
        <v>36450</v>
      </c>
      <c r="L135">
        <v>18225</v>
      </c>
      <c r="M135">
        <v>18225</v>
      </c>
      <c r="N135" t="s">
        <v>30</v>
      </c>
      <c r="O135" t="s">
        <v>50</v>
      </c>
      <c r="P135" t="s">
        <v>40</v>
      </c>
    </row>
    <row r="136" spans="1:16" x14ac:dyDescent="0.3">
      <c r="A136" t="s">
        <v>208</v>
      </c>
      <c r="B136" s="1">
        <v>44692</v>
      </c>
      <c r="C136" t="s">
        <v>26</v>
      </c>
      <c r="D136" t="s">
        <v>69</v>
      </c>
      <c r="E136" t="s">
        <v>73</v>
      </c>
      <c r="F136" t="s">
        <v>33</v>
      </c>
      <c r="G136" t="s">
        <v>43</v>
      </c>
      <c r="H136">
        <v>10</v>
      </c>
      <c r="I136">
        <v>4000</v>
      </c>
      <c r="J136">
        <v>10</v>
      </c>
      <c r="K136">
        <v>36000</v>
      </c>
      <c r="L136">
        <v>18000</v>
      </c>
      <c r="M136">
        <v>18000</v>
      </c>
      <c r="N136" t="s">
        <v>22</v>
      </c>
      <c r="O136" t="s">
        <v>44</v>
      </c>
      <c r="P136" t="s">
        <v>24</v>
      </c>
    </row>
    <row r="137" spans="1:16" x14ac:dyDescent="0.3">
      <c r="A137" t="s">
        <v>209</v>
      </c>
      <c r="B137" s="1">
        <v>45240</v>
      </c>
      <c r="C137" t="s">
        <v>58</v>
      </c>
      <c r="D137" t="s">
        <v>84</v>
      </c>
      <c r="E137" t="s">
        <v>38</v>
      </c>
      <c r="F137" t="s">
        <v>28</v>
      </c>
      <c r="G137" t="s">
        <v>71</v>
      </c>
      <c r="H137">
        <v>36</v>
      </c>
      <c r="I137">
        <v>35000</v>
      </c>
      <c r="J137">
        <v>15</v>
      </c>
      <c r="K137">
        <v>1071000</v>
      </c>
      <c r="L137">
        <v>589050</v>
      </c>
      <c r="M137">
        <v>481950</v>
      </c>
      <c r="N137" t="s">
        <v>30</v>
      </c>
      <c r="O137" t="s">
        <v>67</v>
      </c>
      <c r="P137" t="s">
        <v>24</v>
      </c>
    </row>
    <row r="138" spans="1:16" x14ac:dyDescent="0.3">
      <c r="A138" t="s">
        <v>210</v>
      </c>
      <c r="B138" s="1">
        <v>44733</v>
      </c>
      <c r="C138" t="s">
        <v>58</v>
      </c>
      <c r="D138" t="s">
        <v>64</v>
      </c>
      <c r="E138" t="s">
        <v>70</v>
      </c>
      <c r="F138" t="s">
        <v>28</v>
      </c>
      <c r="G138" t="s">
        <v>71</v>
      </c>
      <c r="H138">
        <v>20</v>
      </c>
      <c r="I138">
        <v>35000</v>
      </c>
      <c r="J138">
        <v>5</v>
      </c>
      <c r="K138">
        <v>665000</v>
      </c>
      <c r="L138">
        <v>365750</v>
      </c>
      <c r="M138">
        <v>299250</v>
      </c>
      <c r="N138" t="s">
        <v>49</v>
      </c>
      <c r="O138" t="s">
        <v>23</v>
      </c>
      <c r="P138" t="s">
        <v>24</v>
      </c>
    </row>
    <row r="139" spans="1:16" x14ac:dyDescent="0.3">
      <c r="A139" t="s">
        <v>211</v>
      </c>
      <c r="B139" s="1">
        <v>44934</v>
      </c>
      <c r="C139" t="s">
        <v>46</v>
      </c>
      <c r="D139" t="s">
        <v>47</v>
      </c>
      <c r="E139" t="s">
        <v>52</v>
      </c>
      <c r="F139" t="s">
        <v>33</v>
      </c>
      <c r="G139" t="s">
        <v>39</v>
      </c>
      <c r="H139">
        <v>33</v>
      </c>
      <c r="I139">
        <v>5000</v>
      </c>
      <c r="J139">
        <v>20</v>
      </c>
      <c r="K139">
        <v>132000</v>
      </c>
      <c r="L139">
        <v>66000</v>
      </c>
      <c r="M139">
        <v>66000</v>
      </c>
      <c r="N139" t="s">
        <v>30</v>
      </c>
      <c r="O139" t="s">
        <v>50</v>
      </c>
      <c r="P139" t="s">
        <v>40</v>
      </c>
    </row>
    <row r="140" spans="1:16" x14ac:dyDescent="0.3">
      <c r="A140" t="s">
        <v>212</v>
      </c>
      <c r="B140" s="1">
        <v>44824</v>
      </c>
      <c r="C140" t="s">
        <v>58</v>
      </c>
      <c r="D140" t="s">
        <v>84</v>
      </c>
      <c r="E140" t="s">
        <v>78</v>
      </c>
      <c r="F140" t="s">
        <v>20</v>
      </c>
      <c r="G140" t="s">
        <v>53</v>
      </c>
      <c r="H140">
        <v>11</v>
      </c>
      <c r="I140">
        <v>600</v>
      </c>
      <c r="J140">
        <v>15</v>
      </c>
      <c r="K140">
        <v>5610</v>
      </c>
      <c r="L140">
        <v>2244</v>
      </c>
      <c r="M140">
        <v>3366</v>
      </c>
      <c r="N140" t="s">
        <v>49</v>
      </c>
      <c r="O140" t="s">
        <v>50</v>
      </c>
      <c r="P140" t="s">
        <v>24</v>
      </c>
    </row>
    <row r="141" spans="1:16" x14ac:dyDescent="0.3">
      <c r="A141" t="s">
        <v>213</v>
      </c>
      <c r="B141" s="1">
        <v>45031</v>
      </c>
      <c r="C141" t="s">
        <v>17</v>
      </c>
      <c r="D141" t="s">
        <v>42</v>
      </c>
      <c r="E141" t="s">
        <v>60</v>
      </c>
      <c r="F141" t="s">
        <v>20</v>
      </c>
      <c r="G141" t="s">
        <v>53</v>
      </c>
      <c r="H141">
        <v>16</v>
      </c>
      <c r="I141">
        <v>600</v>
      </c>
      <c r="J141">
        <v>10</v>
      </c>
      <c r="K141">
        <v>8640</v>
      </c>
      <c r="L141">
        <v>3456</v>
      </c>
      <c r="M141">
        <v>5184</v>
      </c>
      <c r="N141" t="s">
        <v>30</v>
      </c>
      <c r="O141" t="s">
        <v>50</v>
      </c>
      <c r="P141" t="s">
        <v>24</v>
      </c>
    </row>
    <row r="142" spans="1:16" x14ac:dyDescent="0.3">
      <c r="A142" t="s">
        <v>214</v>
      </c>
      <c r="B142" s="1">
        <v>45427</v>
      </c>
      <c r="C142" t="s">
        <v>17</v>
      </c>
      <c r="D142" t="s">
        <v>37</v>
      </c>
      <c r="E142" t="s">
        <v>111</v>
      </c>
      <c r="F142" t="s">
        <v>65</v>
      </c>
      <c r="G142" t="s">
        <v>104</v>
      </c>
      <c r="H142">
        <v>13</v>
      </c>
      <c r="I142">
        <v>3000</v>
      </c>
      <c r="J142">
        <v>20</v>
      </c>
      <c r="K142">
        <v>31200</v>
      </c>
      <c r="L142">
        <v>14040</v>
      </c>
      <c r="M142">
        <v>17160</v>
      </c>
      <c r="N142" t="s">
        <v>49</v>
      </c>
      <c r="O142" t="s">
        <v>35</v>
      </c>
      <c r="P142" t="s">
        <v>24</v>
      </c>
    </row>
    <row r="143" spans="1:16" x14ac:dyDescent="0.3">
      <c r="A143" t="s">
        <v>215</v>
      </c>
      <c r="B143" s="1">
        <v>45501</v>
      </c>
      <c r="C143" t="s">
        <v>17</v>
      </c>
      <c r="D143" t="s">
        <v>42</v>
      </c>
      <c r="E143" t="s">
        <v>52</v>
      </c>
      <c r="F143" t="s">
        <v>28</v>
      </c>
      <c r="G143" t="s">
        <v>71</v>
      </c>
      <c r="H143">
        <v>6</v>
      </c>
      <c r="I143">
        <v>35000</v>
      </c>
      <c r="J143">
        <v>5</v>
      </c>
      <c r="K143">
        <v>199500</v>
      </c>
      <c r="L143">
        <v>109725</v>
      </c>
      <c r="M143">
        <v>89775</v>
      </c>
      <c r="N143" t="s">
        <v>49</v>
      </c>
      <c r="O143" t="s">
        <v>67</v>
      </c>
      <c r="P143" t="s">
        <v>24</v>
      </c>
    </row>
    <row r="144" spans="1:16" x14ac:dyDescent="0.3">
      <c r="A144" t="s">
        <v>216</v>
      </c>
      <c r="B144" s="1">
        <v>44861</v>
      </c>
      <c r="C144" t="s">
        <v>58</v>
      </c>
      <c r="D144" t="s">
        <v>84</v>
      </c>
      <c r="E144" t="s">
        <v>19</v>
      </c>
      <c r="F144" t="s">
        <v>65</v>
      </c>
      <c r="G144" t="s">
        <v>124</v>
      </c>
      <c r="H144">
        <v>2</v>
      </c>
      <c r="I144">
        <v>18000</v>
      </c>
      <c r="J144">
        <v>15</v>
      </c>
      <c r="K144">
        <v>30600</v>
      </c>
      <c r="L144">
        <v>13770</v>
      </c>
      <c r="M144">
        <v>16830</v>
      </c>
      <c r="N144" t="s">
        <v>49</v>
      </c>
      <c r="O144" t="s">
        <v>67</v>
      </c>
      <c r="P144" t="s">
        <v>24</v>
      </c>
    </row>
    <row r="145" spans="1:16" x14ac:dyDescent="0.3">
      <c r="A145" t="s">
        <v>217</v>
      </c>
      <c r="B145" s="1">
        <v>45268</v>
      </c>
      <c r="C145" t="s">
        <v>58</v>
      </c>
      <c r="D145" t="s">
        <v>84</v>
      </c>
      <c r="E145" t="s">
        <v>70</v>
      </c>
      <c r="F145" t="s">
        <v>20</v>
      </c>
      <c r="G145" t="s">
        <v>21</v>
      </c>
      <c r="H145">
        <v>21</v>
      </c>
      <c r="I145">
        <v>3500</v>
      </c>
      <c r="J145">
        <v>0</v>
      </c>
      <c r="K145">
        <v>73500</v>
      </c>
      <c r="L145">
        <v>29400</v>
      </c>
      <c r="M145">
        <v>44100</v>
      </c>
      <c r="N145" t="s">
        <v>30</v>
      </c>
      <c r="O145" t="s">
        <v>44</v>
      </c>
      <c r="P145" t="s">
        <v>24</v>
      </c>
    </row>
    <row r="146" spans="1:16" x14ac:dyDescent="0.3">
      <c r="A146" t="s">
        <v>218</v>
      </c>
      <c r="B146" s="1">
        <v>44630</v>
      </c>
      <c r="C146" t="s">
        <v>58</v>
      </c>
      <c r="D146" t="s">
        <v>64</v>
      </c>
      <c r="E146" t="s">
        <v>78</v>
      </c>
      <c r="F146" t="s">
        <v>65</v>
      </c>
      <c r="G146" t="s">
        <v>66</v>
      </c>
      <c r="H146">
        <v>40</v>
      </c>
      <c r="I146">
        <v>5500</v>
      </c>
      <c r="J146">
        <v>0</v>
      </c>
      <c r="K146">
        <v>220000</v>
      </c>
      <c r="L146">
        <v>99000</v>
      </c>
      <c r="M146">
        <v>121000</v>
      </c>
      <c r="N146" t="s">
        <v>30</v>
      </c>
      <c r="O146" t="s">
        <v>50</v>
      </c>
      <c r="P146" t="s">
        <v>24</v>
      </c>
    </row>
    <row r="147" spans="1:16" x14ac:dyDescent="0.3">
      <c r="A147" t="s">
        <v>219</v>
      </c>
      <c r="B147" s="1">
        <v>44984</v>
      </c>
      <c r="C147" t="s">
        <v>46</v>
      </c>
      <c r="D147" t="s">
        <v>55</v>
      </c>
      <c r="E147" t="s">
        <v>52</v>
      </c>
      <c r="F147" t="s">
        <v>33</v>
      </c>
      <c r="G147" t="s">
        <v>76</v>
      </c>
      <c r="H147">
        <v>20</v>
      </c>
      <c r="I147">
        <v>8500</v>
      </c>
      <c r="J147">
        <v>0</v>
      </c>
      <c r="K147">
        <v>170000</v>
      </c>
      <c r="L147">
        <v>85000</v>
      </c>
      <c r="M147">
        <v>85000</v>
      </c>
      <c r="N147" t="s">
        <v>30</v>
      </c>
      <c r="O147" t="s">
        <v>23</v>
      </c>
      <c r="P147" t="s">
        <v>24</v>
      </c>
    </row>
    <row r="148" spans="1:16" x14ac:dyDescent="0.3">
      <c r="A148" t="s">
        <v>220</v>
      </c>
      <c r="B148" s="1">
        <v>45446</v>
      </c>
      <c r="C148" t="s">
        <v>26</v>
      </c>
      <c r="D148" t="s">
        <v>69</v>
      </c>
      <c r="E148" t="s">
        <v>38</v>
      </c>
      <c r="F148" t="s">
        <v>28</v>
      </c>
      <c r="G148" t="s">
        <v>29</v>
      </c>
      <c r="H148">
        <v>37</v>
      </c>
      <c r="I148">
        <v>15000</v>
      </c>
      <c r="J148">
        <v>5</v>
      </c>
      <c r="K148">
        <v>527250</v>
      </c>
      <c r="L148">
        <v>289987.5</v>
      </c>
      <c r="M148">
        <v>237262.5</v>
      </c>
      <c r="N148" t="s">
        <v>49</v>
      </c>
      <c r="O148" t="s">
        <v>23</v>
      </c>
      <c r="P148" t="s">
        <v>24</v>
      </c>
    </row>
    <row r="149" spans="1:16" x14ac:dyDescent="0.3">
      <c r="A149" t="s">
        <v>221</v>
      </c>
      <c r="B149" s="1">
        <v>44581</v>
      </c>
      <c r="C149" t="s">
        <v>17</v>
      </c>
      <c r="D149" t="s">
        <v>18</v>
      </c>
      <c r="E149" t="s">
        <v>38</v>
      </c>
      <c r="F149" t="s">
        <v>65</v>
      </c>
      <c r="G149" t="s">
        <v>104</v>
      </c>
      <c r="H149">
        <v>43</v>
      </c>
      <c r="I149">
        <v>3000</v>
      </c>
      <c r="J149">
        <v>0</v>
      </c>
      <c r="K149">
        <v>129000</v>
      </c>
      <c r="L149">
        <v>58050</v>
      </c>
      <c r="M149">
        <v>70950</v>
      </c>
      <c r="N149" t="s">
        <v>49</v>
      </c>
      <c r="O149" t="s">
        <v>35</v>
      </c>
      <c r="P149" t="s">
        <v>40</v>
      </c>
    </row>
    <row r="150" spans="1:16" x14ac:dyDescent="0.3">
      <c r="A150" t="s">
        <v>222</v>
      </c>
      <c r="B150" s="1">
        <v>45583</v>
      </c>
      <c r="C150" t="s">
        <v>26</v>
      </c>
      <c r="D150" t="s">
        <v>69</v>
      </c>
      <c r="E150" t="s">
        <v>60</v>
      </c>
      <c r="F150" t="s">
        <v>28</v>
      </c>
      <c r="G150" t="s">
        <v>85</v>
      </c>
      <c r="H150">
        <v>24</v>
      </c>
      <c r="I150">
        <v>8000</v>
      </c>
      <c r="J150">
        <v>10</v>
      </c>
      <c r="K150">
        <v>172800</v>
      </c>
      <c r="L150">
        <v>95040</v>
      </c>
      <c r="M150">
        <v>77760</v>
      </c>
      <c r="N150" t="s">
        <v>49</v>
      </c>
      <c r="O150" t="s">
        <v>35</v>
      </c>
      <c r="P150" t="s">
        <v>24</v>
      </c>
    </row>
    <row r="151" spans="1:16" x14ac:dyDescent="0.3">
      <c r="A151" t="s">
        <v>223</v>
      </c>
      <c r="B151" s="1">
        <v>45238</v>
      </c>
      <c r="C151" t="s">
        <v>26</v>
      </c>
      <c r="D151" t="s">
        <v>69</v>
      </c>
      <c r="E151" t="s">
        <v>78</v>
      </c>
      <c r="F151" t="s">
        <v>28</v>
      </c>
      <c r="G151" t="s">
        <v>71</v>
      </c>
      <c r="H151">
        <v>35</v>
      </c>
      <c r="I151">
        <v>35000</v>
      </c>
      <c r="J151">
        <v>10</v>
      </c>
      <c r="K151">
        <v>1102500</v>
      </c>
      <c r="L151">
        <v>606375</v>
      </c>
      <c r="M151">
        <v>496125</v>
      </c>
      <c r="N151" t="s">
        <v>22</v>
      </c>
      <c r="O151" t="s">
        <v>23</v>
      </c>
      <c r="P151" t="s">
        <v>24</v>
      </c>
    </row>
    <row r="152" spans="1:16" x14ac:dyDescent="0.3">
      <c r="A152" t="s">
        <v>224</v>
      </c>
      <c r="B152" s="1">
        <v>45494</v>
      </c>
      <c r="C152" t="s">
        <v>46</v>
      </c>
      <c r="D152" t="s">
        <v>47</v>
      </c>
      <c r="E152" t="s">
        <v>52</v>
      </c>
      <c r="F152" t="s">
        <v>65</v>
      </c>
      <c r="G152" t="s">
        <v>117</v>
      </c>
      <c r="H152">
        <v>19</v>
      </c>
      <c r="I152">
        <v>1200</v>
      </c>
      <c r="J152">
        <v>5</v>
      </c>
      <c r="K152">
        <v>21660</v>
      </c>
      <c r="L152">
        <v>9747</v>
      </c>
      <c r="M152">
        <v>11913</v>
      </c>
      <c r="N152" t="s">
        <v>30</v>
      </c>
      <c r="O152" t="s">
        <v>35</v>
      </c>
      <c r="P152" t="s">
        <v>24</v>
      </c>
    </row>
    <row r="153" spans="1:16" x14ac:dyDescent="0.3">
      <c r="A153" t="s">
        <v>225</v>
      </c>
      <c r="B153" s="1">
        <v>45179</v>
      </c>
      <c r="C153" t="s">
        <v>58</v>
      </c>
      <c r="D153" t="s">
        <v>64</v>
      </c>
      <c r="E153" t="s">
        <v>60</v>
      </c>
      <c r="F153" t="s">
        <v>33</v>
      </c>
      <c r="G153" t="s">
        <v>39</v>
      </c>
      <c r="H153">
        <v>49</v>
      </c>
      <c r="I153">
        <v>5000</v>
      </c>
      <c r="J153">
        <v>5</v>
      </c>
      <c r="K153">
        <v>232750</v>
      </c>
      <c r="L153">
        <v>116375</v>
      </c>
      <c r="M153">
        <v>116375</v>
      </c>
      <c r="N153" t="s">
        <v>49</v>
      </c>
      <c r="O153" t="s">
        <v>35</v>
      </c>
      <c r="P153" t="s">
        <v>24</v>
      </c>
    </row>
    <row r="154" spans="1:16" x14ac:dyDescent="0.3">
      <c r="A154" t="s">
        <v>226</v>
      </c>
      <c r="B154" s="1">
        <v>45208</v>
      </c>
      <c r="C154" t="s">
        <v>26</v>
      </c>
      <c r="D154" t="s">
        <v>69</v>
      </c>
      <c r="E154" t="s">
        <v>32</v>
      </c>
      <c r="F154" t="s">
        <v>65</v>
      </c>
      <c r="G154" t="s">
        <v>66</v>
      </c>
      <c r="H154">
        <v>25</v>
      </c>
      <c r="I154">
        <v>5500</v>
      </c>
      <c r="J154">
        <v>10</v>
      </c>
      <c r="K154">
        <v>123750</v>
      </c>
      <c r="L154">
        <v>55687.5</v>
      </c>
      <c r="M154">
        <v>68062.5</v>
      </c>
      <c r="N154" t="s">
        <v>49</v>
      </c>
      <c r="O154" t="s">
        <v>23</v>
      </c>
      <c r="P154" t="s">
        <v>24</v>
      </c>
    </row>
    <row r="155" spans="1:16" x14ac:dyDescent="0.3">
      <c r="A155" t="s">
        <v>227</v>
      </c>
      <c r="B155" s="1">
        <v>45286</v>
      </c>
      <c r="C155" t="s">
        <v>17</v>
      </c>
      <c r="D155" t="s">
        <v>18</v>
      </c>
      <c r="E155" t="s">
        <v>32</v>
      </c>
      <c r="F155" t="s">
        <v>28</v>
      </c>
      <c r="G155" t="s">
        <v>85</v>
      </c>
      <c r="H155">
        <v>39</v>
      </c>
      <c r="I155">
        <v>8000</v>
      </c>
      <c r="J155">
        <v>5</v>
      </c>
      <c r="K155">
        <v>296400</v>
      </c>
      <c r="L155">
        <v>163020</v>
      </c>
      <c r="M155">
        <v>133380</v>
      </c>
      <c r="N155" t="s">
        <v>49</v>
      </c>
      <c r="O155" t="s">
        <v>50</v>
      </c>
      <c r="P155" t="s">
        <v>40</v>
      </c>
    </row>
    <row r="156" spans="1:16" x14ac:dyDescent="0.3">
      <c r="A156" t="s">
        <v>228</v>
      </c>
      <c r="B156" s="1">
        <v>44745</v>
      </c>
      <c r="C156" t="s">
        <v>17</v>
      </c>
      <c r="D156" t="s">
        <v>42</v>
      </c>
      <c r="E156" t="s">
        <v>73</v>
      </c>
      <c r="F156" t="s">
        <v>33</v>
      </c>
      <c r="G156" t="s">
        <v>48</v>
      </c>
      <c r="H156">
        <v>39</v>
      </c>
      <c r="I156">
        <v>1500</v>
      </c>
      <c r="J156">
        <v>15</v>
      </c>
      <c r="K156">
        <v>49725</v>
      </c>
      <c r="L156">
        <v>24862.5</v>
      </c>
      <c r="M156">
        <v>24862.5</v>
      </c>
      <c r="N156" t="s">
        <v>22</v>
      </c>
      <c r="O156" t="s">
        <v>23</v>
      </c>
      <c r="P156" t="s">
        <v>24</v>
      </c>
    </row>
    <row r="157" spans="1:16" x14ac:dyDescent="0.3">
      <c r="A157" t="s">
        <v>229</v>
      </c>
      <c r="B157" s="1">
        <v>45245</v>
      </c>
      <c r="C157" t="s">
        <v>26</v>
      </c>
      <c r="D157" t="s">
        <v>69</v>
      </c>
      <c r="E157" t="s">
        <v>38</v>
      </c>
      <c r="F157" t="s">
        <v>65</v>
      </c>
      <c r="G157" t="s">
        <v>124</v>
      </c>
      <c r="H157">
        <v>41</v>
      </c>
      <c r="I157">
        <v>18000</v>
      </c>
      <c r="J157">
        <v>0</v>
      </c>
      <c r="K157">
        <v>738000</v>
      </c>
      <c r="L157">
        <v>332100</v>
      </c>
      <c r="M157">
        <v>405900</v>
      </c>
      <c r="N157" t="s">
        <v>22</v>
      </c>
      <c r="O157" t="s">
        <v>23</v>
      </c>
      <c r="P157" t="s">
        <v>24</v>
      </c>
    </row>
    <row r="158" spans="1:16" x14ac:dyDescent="0.3">
      <c r="A158" t="s">
        <v>230</v>
      </c>
      <c r="B158" s="1">
        <v>45277</v>
      </c>
      <c r="C158" t="s">
        <v>46</v>
      </c>
      <c r="D158" t="s">
        <v>47</v>
      </c>
      <c r="E158" t="s">
        <v>78</v>
      </c>
      <c r="F158" t="s">
        <v>65</v>
      </c>
      <c r="G158" t="s">
        <v>117</v>
      </c>
      <c r="H158">
        <v>9</v>
      </c>
      <c r="I158">
        <v>1200</v>
      </c>
      <c r="J158">
        <v>0</v>
      </c>
      <c r="K158">
        <v>10800</v>
      </c>
      <c r="L158">
        <v>4860</v>
      </c>
      <c r="M158">
        <v>5940</v>
      </c>
      <c r="N158" t="s">
        <v>22</v>
      </c>
      <c r="O158" t="s">
        <v>50</v>
      </c>
      <c r="P158" t="s">
        <v>24</v>
      </c>
    </row>
    <row r="159" spans="1:16" x14ac:dyDescent="0.3">
      <c r="A159" t="s">
        <v>231</v>
      </c>
      <c r="B159" s="1">
        <v>45273</v>
      </c>
      <c r="C159" t="s">
        <v>26</v>
      </c>
      <c r="D159" t="s">
        <v>27</v>
      </c>
      <c r="E159" t="s">
        <v>60</v>
      </c>
      <c r="F159" t="s">
        <v>33</v>
      </c>
      <c r="G159" t="s">
        <v>34</v>
      </c>
      <c r="H159">
        <v>29</v>
      </c>
      <c r="I159">
        <v>25000</v>
      </c>
      <c r="J159">
        <v>0</v>
      </c>
      <c r="K159">
        <v>725000</v>
      </c>
      <c r="L159">
        <v>362500</v>
      </c>
      <c r="M159">
        <v>362500</v>
      </c>
      <c r="N159" t="s">
        <v>30</v>
      </c>
      <c r="O159" t="s">
        <v>67</v>
      </c>
      <c r="P159" t="s">
        <v>40</v>
      </c>
    </row>
    <row r="160" spans="1:16" x14ac:dyDescent="0.3">
      <c r="A160" t="s">
        <v>232</v>
      </c>
      <c r="B160" s="1">
        <v>45273</v>
      </c>
      <c r="C160" t="s">
        <v>17</v>
      </c>
      <c r="D160" t="s">
        <v>42</v>
      </c>
      <c r="E160" t="s">
        <v>73</v>
      </c>
      <c r="F160" t="s">
        <v>20</v>
      </c>
      <c r="G160" t="s">
        <v>21</v>
      </c>
      <c r="H160">
        <v>2</v>
      </c>
      <c r="I160">
        <v>3500</v>
      </c>
      <c r="J160">
        <v>5</v>
      </c>
      <c r="K160">
        <v>6650</v>
      </c>
      <c r="L160">
        <v>2660</v>
      </c>
      <c r="M160">
        <v>3990</v>
      </c>
      <c r="N160" t="s">
        <v>22</v>
      </c>
      <c r="O160" t="s">
        <v>23</v>
      </c>
      <c r="P160" t="s">
        <v>24</v>
      </c>
    </row>
    <row r="161" spans="1:16" x14ac:dyDescent="0.3">
      <c r="A161" t="s">
        <v>233</v>
      </c>
      <c r="B161" s="1">
        <v>45630</v>
      </c>
      <c r="C161" t="s">
        <v>17</v>
      </c>
      <c r="D161" t="s">
        <v>37</v>
      </c>
      <c r="E161" t="s">
        <v>60</v>
      </c>
      <c r="F161" t="s">
        <v>20</v>
      </c>
      <c r="G161" t="s">
        <v>53</v>
      </c>
      <c r="H161">
        <v>19</v>
      </c>
      <c r="I161">
        <v>600</v>
      </c>
      <c r="J161">
        <v>15</v>
      </c>
      <c r="K161">
        <v>9690</v>
      </c>
      <c r="L161">
        <v>3876</v>
      </c>
      <c r="M161">
        <v>5814</v>
      </c>
      <c r="N161" t="s">
        <v>30</v>
      </c>
      <c r="O161" t="s">
        <v>44</v>
      </c>
      <c r="P161" t="s">
        <v>24</v>
      </c>
    </row>
    <row r="162" spans="1:16" x14ac:dyDescent="0.3">
      <c r="A162" t="s">
        <v>234</v>
      </c>
      <c r="B162" s="1">
        <v>44696</v>
      </c>
      <c r="C162" t="s">
        <v>46</v>
      </c>
      <c r="D162" t="s">
        <v>55</v>
      </c>
      <c r="E162" t="s">
        <v>52</v>
      </c>
      <c r="F162" t="s">
        <v>33</v>
      </c>
      <c r="G162" t="s">
        <v>34</v>
      </c>
      <c r="H162">
        <v>46</v>
      </c>
      <c r="I162">
        <v>25000</v>
      </c>
      <c r="J162">
        <v>0</v>
      </c>
      <c r="K162">
        <v>1150000</v>
      </c>
      <c r="L162">
        <v>575000</v>
      </c>
      <c r="M162">
        <v>575000</v>
      </c>
      <c r="N162" t="s">
        <v>22</v>
      </c>
      <c r="O162" t="s">
        <v>50</v>
      </c>
      <c r="P162" t="s">
        <v>40</v>
      </c>
    </row>
    <row r="163" spans="1:16" x14ac:dyDescent="0.3">
      <c r="A163" t="s">
        <v>235</v>
      </c>
      <c r="B163" s="1">
        <v>45166</v>
      </c>
      <c r="C163" t="s">
        <v>46</v>
      </c>
      <c r="D163" t="s">
        <v>47</v>
      </c>
      <c r="E163" t="s">
        <v>70</v>
      </c>
      <c r="F163" t="s">
        <v>20</v>
      </c>
      <c r="G163" t="s">
        <v>21</v>
      </c>
      <c r="H163">
        <v>13</v>
      </c>
      <c r="I163">
        <v>3500</v>
      </c>
      <c r="J163">
        <v>5</v>
      </c>
      <c r="K163">
        <v>43225</v>
      </c>
      <c r="L163">
        <v>17290</v>
      </c>
      <c r="M163">
        <v>25935</v>
      </c>
      <c r="N163" t="s">
        <v>49</v>
      </c>
      <c r="O163" t="s">
        <v>35</v>
      </c>
      <c r="P163" t="s">
        <v>24</v>
      </c>
    </row>
    <row r="164" spans="1:16" x14ac:dyDescent="0.3">
      <c r="A164" t="s">
        <v>236</v>
      </c>
      <c r="B164" s="1">
        <v>45278</v>
      </c>
      <c r="C164" t="s">
        <v>17</v>
      </c>
      <c r="D164" t="s">
        <v>37</v>
      </c>
      <c r="E164" t="s">
        <v>111</v>
      </c>
      <c r="F164" t="s">
        <v>20</v>
      </c>
      <c r="G164" t="s">
        <v>53</v>
      </c>
      <c r="H164">
        <v>6</v>
      </c>
      <c r="I164">
        <v>600</v>
      </c>
      <c r="J164">
        <v>0</v>
      </c>
      <c r="K164">
        <v>3600</v>
      </c>
      <c r="L164">
        <v>1440</v>
      </c>
      <c r="M164">
        <v>2160</v>
      </c>
      <c r="N164" t="s">
        <v>49</v>
      </c>
      <c r="O164" t="s">
        <v>23</v>
      </c>
      <c r="P164" t="s">
        <v>24</v>
      </c>
    </row>
    <row r="165" spans="1:16" x14ac:dyDescent="0.3">
      <c r="A165" t="s">
        <v>237</v>
      </c>
      <c r="B165" s="1">
        <v>45579</v>
      </c>
      <c r="C165" t="s">
        <v>58</v>
      </c>
      <c r="D165" t="s">
        <v>64</v>
      </c>
      <c r="E165" t="s">
        <v>52</v>
      </c>
      <c r="F165" t="s">
        <v>20</v>
      </c>
      <c r="G165" t="s">
        <v>61</v>
      </c>
      <c r="H165">
        <v>42</v>
      </c>
      <c r="I165">
        <v>800</v>
      </c>
      <c r="J165">
        <v>0</v>
      </c>
      <c r="K165">
        <v>33600</v>
      </c>
      <c r="L165">
        <v>13440</v>
      </c>
      <c r="M165">
        <v>20160</v>
      </c>
      <c r="N165" t="s">
        <v>49</v>
      </c>
      <c r="O165" t="s">
        <v>67</v>
      </c>
      <c r="P165" t="s">
        <v>24</v>
      </c>
    </row>
    <row r="166" spans="1:16" x14ac:dyDescent="0.3">
      <c r="A166" t="s">
        <v>238</v>
      </c>
      <c r="B166" s="1">
        <v>45235</v>
      </c>
      <c r="C166" t="s">
        <v>46</v>
      </c>
      <c r="D166" t="s">
        <v>47</v>
      </c>
      <c r="E166" t="s">
        <v>32</v>
      </c>
      <c r="F166" t="s">
        <v>28</v>
      </c>
      <c r="G166" t="s">
        <v>95</v>
      </c>
      <c r="H166">
        <v>34</v>
      </c>
      <c r="I166">
        <v>75000</v>
      </c>
      <c r="J166">
        <v>5</v>
      </c>
      <c r="K166">
        <v>2422500</v>
      </c>
      <c r="L166">
        <v>1332375</v>
      </c>
      <c r="M166">
        <v>1090125</v>
      </c>
      <c r="N166" t="s">
        <v>30</v>
      </c>
      <c r="O166" t="s">
        <v>44</v>
      </c>
      <c r="P166" t="s">
        <v>24</v>
      </c>
    </row>
    <row r="167" spans="1:16" x14ac:dyDescent="0.3">
      <c r="A167" t="s">
        <v>239</v>
      </c>
      <c r="B167" s="1">
        <v>45192</v>
      </c>
      <c r="C167" t="s">
        <v>46</v>
      </c>
      <c r="D167" t="s">
        <v>55</v>
      </c>
      <c r="E167" t="s">
        <v>111</v>
      </c>
      <c r="F167" t="s">
        <v>33</v>
      </c>
      <c r="G167" t="s">
        <v>39</v>
      </c>
      <c r="H167">
        <v>17</v>
      </c>
      <c r="I167">
        <v>5000</v>
      </c>
      <c r="J167">
        <v>5</v>
      </c>
      <c r="K167">
        <v>80750</v>
      </c>
      <c r="L167">
        <v>40375</v>
      </c>
      <c r="M167">
        <v>40375</v>
      </c>
      <c r="N167" t="s">
        <v>49</v>
      </c>
      <c r="O167" t="s">
        <v>44</v>
      </c>
      <c r="P167" t="s">
        <v>40</v>
      </c>
    </row>
    <row r="168" spans="1:16" x14ac:dyDescent="0.3">
      <c r="A168" t="s">
        <v>240</v>
      </c>
      <c r="B168" s="1">
        <v>45158</v>
      </c>
      <c r="C168" t="s">
        <v>26</v>
      </c>
      <c r="D168" t="s">
        <v>27</v>
      </c>
      <c r="E168" t="s">
        <v>38</v>
      </c>
      <c r="F168" t="s">
        <v>20</v>
      </c>
      <c r="G168" t="s">
        <v>74</v>
      </c>
      <c r="H168">
        <v>43</v>
      </c>
      <c r="I168">
        <v>4200</v>
      </c>
      <c r="J168">
        <v>20</v>
      </c>
      <c r="K168">
        <v>144480</v>
      </c>
      <c r="L168">
        <v>57792</v>
      </c>
      <c r="M168">
        <v>86688</v>
      </c>
      <c r="N168" t="s">
        <v>49</v>
      </c>
      <c r="O168" t="s">
        <v>67</v>
      </c>
      <c r="P168" t="s">
        <v>40</v>
      </c>
    </row>
    <row r="169" spans="1:16" x14ac:dyDescent="0.3">
      <c r="A169" t="s">
        <v>241</v>
      </c>
      <c r="B169" s="1">
        <v>44647</v>
      </c>
      <c r="C169" t="s">
        <v>26</v>
      </c>
      <c r="D169" t="s">
        <v>27</v>
      </c>
      <c r="E169" t="s">
        <v>56</v>
      </c>
      <c r="F169" t="s">
        <v>33</v>
      </c>
      <c r="G169" t="s">
        <v>76</v>
      </c>
      <c r="H169">
        <v>50</v>
      </c>
      <c r="I169">
        <v>8500</v>
      </c>
      <c r="J169">
        <v>20</v>
      </c>
      <c r="K169">
        <v>340000</v>
      </c>
      <c r="L169">
        <v>170000</v>
      </c>
      <c r="M169">
        <v>170000</v>
      </c>
      <c r="N169" t="s">
        <v>22</v>
      </c>
      <c r="O169" t="s">
        <v>35</v>
      </c>
      <c r="P169" t="s">
        <v>24</v>
      </c>
    </row>
    <row r="170" spans="1:16" x14ac:dyDescent="0.3">
      <c r="A170" t="s">
        <v>242</v>
      </c>
      <c r="B170" s="1">
        <v>45525</v>
      </c>
      <c r="C170" t="s">
        <v>17</v>
      </c>
      <c r="D170" t="s">
        <v>42</v>
      </c>
      <c r="E170" t="s">
        <v>73</v>
      </c>
      <c r="F170" t="s">
        <v>65</v>
      </c>
      <c r="G170" t="s">
        <v>104</v>
      </c>
      <c r="H170">
        <v>44</v>
      </c>
      <c r="I170">
        <v>3000</v>
      </c>
      <c r="J170">
        <v>15</v>
      </c>
      <c r="K170">
        <v>112200</v>
      </c>
      <c r="L170">
        <v>50490</v>
      </c>
      <c r="M170">
        <v>61710</v>
      </c>
      <c r="N170" t="s">
        <v>49</v>
      </c>
      <c r="O170" t="s">
        <v>35</v>
      </c>
      <c r="P170" t="s">
        <v>24</v>
      </c>
    </row>
    <row r="171" spans="1:16" x14ac:dyDescent="0.3">
      <c r="A171" t="s">
        <v>243</v>
      </c>
      <c r="B171" s="1">
        <v>44657</v>
      </c>
      <c r="C171" t="s">
        <v>58</v>
      </c>
      <c r="D171" t="s">
        <v>59</v>
      </c>
      <c r="E171" t="s">
        <v>60</v>
      </c>
      <c r="F171" t="s">
        <v>65</v>
      </c>
      <c r="G171" t="s">
        <v>104</v>
      </c>
      <c r="H171">
        <v>22</v>
      </c>
      <c r="I171">
        <v>3000</v>
      </c>
      <c r="J171">
        <v>20</v>
      </c>
      <c r="K171">
        <v>52800</v>
      </c>
      <c r="L171">
        <v>23760</v>
      </c>
      <c r="M171">
        <v>29040</v>
      </c>
      <c r="N171" t="s">
        <v>49</v>
      </c>
      <c r="O171" t="s">
        <v>50</v>
      </c>
      <c r="P171" t="s">
        <v>24</v>
      </c>
    </row>
    <row r="172" spans="1:16" x14ac:dyDescent="0.3">
      <c r="A172" t="s">
        <v>244</v>
      </c>
      <c r="B172" s="1">
        <v>45243</v>
      </c>
      <c r="C172" t="s">
        <v>46</v>
      </c>
      <c r="D172" t="s">
        <v>55</v>
      </c>
      <c r="E172" t="s">
        <v>111</v>
      </c>
      <c r="F172" t="s">
        <v>28</v>
      </c>
      <c r="G172" t="s">
        <v>71</v>
      </c>
      <c r="H172">
        <v>16</v>
      </c>
      <c r="I172">
        <v>35000</v>
      </c>
      <c r="J172">
        <v>15</v>
      </c>
      <c r="K172">
        <v>476000</v>
      </c>
      <c r="L172">
        <v>261800</v>
      </c>
      <c r="M172">
        <v>214200</v>
      </c>
      <c r="N172" t="s">
        <v>49</v>
      </c>
      <c r="O172" t="s">
        <v>23</v>
      </c>
      <c r="P172" t="s">
        <v>24</v>
      </c>
    </row>
    <row r="173" spans="1:16" x14ac:dyDescent="0.3">
      <c r="A173" t="s">
        <v>245</v>
      </c>
      <c r="B173" s="1">
        <v>45021</v>
      </c>
      <c r="C173" t="s">
        <v>26</v>
      </c>
      <c r="D173" t="s">
        <v>27</v>
      </c>
      <c r="E173" t="s">
        <v>73</v>
      </c>
      <c r="F173" t="s">
        <v>65</v>
      </c>
      <c r="G173" t="s">
        <v>79</v>
      </c>
      <c r="H173">
        <v>27</v>
      </c>
      <c r="I173">
        <v>900</v>
      </c>
      <c r="J173">
        <v>5</v>
      </c>
      <c r="K173">
        <v>23085</v>
      </c>
      <c r="L173">
        <v>10388.25</v>
      </c>
      <c r="M173">
        <v>12696.75</v>
      </c>
      <c r="N173" t="s">
        <v>49</v>
      </c>
      <c r="O173" t="s">
        <v>67</v>
      </c>
      <c r="P173" t="s">
        <v>24</v>
      </c>
    </row>
    <row r="174" spans="1:16" x14ac:dyDescent="0.3">
      <c r="A174" t="s">
        <v>246</v>
      </c>
      <c r="B174" s="1">
        <v>45176</v>
      </c>
      <c r="C174" t="s">
        <v>46</v>
      </c>
      <c r="D174" t="s">
        <v>55</v>
      </c>
      <c r="E174" t="s">
        <v>111</v>
      </c>
      <c r="F174" t="s">
        <v>65</v>
      </c>
      <c r="G174" t="s">
        <v>66</v>
      </c>
      <c r="H174">
        <v>20</v>
      </c>
      <c r="I174">
        <v>5500</v>
      </c>
      <c r="J174">
        <v>15</v>
      </c>
      <c r="K174">
        <v>93500</v>
      </c>
      <c r="L174">
        <v>42075</v>
      </c>
      <c r="M174">
        <v>51425</v>
      </c>
      <c r="N174" t="s">
        <v>30</v>
      </c>
      <c r="O174" t="s">
        <v>23</v>
      </c>
      <c r="P174" t="s">
        <v>24</v>
      </c>
    </row>
    <row r="175" spans="1:16" x14ac:dyDescent="0.3">
      <c r="A175" t="s">
        <v>247</v>
      </c>
      <c r="B175" s="1">
        <v>45550</v>
      </c>
      <c r="C175" t="s">
        <v>46</v>
      </c>
      <c r="D175" t="s">
        <v>47</v>
      </c>
      <c r="E175" t="s">
        <v>38</v>
      </c>
      <c r="F175" t="s">
        <v>33</v>
      </c>
      <c r="G175" t="s">
        <v>39</v>
      </c>
      <c r="H175">
        <v>4</v>
      </c>
      <c r="I175">
        <v>5000</v>
      </c>
      <c r="J175">
        <v>10</v>
      </c>
      <c r="K175">
        <v>18000</v>
      </c>
      <c r="L175">
        <v>9000</v>
      </c>
      <c r="M175">
        <v>9000</v>
      </c>
      <c r="N175" t="s">
        <v>22</v>
      </c>
      <c r="O175" t="s">
        <v>23</v>
      </c>
      <c r="P175" t="s">
        <v>24</v>
      </c>
    </row>
    <row r="176" spans="1:16" x14ac:dyDescent="0.3">
      <c r="A176" t="s">
        <v>248</v>
      </c>
      <c r="B176" s="1">
        <v>45125</v>
      </c>
      <c r="C176" t="s">
        <v>26</v>
      </c>
      <c r="D176" t="s">
        <v>27</v>
      </c>
      <c r="E176" t="s">
        <v>32</v>
      </c>
      <c r="F176" t="s">
        <v>20</v>
      </c>
      <c r="G176" t="s">
        <v>61</v>
      </c>
      <c r="H176">
        <v>47</v>
      </c>
      <c r="I176">
        <v>800</v>
      </c>
      <c r="J176">
        <v>10</v>
      </c>
      <c r="K176">
        <v>33840</v>
      </c>
      <c r="L176">
        <v>13536</v>
      </c>
      <c r="M176">
        <v>20304</v>
      </c>
      <c r="N176" t="s">
        <v>49</v>
      </c>
      <c r="O176" t="s">
        <v>35</v>
      </c>
      <c r="P176" t="s">
        <v>24</v>
      </c>
    </row>
    <row r="177" spans="1:16" x14ac:dyDescent="0.3">
      <c r="A177" t="s">
        <v>249</v>
      </c>
      <c r="B177" s="1">
        <v>45324</v>
      </c>
      <c r="C177" t="s">
        <v>46</v>
      </c>
      <c r="D177" t="s">
        <v>55</v>
      </c>
      <c r="E177" t="s">
        <v>111</v>
      </c>
      <c r="F177" t="s">
        <v>33</v>
      </c>
      <c r="G177" t="s">
        <v>39</v>
      </c>
      <c r="H177">
        <v>25</v>
      </c>
      <c r="I177">
        <v>5000</v>
      </c>
      <c r="J177">
        <v>20</v>
      </c>
      <c r="K177">
        <v>100000</v>
      </c>
      <c r="L177">
        <v>50000</v>
      </c>
      <c r="M177">
        <v>50000</v>
      </c>
      <c r="N177" t="s">
        <v>22</v>
      </c>
      <c r="O177" t="s">
        <v>50</v>
      </c>
      <c r="P177" t="s">
        <v>24</v>
      </c>
    </row>
    <row r="178" spans="1:16" x14ac:dyDescent="0.3">
      <c r="A178" t="s">
        <v>250</v>
      </c>
      <c r="B178" s="1">
        <v>44778</v>
      </c>
      <c r="C178" t="s">
        <v>26</v>
      </c>
      <c r="D178" t="s">
        <v>69</v>
      </c>
      <c r="E178" t="s">
        <v>70</v>
      </c>
      <c r="F178" t="s">
        <v>33</v>
      </c>
      <c r="G178" t="s">
        <v>43</v>
      </c>
      <c r="H178">
        <v>24</v>
      </c>
      <c r="I178">
        <v>4000</v>
      </c>
      <c r="J178">
        <v>5</v>
      </c>
      <c r="K178">
        <v>91200</v>
      </c>
      <c r="L178">
        <v>45600</v>
      </c>
      <c r="M178">
        <v>45600</v>
      </c>
      <c r="N178" t="s">
        <v>22</v>
      </c>
      <c r="O178" t="s">
        <v>67</v>
      </c>
      <c r="P178" t="s">
        <v>24</v>
      </c>
    </row>
    <row r="179" spans="1:16" x14ac:dyDescent="0.3">
      <c r="A179" t="s">
        <v>251</v>
      </c>
      <c r="B179" s="1">
        <v>45339</v>
      </c>
      <c r="C179" t="s">
        <v>26</v>
      </c>
      <c r="D179" t="s">
        <v>27</v>
      </c>
      <c r="E179" t="s">
        <v>56</v>
      </c>
      <c r="F179" t="s">
        <v>20</v>
      </c>
      <c r="G179" t="s">
        <v>61</v>
      </c>
      <c r="H179">
        <v>31</v>
      </c>
      <c r="I179">
        <v>800</v>
      </c>
      <c r="J179">
        <v>20</v>
      </c>
      <c r="K179">
        <v>19840</v>
      </c>
      <c r="L179">
        <v>7936</v>
      </c>
      <c r="M179">
        <v>11904</v>
      </c>
      <c r="N179" t="s">
        <v>30</v>
      </c>
      <c r="O179" t="s">
        <v>67</v>
      </c>
      <c r="P179" t="s">
        <v>24</v>
      </c>
    </row>
    <row r="180" spans="1:16" x14ac:dyDescent="0.3">
      <c r="A180" t="s">
        <v>252</v>
      </c>
      <c r="B180" s="1">
        <v>45540</v>
      </c>
      <c r="C180" t="s">
        <v>17</v>
      </c>
      <c r="D180" t="s">
        <v>42</v>
      </c>
      <c r="E180" t="s">
        <v>70</v>
      </c>
      <c r="F180" t="s">
        <v>20</v>
      </c>
      <c r="G180" t="s">
        <v>115</v>
      </c>
      <c r="H180">
        <v>40</v>
      </c>
      <c r="I180">
        <v>2500</v>
      </c>
      <c r="J180">
        <v>10</v>
      </c>
      <c r="K180">
        <v>90000</v>
      </c>
      <c r="L180">
        <v>36000</v>
      </c>
      <c r="M180">
        <v>54000</v>
      </c>
      <c r="N180" t="s">
        <v>49</v>
      </c>
      <c r="O180" t="s">
        <v>67</v>
      </c>
      <c r="P180" t="s">
        <v>40</v>
      </c>
    </row>
    <row r="181" spans="1:16" x14ac:dyDescent="0.3">
      <c r="A181" t="s">
        <v>253</v>
      </c>
      <c r="B181" s="1">
        <v>45553</v>
      </c>
      <c r="C181" t="s">
        <v>58</v>
      </c>
      <c r="D181" t="s">
        <v>64</v>
      </c>
      <c r="E181" t="s">
        <v>38</v>
      </c>
      <c r="F181" t="s">
        <v>33</v>
      </c>
      <c r="G181" t="s">
        <v>48</v>
      </c>
      <c r="H181">
        <v>2</v>
      </c>
      <c r="I181">
        <v>1500</v>
      </c>
      <c r="J181">
        <v>10</v>
      </c>
      <c r="K181">
        <v>2700</v>
      </c>
      <c r="L181">
        <v>1350</v>
      </c>
      <c r="M181">
        <v>1350</v>
      </c>
      <c r="N181" t="s">
        <v>22</v>
      </c>
      <c r="O181" t="s">
        <v>35</v>
      </c>
      <c r="P181" t="s">
        <v>24</v>
      </c>
    </row>
    <row r="182" spans="1:16" x14ac:dyDescent="0.3">
      <c r="A182" t="s">
        <v>254</v>
      </c>
      <c r="B182" s="1">
        <v>45370</v>
      </c>
      <c r="C182" t="s">
        <v>17</v>
      </c>
      <c r="D182" t="s">
        <v>42</v>
      </c>
      <c r="E182" t="s">
        <v>56</v>
      </c>
      <c r="F182" t="s">
        <v>65</v>
      </c>
      <c r="G182" t="s">
        <v>124</v>
      </c>
      <c r="H182">
        <v>42</v>
      </c>
      <c r="I182">
        <v>18000</v>
      </c>
      <c r="J182">
        <v>20</v>
      </c>
      <c r="K182">
        <v>604800</v>
      </c>
      <c r="L182">
        <v>272160</v>
      </c>
      <c r="M182">
        <v>332640</v>
      </c>
      <c r="N182" t="s">
        <v>30</v>
      </c>
      <c r="O182" t="s">
        <v>35</v>
      </c>
      <c r="P182" t="s">
        <v>40</v>
      </c>
    </row>
    <row r="183" spans="1:16" x14ac:dyDescent="0.3">
      <c r="A183" t="s">
        <v>255</v>
      </c>
      <c r="B183" s="1">
        <v>45479</v>
      </c>
      <c r="C183" t="s">
        <v>58</v>
      </c>
      <c r="D183" t="s">
        <v>84</v>
      </c>
      <c r="E183" t="s">
        <v>19</v>
      </c>
      <c r="F183" t="s">
        <v>28</v>
      </c>
      <c r="G183" t="s">
        <v>29</v>
      </c>
      <c r="H183">
        <v>45</v>
      </c>
      <c r="I183">
        <v>15000</v>
      </c>
      <c r="J183">
        <v>0</v>
      </c>
      <c r="K183">
        <v>675000</v>
      </c>
      <c r="L183">
        <v>371250</v>
      </c>
      <c r="M183">
        <v>303750</v>
      </c>
      <c r="N183" t="s">
        <v>30</v>
      </c>
      <c r="O183" t="s">
        <v>23</v>
      </c>
      <c r="P183" t="s">
        <v>24</v>
      </c>
    </row>
    <row r="184" spans="1:16" x14ac:dyDescent="0.3">
      <c r="A184" t="s">
        <v>256</v>
      </c>
      <c r="B184" s="1">
        <v>45183</v>
      </c>
      <c r="C184" t="s">
        <v>46</v>
      </c>
      <c r="D184" t="s">
        <v>55</v>
      </c>
      <c r="E184" t="s">
        <v>19</v>
      </c>
      <c r="F184" t="s">
        <v>65</v>
      </c>
      <c r="G184" t="s">
        <v>79</v>
      </c>
      <c r="H184">
        <v>50</v>
      </c>
      <c r="I184">
        <v>900</v>
      </c>
      <c r="J184">
        <v>20</v>
      </c>
      <c r="K184">
        <v>36000</v>
      </c>
      <c r="L184">
        <v>16200</v>
      </c>
      <c r="M184">
        <v>19800</v>
      </c>
      <c r="N184" t="s">
        <v>22</v>
      </c>
      <c r="O184" t="s">
        <v>35</v>
      </c>
      <c r="P184" t="s">
        <v>24</v>
      </c>
    </row>
    <row r="185" spans="1:16" x14ac:dyDescent="0.3">
      <c r="A185" t="s">
        <v>257</v>
      </c>
      <c r="B185" s="1">
        <v>44821</v>
      </c>
      <c r="C185" t="s">
        <v>46</v>
      </c>
      <c r="D185" t="s">
        <v>55</v>
      </c>
      <c r="E185" t="s">
        <v>60</v>
      </c>
      <c r="F185" t="s">
        <v>65</v>
      </c>
      <c r="G185" t="s">
        <v>124</v>
      </c>
      <c r="H185">
        <v>12</v>
      </c>
      <c r="I185">
        <v>18000</v>
      </c>
      <c r="J185">
        <v>15</v>
      </c>
      <c r="K185">
        <v>183600</v>
      </c>
      <c r="L185">
        <v>82620</v>
      </c>
      <c r="M185">
        <v>100980</v>
      </c>
      <c r="N185" t="s">
        <v>49</v>
      </c>
      <c r="O185" t="s">
        <v>67</v>
      </c>
      <c r="P185" t="s">
        <v>40</v>
      </c>
    </row>
    <row r="186" spans="1:16" x14ac:dyDescent="0.3">
      <c r="A186" t="s">
        <v>258</v>
      </c>
      <c r="B186" s="1">
        <v>45252</v>
      </c>
      <c r="C186" t="s">
        <v>17</v>
      </c>
      <c r="D186" t="s">
        <v>42</v>
      </c>
      <c r="E186" t="s">
        <v>60</v>
      </c>
      <c r="F186" t="s">
        <v>20</v>
      </c>
      <c r="G186" t="s">
        <v>74</v>
      </c>
      <c r="H186">
        <v>18</v>
      </c>
      <c r="I186">
        <v>4200</v>
      </c>
      <c r="J186">
        <v>20</v>
      </c>
      <c r="K186">
        <v>60480</v>
      </c>
      <c r="L186">
        <v>24192</v>
      </c>
      <c r="M186">
        <v>36288</v>
      </c>
      <c r="N186" t="s">
        <v>30</v>
      </c>
      <c r="O186" t="s">
        <v>50</v>
      </c>
      <c r="P186" t="s">
        <v>24</v>
      </c>
    </row>
    <row r="187" spans="1:16" x14ac:dyDescent="0.3">
      <c r="A187" t="s">
        <v>259</v>
      </c>
      <c r="B187" s="1">
        <v>45130</v>
      </c>
      <c r="C187" t="s">
        <v>46</v>
      </c>
      <c r="D187" t="s">
        <v>55</v>
      </c>
      <c r="E187" t="s">
        <v>70</v>
      </c>
      <c r="F187" t="s">
        <v>65</v>
      </c>
      <c r="G187" t="s">
        <v>124</v>
      </c>
      <c r="H187">
        <v>36</v>
      </c>
      <c r="I187">
        <v>18000</v>
      </c>
      <c r="J187">
        <v>10</v>
      </c>
      <c r="K187">
        <v>583200</v>
      </c>
      <c r="L187">
        <v>262440</v>
      </c>
      <c r="M187">
        <v>320760</v>
      </c>
      <c r="N187" t="s">
        <v>30</v>
      </c>
      <c r="O187" t="s">
        <v>67</v>
      </c>
      <c r="P187" t="s">
        <v>24</v>
      </c>
    </row>
    <row r="188" spans="1:16" x14ac:dyDescent="0.3">
      <c r="A188" t="s">
        <v>260</v>
      </c>
      <c r="B188" s="1">
        <v>45609</v>
      </c>
      <c r="C188" t="s">
        <v>58</v>
      </c>
      <c r="D188" t="s">
        <v>59</v>
      </c>
      <c r="E188" t="s">
        <v>78</v>
      </c>
      <c r="F188" t="s">
        <v>33</v>
      </c>
      <c r="G188" t="s">
        <v>39</v>
      </c>
      <c r="H188">
        <v>19</v>
      </c>
      <c r="I188">
        <v>5000</v>
      </c>
      <c r="J188">
        <v>0</v>
      </c>
      <c r="K188">
        <v>95000</v>
      </c>
      <c r="L188">
        <v>47500</v>
      </c>
      <c r="M188">
        <v>47500</v>
      </c>
      <c r="N188" t="s">
        <v>49</v>
      </c>
      <c r="O188" t="s">
        <v>50</v>
      </c>
      <c r="P188" t="s">
        <v>24</v>
      </c>
    </row>
    <row r="189" spans="1:16" x14ac:dyDescent="0.3">
      <c r="A189" t="s">
        <v>261</v>
      </c>
      <c r="B189" s="1">
        <v>45480</v>
      </c>
      <c r="C189" t="s">
        <v>46</v>
      </c>
      <c r="D189" t="s">
        <v>55</v>
      </c>
      <c r="E189" t="s">
        <v>111</v>
      </c>
      <c r="F189" t="s">
        <v>33</v>
      </c>
      <c r="G189" t="s">
        <v>76</v>
      </c>
      <c r="H189">
        <v>7</v>
      </c>
      <c r="I189">
        <v>8500</v>
      </c>
      <c r="J189">
        <v>20</v>
      </c>
      <c r="K189">
        <v>47600</v>
      </c>
      <c r="L189">
        <v>23800</v>
      </c>
      <c r="M189">
        <v>23800</v>
      </c>
      <c r="N189" t="s">
        <v>30</v>
      </c>
      <c r="O189" t="s">
        <v>44</v>
      </c>
      <c r="P189" t="s">
        <v>40</v>
      </c>
    </row>
    <row r="190" spans="1:16" x14ac:dyDescent="0.3">
      <c r="A190" t="s">
        <v>262</v>
      </c>
      <c r="B190" s="1">
        <v>44673</v>
      </c>
      <c r="C190" t="s">
        <v>46</v>
      </c>
      <c r="D190" t="s">
        <v>47</v>
      </c>
      <c r="E190" t="s">
        <v>56</v>
      </c>
      <c r="F190" t="s">
        <v>28</v>
      </c>
      <c r="G190" t="s">
        <v>85</v>
      </c>
      <c r="H190">
        <v>22</v>
      </c>
      <c r="I190">
        <v>8000</v>
      </c>
      <c r="J190">
        <v>15</v>
      </c>
      <c r="K190">
        <v>149600</v>
      </c>
      <c r="L190">
        <v>82280</v>
      </c>
      <c r="M190">
        <v>67320</v>
      </c>
      <c r="N190" t="s">
        <v>22</v>
      </c>
      <c r="O190" t="s">
        <v>44</v>
      </c>
      <c r="P190" t="s">
        <v>24</v>
      </c>
    </row>
    <row r="191" spans="1:16" x14ac:dyDescent="0.3">
      <c r="A191" t="s">
        <v>263</v>
      </c>
      <c r="B191" s="1">
        <v>44579</v>
      </c>
      <c r="C191" t="s">
        <v>46</v>
      </c>
      <c r="D191" t="s">
        <v>55</v>
      </c>
      <c r="E191" t="s">
        <v>60</v>
      </c>
      <c r="F191" t="s">
        <v>65</v>
      </c>
      <c r="G191" t="s">
        <v>104</v>
      </c>
      <c r="H191">
        <v>49</v>
      </c>
      <c r="I191">
        <v>3000</v>
      </c>
      <c r="J191">
        <v>10</v>
      </c>
      <c r="K191">
        <v>132300</v>
      </c>
      <c r="L191">
        <v>59535</v>
      </c>
      <c r="M191">
        <v>72765</v>
      </c>
      <c r="N191" t="s">
        <v>49</v>
      </c>
      <c r="O191" t="s">
        <v>35</v>
      </c>
      <c r="P191" t="s">
        <v>24</v>
      </c>
    </row>
    <row r="192" spans="1:16" x14ac:dyDescent="0.3">
      <c r="A192" t="s">
        <v>264</v>
      </c>
      <c r="B192" s="1">
        <v>44733</v>
      </c>
      <c r="C192" t="s">
        <v>46</v>
      </c>
      <c r="D192" t="s">
        <v>47</v>
      </c>
      <c r="E192" t="s">
        <v>78</v>
      </c>
      <c r="F192" t="s">
        <v>65</v>
      </c>
      <c r="G192" t="s">
        <v>104</v>
      </c>
      <c r="H192">
        <v>3</v>
      </c>
      <c r="I192">
        <v>3000</v>
      </c>
      <c r="J192">
        <v>15</v>
      </c>
      <c r="K192">
        <v>7650</v>
      </c>
      <c r="L192">
        <v>3442.5</v>
      </c>
      <c r="M192">
        <v>4207.5</v>
      </c>
      <c r="N192" t="s">
        <v>30</v>
      </c>
      <c r="O192" t="s">
        <v>50</v>
      </c>
      <c r="P192" t="s">
        <v>24</v>
      </c>
    </row>
    <row r="193" spans="1:16" x14ac:dyDescent="0.3">
      <c r="A193" t="s">
        <v>265</v>
      </c>
      <c r="B193" s="1">
        <v>44621</v>
      </c>
      <c r="C193" t="s">
        <v>17</v>
      </c>
      <c r="D193" t="s">
        <v>42</v>
      </c>
      <c r="E193" t="s">
        <v>38</v>
      </c>
      <c r="F193" t="s">
        <v>28</v>
      </c>
      <c r="G193" t="s">
        <v>71</v>
      </c>
      <c r="H193">
        <v>19</v>
      </c>
      <c r="I193">
        <v>35000</v>
      </c>
      <c r="J193">
        <v>15</v>
      </c>
      <c r="K193">
        <v>565250</v>
      </c>
      <c r="L193">
        <v>310887.5</v>
      </c>
      <c r="M193">
        <v>254362.5</v>
      </c>
      <c r="N193" t="s">
        <v>22</v>
      </c>
      <c r="O193" t="s">
        <v>23</v>
      </c>
      <c r="P193" t="s">
        <v>40</v>
      </c>
    </row>
    <row r="194" spans="1:16" x14ac:dyDescent="0.3">
      <c r="A194" t="s">
        <v>266</v>
      </c>
      <c r="B194" s="1">
        <v>44832</v>
      </c>
      <c r="C194" t="s">
        <v>58</v>
      </c>
      <c r="D194" t="s">
        <v>59</v>
      </c>
      <c r="E194" t="s">
        <v>19</v>
      </c>
      <c r="F194" t="s">
        <v>28</v>
      </c>
      <c r="G194" t="s">
        <v>71</v>
      </c>
      <c r="H194">
        <v>11</v>
      </c>
      <c r="I194">
        <v>35000</v>
      </c>
      <c r="J194">
        <v>15</v>
      </c>
      <c r="K194">
        <v>327250</v>
      </c>
      <c r="L194">
        <v>179987.5</v>
      </c>
      <c r="M194">
        <v>147262.5</v>
      </c>
      <c r="N194" t="s">
        <v>22</v>
      </c>
      <c r="O194" t="s">
        <v>44</v>
      </c>
      <c r="P194" t="s">
        <v>24</v>
      </c>
    </row>
    <row r="195" spans="1:16" x14ac:dyDescent="0.3">
      <c r="A195" t="s">
        <v>267</v>
      </c>
      <c r="B195" s="1">
        <v>44585</v>
      </c>
      <c r="C195" t="s">
        <v>17</v>
      </c>
      <c r="D195" t="s">
        <v>37</v>
      </c>
      <c r="E195" t="s">
        <v>38</v>
      </c>
      <c r="F195" t="s">
        <v>20</v>
      </c>
      <c r="G195" t="s">
        <v>74</v>
      </c>
      <c r="H195">
        <v>40</v>
      </c>
      <c r="I195">
        <v>4200</v>
      </c>
      <c r="J195">
        <v>15</v>
      </c>
      <c r="K195">
        <v>142800</v>
      </c>
      <c r="L195">
        <v>57120</v>
      </c>
      <c r="M195">
        <v>85680</v>
      </c>
      <c r="N195" t="s">
        <v>22</v>
      </c>
      <c r="O195" t="s">
        <v>50</v>
      </c>
      <c r="P195" t="s">
        <v>24</v>
      </c>
    </row>
    <row r="196" spans="1:16" x14ac:dyDescent="0.3">
      <c r="A196" t="s">
        <v>268</v>
      </c>
      <c r="B196" s="1">
        <v>44725</v>
      </c>
      <c r="C196" t="s">
        <v>26</v>
      </c>
      <c r="D196" t="s">
        <v>27</v>
      </c>
      <c r="E196" t="s">
        <v>78</v>
      </c>
      <c r="F196" t="s">
        <v>65</v>
      </c>
      <c r="G196" t="s">
        <v>124</v>
      </c>
      <c r="H196">
        <v>16</v>
      </c>
      <c r="I196">
        <v>18000</v>
      </c>
      <c r="J196">
        <v>0</v>
      </c>
      <c r="K196">
        <v>288000</v>
      </c>
      <c r="L196">
        <v>129600</v>
      </c>
      <c r="M196">
        <v>158400</v>
      </c>
      <c r="N196" t="s">
        <v>49</v>
      </c>
      <c r="O196" t="s">
        <v>44</v>
      </c>
      <c r="P196" t="s">
        <v>24</v>
      </c>
    </row>
    <row r="197" spans="1:16" x14ac:dyDescent="0.3">
      <c r="A197" t="s">
        <v>269</v>
      </c>
      <c r="B197" s="1">
        <v>45437</v>
      </c>
      <c r="C197" t="s">
        <v>17</v>
      </c>
      <c r="D197" t="s">
        <v>37</v>
      </c>
      <c r="E197" t="s">
        <v>73</v>
      </c>
      <c r="F197" t="s">
        <v>28</v>
      </c>
      <c r="G197" t="s">
        <v>71</v>
      </c>
      <c r="H197">
        <v>42</v>
      </c>
      <c r="I197">
        <v>35000</v>
      </c>
      <c r="J197">
        <v>10</v>
      </c>
      <c r="K197">
        <v>1323000</v>
      </c>
      <c r="L197">
        <v>727650</v>
      </c>
      <c r="M197">
        <v>595350</v>
      </c>
      <c r="N197" t="s">
        <v>30</v>
      </c>
      <c r="O197" t="s">
        <v>35</v>
      </c>
      <c r="P197" t="s">
        <v>24</v>
      </c>
    </row>
    <row r="198" spans="1:16" x14ac:dyDescent="0.3">
      <c r="A198" t="s">
        <v>270</v>
      </c>
      <c r="B198" s="1">
        <v>45453</v>
      </c>
      <c r="C198" t="s">
        <v>46</v>
      </c>
      <c r="D198" t="s">
        <v>55</v>
      </c>
      <c r="E198" t="s">
        <v>111</v>
      </c>
      <c r="F198" t="s">
        <v>33</v>
      </c>
      <c r="G198" t="s">
        <v>39</v>
      </c>
      <c r="H198">
        <v>41</v>
      </c>
      <c r="I198">
        <v>5000</v>
      </c>
      <c r="J198">
        <v>10</v>
      </c>
      <c r="K198">
        <v>184500</v>
      </c>
      <c r="L198">
        <v>92250</v>
      </c>
      <c r="M198">
        <v>92250</v>
      </c>
      <c r="N198" t="s">
        <v>22</v>
      </c>
      <c r="O198" t="s">
        <v>44</v>
      </c>
      <c r="P198" t="s">
        <v>24</v>
      </c>
    </row>
    <row r="199" spans="1:16" x14ac:dyDescent="0.3">
      <c r="A199" t="s">
        <v>271</v>
      </c>
      <c r="B199" s="1">
        <v>44990</v>
      </c>
      <c r="C199" t="s">
        <v>58</v>
      </c>
      <c r="D199" t="s">
        <v>84</v>
      </c>
      <c r="E199" t="s">
        <v>60</v>
      </c>
      <c r="F199" t="s">
        <v>33</v>
      </c>
      <c r="G199" t="s">
        <v>48</v>
      </c>
      <c r="H199">
        <v>45</v>
      </c>
      <c r="I199">
        <v>1500</v>
      </c>
      <c r="J199">
        <v>20</v>
      </c>
      <c r="K199">
        <v>54000</v>
      </c>
      <c r="L199">
        <v>27000</v>
      </c>
      <c r="M199">
        <v>27000</v>
      </c>
      <c r="N199" t="s">
        <v>22</v>
      </c>
      <c r="O199" t="s">
        <v>44</v>
      </c>
      <c r="P199" t="s">
        <v>24</v>
      </c>
    </row>
    <row r="200" spans="1:16" x14ac:dyDescent="0.3">
      <c r="A200" t="s">
        <v>272</v>
      </c>
      <c r="B200" s="1">
        <v>45038</v>
      </c>
      <c r="C200" t="s">
        <v>26</v>
      </c>
      <c r="D200" t="s">
        <v>69</v>
      </c>
      <c r="E200" t="s">
        <v>111</v>
      </c>
      <c r="F200" t="s">
        <v>33</v>
      </c>
      <c r="G200" t="s">
        <v>39</v>
      </c>
      <c r="H200">
        <v>37</v>
      </c>
      <c r="I200">
        <v>5000</v>
      </c>
      <c r="J200">
        <v>0</v>
      </c>
      <c r="K200">
        <v>185000</v>
      </c>
      <c r="L200">
        <v>92500</v>
      </c>
      <c r="M200">
        <v>92500</v>
      </c>
      <c r="N200" t="s">
        <v>22</v>
      </c>
      <c r="O200" t="s">
        <v>67</v>
      </c>
      <c r="P200" t="s">
        <v>24</v>
      </c>
    </row>
    <row r="201" spans="1:16" x14ac:dyDescent="0.3">
      <c r="A201" t="s">
        <v>273</v>
      </c>
      <c r="B201" s="1">
        <v>44945</v>
      </c>
      <c r="C201" t="s">
        <v>46</v>
      </c>
      <c r="D201" t="s">
        <v>47</v>
      </c>
      <c r="E201" t="s">
        <v>70</v>
      </c>
      <c r="F201" t="s">
        <v>65</v>
      </c>
      <c r="G201" t="s">
        <v>117</v>
      </c>
      <c r="H201">
        <v>44</v>
      </c>
      <c r="I201">
        <v>1200</v>
      </c>
      <c r="J201">
        <v>5</v>
      </c>
      <c r="K201">
        <v>50160</v>
      </c>
      <c r="L201">
        <v>22572</v>
      </c>
      <c r="M201">
        <v>27588</v>
      </c>
      <c r="N201" t="s">
        <v>49</v>
      </c>
      <c r="O201" t="s">
        <v>35</v>
      </c>
      <c r="P201" t="s">
        <v>40</v>
      </c>
    </row>
    <row r="202" spans="1:16" x14ac:dyDescent="0.3">
      <c r="A202" t="s">
        <v>274</v>
      </c>
      <c r="B202" s="1">
        <v>45550</v>
      </c>
      <c r="C202" t="s">
        <v>26</v>
      </c>
      <c r="D202" t="s">
        <v>69</v>
      </c>
      <c r="E202" t="s">
        <v>78</v>
      </c>
      <c r="F202" t="s">
        <v>65</v>
      </c>
      <c r="G202" t="s">
        <v>66</v>
      </c>
      <c r="H202">
        <v>37</v>
      </c>
      <c r="I202">
        <v>5500</v>
      </c>
      <c r="J202">
        <v>0</v>
      </c>
      <c r="K202">
        <v>203500</v>
      </c>
      <c r="L202">
        <v>91575</v>
      </c>
      <c r="M202">
        <v>111925</v>
      </c>
      <c r="N202" t="s">
        <v>49</v>
      </c>
      <c r="O202" t="s">
        <v>50</v>
      </c>
      <c r="P202" t="s">
        <v>40</v>
      </c>
    </row>
    <row r="203" spans="1:16" x14ac:dyDescent="0.3">
      <c r="A203" t="s">
        <v>275</v>
      </c>
      <c r="B203" s="1">
        <v>44605</v>
      </c>
      <c r="C203" t="s">
        <v>17</v>
      </c>
      <c r="D203" t="s">
        <v>18</v>
      </c>
      <c r="E203" t="s">
        <v>19</v>
      </c>
      <c r="F203" t="s">
        <v>28</v>
      </c>
      <c r="G203" t="s">
        <v>95</v>
      </c>
      <c r="H203">
        <v>28</v>
      </c>
      <c r="I203">
        <v>75000</v>
      </c>
      <c r="J203">
        <v>10</v>
      </c>
      <c r="K203">
        <v>1890000</v>
      </c>
      <c r="L203">
        <v>1039500</v>
      </c>
      <c r="M203">
        <v>850500</v>
      </c>
      <c r="N203" t="s">
        <v>22</v>
      </c>
      <c r="O203" t="s">
        <v>35</v>
      </c>
      <c r="P203" t="s">
        <v>24</v>
      </c>
    </row>
    <row r="204" spans="1:16" x14ac:dyDescent="0.3">
      <c r="A204" t="s">
        <v>276</v>
      </c>
      <c r="B204" s="1">
        <v>44697</v>
      </c>
      <c r="C204" t="s">
        <v>26</v>
      </c>
      <c r="D204" t="s">
        <v>69</v>
      </c>
      <c r="E204" t="s">
        <v>32</v>
      </c>
      <c r="F204" t="s">
        <v>20</v>
      </c>
      <c r="G204" t="s">
        <v>74</v>
      </c>
      <c r="H204">
        <v>50</v>
      </c>
      <c r="I204">
        <v>4200</v>
      </c>
      <c r="J204">
        <v>15</v>
      </c>
      <c r="K204">
        <v>178500</v>
      </c>
      <c r="L204">
        <v>71400</v>
      </c>
      <c r="M204">
        <v>107100</v>
      </c>
      <c r="N204" t="s">
        <v>49</v>
      </c>
      <c r="O204" t="s">
        <v>23</v>
      </c>
      <c r="P204" t="s">
        <v>24</v>
      </c>
    </row>
    <row r="205" spans="1:16" x14ac:dyDescent="0.3">
      <c r="A205" t="s">
        <v>277</v>
      </c>
      <c r="B205" s="1">
        <v>45304</v>
      </c>
      <c r="C205" t="s">
        <v>26</v>
      </c>
      <c r="D205" t="s">
        <v>27</v>
      </c>
      <c r="E205" t="s">
        <v>70</v>
      </c>
      <c r="F205" t="s">
        <v>28</v>
      </c>
      <c r="G205" t="s">
        <v>87</v>
      </c>
      <c r="H205">
        <v>35</v>
      </c>
      <c r="I205">
        <v>45000</v>
      </c>
      <c r="J205">
        <v>15</v>
      </c>
      <c r="K205">
        <v>1338750</v>
      </c>
      <c r="L205">
        <v>736312.5</v>
      </c>
      <c r="M205">
        <v>602437.5</v>
      </c>
      <c r="N205" t="s">
        <v>30</v>
      </c>
      <c r="O205" t="s">
        <v>44</v>
      </c>
      <c r="P205" t="s">
        <v>40</v>
      </c>
    </row>
    <row r="206" spans="1:16" x14ac:dyDescent="0.3">
      <c r="A206" t="s">
        <v>278</v>
      </c>
      <c r="B206" s="1">
        <v>44586</v>
      </c>
      <c r="C206" t="s">
        <v>26</v>
      </c>
      <c r="D206" t="s">
        <v>69</v>
      </c>
      <c r="E206" t="s">
        <v>60</v>
      </c>
      <c r="F206" t="s">
        <v>65</v>
      </c>
      <c r="G206" t="s">
        <v>79</v>
      </c>
      <c r="H206">
        <v>25</v>
      </c>
      <c r="I206">
        <v>900</v>
      </c>
      <c r="J206">
        <v>5</v>
      </c>
      <c r="K206">
        <v>21375</v>
      </c>
      <c r="L206">
        <v>9618.75</v>
      </c>
      <c r="M206">
        <v>11756.25</v>
      </c>
      <c r="N206" t="s">
        <v>49</v>
      </c>
      <c r="O206" t="s">
        <v>50</v>
      </c>
      <c r="P206" t="s">
        <v>24</v>
      </c>
    </row>
    <row r="207" spans="1:16" x14ac:dyDescent="0.3">
      <c r="A207" t="s">
        <v>279</v>
      </c>
      <c r="B207" s="1">
        <v>44843</v>
      </c>
      <c r="C207" t="s">
        <v>46</v>
      </c>
      <c r="D207" t="s">
        <v>47</v>
      </c>
      <c r="E207" t="s">
        <v>56</v>
      </c>
      <c r="F207" t="s">
        <v>65</v>
      </c>
      <c r="G207" t="s">
        <v>79</v>
      </c>
      <c r="H207">
        <v>50</v>
      </c>
      <c r="I207">
        <v>900</v>
      </c>
      <c r="J207">
        <v>0</v>
      </c>
      <c r="K207">
        <v>45000</v>
      </c>
      <c r="L207">
        <v>20250</v>
      </c>
      <c r="M207">
        <v>24750</v>
      </c>
      <c r="N207" t="s">
        <v>30</v>
      </c>
      <c r="O207" t="s">
        <v>35</v>
      </c>
      <c r="P207" t="s">
        <v>24</v>
      </c>
    </row>
    <row r="208" spans="1:16" x14ac:dyDescent="0.3">
      <c r="A208" t="s">
        <v>280</v>
      </c>
      <c r="B208" s="1">
        <v>44762</v>
      </c>
      <c r="C208" t="s">
        <v>26</v>
      </c>
      <c r="D208" t="s">
        <v>69</v>
      </c>
      <c r="E208" t="s">
        <v>38</v>
      </c>
      <c r="F208" t="s">
        <v>28</v>
      </c>
      <c r="G208" t="s">
        <v>87</v>
      </c>
      <c r="H208">
        <v>48</v>
      </c>
      <c r="I208">
        <v>45000</v>
      </c>
      <c r="J208">
        <v>0</v>
      </c>
      <c r="K208">
        <v>2160000</v>
      </c>
      <c r="L208">
        <v>1188000</v>
      </c>
      <c r="M208">
        <v>972000</v>
      </c>
      <c r="N208" t="s">
        <v>49</v>
      </c>
      <c r="O208" t="s">
        <v>44</v>
      </c>
      <c r="P208" t="s">
        <v>24</v>
      </c>
    </row>
    <row r="209" spans="1:16" x14ac:dyDescent="0.3">
      <c r="A209" t="s">
        <v>281</v>
      </c>
      <c r="B209" s="1">
        <v>45603</v>
      </c>
      <c r="C209" t="s">
        <v>26</v>
      </c>
      <c r="D209" t="s">
        <v>27</v>
      </c>
      <c r="E209" t="s">
        <v>111</v>
      </c>
      <c r="F209" t="s">
        <v>33</v>
      </c>
      <c r="G209" t="s">
        <v>76</v>
      </c>
      <c r="H209">
        <v>47</v>
      </c>
      <c r="I209">
        <v>8500</v>
      </c>
      <c r="J209">
        <v>20</v>
      </c>
      <c r="K209">
        <v>319600</v>
      </c>
      <c r="L209">
        <v>159800</v>
      </c>
      <c r="M209">
        <v>159800</v>
      </c>
      <c r="N209" t="s">
        <v>22</v>
      </c>
      <c r="O209" t="s">
        <v>67</v>
      </c>
      <c r="P209" t="s">
        <v>24</v>
      </c>
    </row>
    <row r="210" spans="1:16" x14ac:dyDescent="0.3">
      <c r="A210" t="s">
        <v>282</v>
      </c>
      <c r="B210" s="1">
        <v>45177</v>
      </c>
      <c r="C210" t="s">
        <v>17</v>
      </c>
      <c r="D210" t="s">
        <v>18</v>
      </c>
      <c r="E210" t="s">
        <v>111</v>
      </c>
      <c r="F210" t="s">
        <v>20</v>
      </c>
      <c r="G210" t="s">
        <v>115</v>
      </c>
      <c r="H210">
        <v>20</v>
      </c>
      <c r="I210">
        <v>2500</v>
      </c>
      <c r="J210">
        <v>10</v>
      </c>
      <c r="K210">
        <v>45000</v>
      </c>
      <c r="L210">
        <v>18000</v>
      </c>
      <c r="M210">
        <v>27000</v>
      </c>
      <c r="N210" t="s">
        <v>22</v>
      </c>
      <c r="O210" t="s">
        <v>67</v>
      </c>
      <c r="P210" t="s">
        <v>24</v>
      </c>
    </row>
    <row r="211" spans="1:16" x14ac:dyDescent="0.3">
      <c r="A211" t="s">
        <v>283</v>
      </c>
      <c r="B211" s="1">
        <v>44916</v>
      </c>
      <c r="C211" t="s">
        <v>58</v>
      </c>
      <c r="D211" t="s">
        <v>64</v>
      </c>
      <c r="E211" t="s">
        <v>60</v>
      </c>
      <c r="F211" t="s">
        <v>28</v>
      </c>
      <c r="G211" t="s">
        <v>71</v>
      </c>
      <c r="H211">
        <v>42</v>
      </c>
      <c r="I211">
        <v>35000</v>
      </c>
      <c r="J211">
        <v>15</v>
      </c>
      <c r="K211">
        <v>1249500</v>
      </c>
      <c r="L211">
        <v>687225</v>
      </c>
      <c r="M211">
        <v>562275</v>
      </c>
      <c r="N211" t="s">
        <v>49</v>
      </c>
      <c r="O211" t="s">
        <v>23</v>
      </c>
      <c r="P211" t="s">
        <v>40</v>
      </c>
    </row>
    <row r="212" spans="1:16" x14ac:dyDescent="0.3">
      <c r="A212" t="s">
        <v>284</v>
      </c>
      <c r="B212" s="1">
        <v>45356</v>
      </c>
      <c r="C212" t="s">
        <v>17</v>
      </c>
      <c r="D212" t="s">
        <v>37</v>
      </c>
      <c r="E212" t="s">
        <v>78</v>
      </c>
      <c r="F212" t="s">
        <v>65</v>
      </c>
      <c r="G212" t="s">
        <v>104</v>
      </c>
      <c r="H212">
        <v>15</v>
      </c>
      <c r="I212">
        <v>3000</v>
      </c>
      <c r="J212">
        <v>10</v>
      </c>
      <c r="K212">
        <v>40500</v>
      </c>
      <c r="L212">
        <v>18225</v>
      </c>
      <c r="M212">
        <v>22275</v>
      </c>
      <c r="N212" t="s">
        <v>49</v>
      </c>
      <c r="O212" t="s">
        <v>35</v>
      </c>
      <c r="P212" t="s">
        <v>24</v>
      </c>
    </row>
    <row r="213" spans="1:16" x14ac:dyDescent="0.3">
      <c r="A213" t="s">
        <v>285</v>
      </c>
      <c r="B213" s="1">
        <v>45640</v>
      </c>
      <c r="C213" t="s">
        <v>58</v>
      </c>
      <c r="D213" t="s">
        <v>64</v>
      </c>
      <c r="E213" t="s">
        <v>111</v>
      </c>
      <c r="F213" t="s">
        <v>20</v>
      </c>
      <c r="G213" t="s">
        <v>115</v>
      </c>
      <c r="H213">
        <v>16</v>
      </c>
      <c r="I213">
        <v>2500</v>
      </c>
      <c r="J213">
        <v>10</v>
      </c>
      <c r="K213">
        <v>36000</v>
      </c>
      <c r="L213">
        <v>14400</v>
      </c>
      <c r="M213">
        <v>21600</v>
      </c>
      <c r="N213" t="s">
        <v>49</v>
      </c>
      <c r="O213" t="s">
        <v>35</v>
      </c>
      <c r="P213" t="s">
        <v>24</v>
      </c>
    </row>
    <row r="214" spans="1:16" x14ac:dyDescent="0.3">
      <c r="A214" t="s">
        <v>286</v>
      </c>
      <c r="B214" s="1">
        <v>45440</v>
      </c>
      <c r="C214" t="s">
        <v>17</v>
      </c>
      <c r="D214" t="s">
        <v>18</v>
      </c>
      <c r="E214" t="s">
        <v>111</v>
      </c>
      <c r="F214" t="s">
        <v>20</v>
      </c>
      <c r="G214" t="s">
        <v>21</v>
      </c>
      <c r="H214">
        <v>18</v>
      </c>
      <c r="I214">
        <v>3500</v>
      </c>
      <c r="J214">
        <v>15</v>
      </c>
      <c r="K214">
        <v>53550</v>
      </c>
      <c r="L214">
        <v>21420</v>
      </c>
      <c r="M214">
        <v>32130</v>
      </c>
      <c r="N214" t="s">
        <v>22</v>
      </c>
      <c r="O214" t="s">
        <v>35</v>
      </c>
      <c r="P214" t="s">
        <v>40</v>
      </c>
    </row>
    <row r="215" spans="1:16" x14ac:dyDescent="0.3">
      <c r="A215" t="s">
        <v>287</v>
      </c>
      <c r="B215" s="1">
        <v>44688</v>
      </c>
      <c r="C215" t="s">
        <v>46</v>
      </c>
      <c r="D215" t="s">
        <v>55</v>
      </c>
      <c r="E215" t="s">
        <v>19</v>
      </c>
      <c r="F215" t="s">
        <v>33</v>
      </c>
      <c r="G215" t="s">
        <v>34</v>
      </c>
      <c r="H215">
        <v>1</v>
      </c>
      <c r="I215">
        <v>25000</v>
      </c>
      <c r="J215">
        <v>5</v>
      </c>
      <c r="K215">
        <v>23750</v>
      </c>
      <c r="L215">
        <v>11875</v>
      </c>
      <c r="M215">
        <v>11875</v>
      </c>
      <c r="N215" t="s">
        <v>22</v>
      </c>
      <c r="O215" t="s">
        <v>35</v>
      </c>
      <c r="P215" t="s">
        <v>24</v>
      </c>
    </row>
    <row r="216" spans="1:16" x14ac:dyDescent="0.3">
      <c r="A216" t="s">
        <v>288</v>
      </c>
      <c r="B216" s="1">
        <v>45481</v>
      </c>
      <c r="C216" t="s">
        <v>46</v>
      </c>
      <c r="D216" t="s">
        <v>55</v>
      </c>
      <c r="E216" t="s">
        <v>19</v>
      </c>
      <c r="F216" t="s">
        <v>33</v>
      </c>
      <c r="G216" t="s">
        <v>34</v>
      </c>
      <c r="H216">
        <v>25</v>
      </c>
      <c r="I216">
        <v>25000</v>
      </c>
      <c r="J216">
        <v>15</v>
      </c>
      <c r="K216">
        <v>531250</v>
      </c>
      <c r="L216">
        <v>265625</v>
      </c>
      <c r="M216">
        <v>265625</v>
      </c>
      <c r="N216" t="s">
        <v>22</v>
      </c>
      <c r="O216" t="s">
        <v>50</v>
      </c>
      <c r="P216" t="s">
        <v>40</v>
      </c>
    </row>
    <row r="217" spans="1:16" x14ac:dyDescent="0.3">
      <c r="A217" t="s">
        <v>289</v>
      </c>
      <c r="B217" s="1">
        <v>45147</v>
      </c>
      <c r="C217" t="s">
        <v>17</v>
      </c>
      <c r="D217" t="s">
        <v>42</v>
      </c>
      <c r="E217" t="s">
        <v>60</v>
      </c>
      <c r="F217" t="s">
        <v>65</v>
      </c>
      <c r="G217" t="s">
        <v>117</v>
      </c>
      <c r="H217">
        <v>47</v>
      </c>
      <c r="I217">
        <v>1200</v>
      </c>
      <c r="J217">
        <v>15</v>
      </c>
      <c r="K217">
        <v>47940</v>
      </c>
      <c r="L217">
        <v>21573</v>
      </c>
      <c r="M217">
        <v>26367</v>
      </c>
      <c r="N217" t="s">
        <v>30</v>
      </c>
      <c r="O217" t="s">
        <v>50</v>
      </c>
      <c r="P217" t="s">
        <v>24</v>
      </c>
    </row>
    <row r="218" spans="1:16" x14ac:dyDescent="0.3">
      <c r="A218" t="s">
        <v>290</v>
      </c>
      <c r="B218" s="1">
        <v>45183</v>
      </c>
      <c r="C218" t="s">
        <v>26</v>
      </c>
      <c r="D218" t="s">
        <v>27</v>
      </c>
      <c r="E218" t="s">
        <v>78</v>
      </c>
      <c r="F218" t="s">
        <v>28</v>
      </c>
      <c r="G218" t="s">
        <v>71</v>
      </c>
      <c r="H218">
        <v>36</v>
      </c>
      <c r="I218">
        <v>35000</v>
      </c>
      <c r="J218">
        <v>20</v>
      </c>
      <c r="K218">
        <v>1008000</v>
      </c>
      <c r="L218">
        <v>554400</v>
      </c>
      <c r="M218">
        <v>453600</v>
      </c>
      <c r="N218" t="s">
        <v>22</v>
      </c>
      <c r="O218" t="s">
        <v>23</v>
      </c>
      <c r="P218" t="s">
        <v>40</v>
      </c>
    </row>
    <row r="219" spans="1:16" x14ac:dyDescent="0.3">
      <c r="A219" t="s">
        <v>291</v>
      </c>
      <c r="B219" s="1">
        <v>45112</v>
      </c>
      <c r="C219" t="s">
        <v>46</v>
      </c>
      <c r="D219" t="s">
        <v>55</v>
      </c>
      <c r="E219" t="s">
        <v>19</v>
      </c>
      <c r="F219" t="s">
        <v>65</v>
      </c>
      <c r="G219" t="s">
        <v>79</v>
      </c>
      <c r="H219">
        <v>16</v>
      </c>
      <c r="I219">
        <v>900</v>
      </c>
      <c r="J219">
        <v>15</v>
      </c>
      <c r="K219">
        <v>12240</v>
      </c>
      <c r="L219">
        <v>5508</v>
      </c>
      <c r="M219">
        <v>6732</v>
      </c>
      <c r="N219" t="s">
        <v>22</v>
      </c>
      <c r="O219" t="s">
        <v>50</v>
      </c>
      <c r="P219" t="s">
        <v>40</v>
      </c>
    </row>
    <row r="220" spans="1:16" x14ac:dyDescent="0.3">
      <c r="A220" t="s">
        <v>292</v>
      </c>
      <c r="B220" s="1">
        <v>45071</v>
      </c>
      <c r="C220" t="s">
        <v>58</v>
      </c>
      <c r="D220" t="s">
        <v>64</v>
      </c>
      <c r="E220" t="s">
        <v>60</v>
      </c>
      <c r="F220" t="s">
        <v>65</v>
      </c>
      <c r="G220" t="s">
        <v>104</v>
      </c>
      <c r="H220">
        <v>47</v>
      </c>
      <c r="I220">
        <v>3000</v>
      </c>
      <c r="J220">
        <v>10</v>
      </c>
      <c r="K220">
        <v>126900</v>
      </c>
      <c r="L220">
        <v>57105</v>
      </c>
      <c r="M220">
        <v>69795</v>
      </c>
      <c r="N220" t="s">
        <v>30</v>
      </c>
      <c r="O220" t="s">
        <v>67</v>
      </c>
      <c r="P220" t="s">
        <v>24</v>
      </c>
    </row>
    <row r="221" spans="1:16" x14ac:dyDescent="0.3">
      <c r="A221" t="s">
        <v>293</v>
      </c>
      <c r="B221" s="1">
        <v>45510</v>
      </c>
      <c r="C221" t="s">
        <v>26</v>
      </c>
      <c r="D221" t="s">
        <v>27</v>
      </c>
      <c r="E221" t="s">
        <v>52</v>
      </c>
      <c r="F221" t="s">
        <v>28</v>
      </c>
      <c r="G221" t="s">
        <v>95</v>
      </c>
      <c r="H221">
        <v>27</v>
      </c>
      <c r="I221">
        <v>75000</v>
      </c>
      <c r="J221">
        <v>5</v>
      </c>
      <c r="K221">
        <v>1923750</v>
      </c>
      <c r="L221">
        <v>1058062.5</v>
      </c>
      <c r="M221">
        <v>865687.5</v>
      </c>
      <c r="N221" t="s">
        <v>30</v>
      </c>
      <c r="O221" t="s">
        <v>44</v>
      </c>
      <c r="P221" t="s">
        <v>24</v>
      </c>
    </row>
    <row r="222" spans="1:16" x14ac:dyDescent="0.3">
      <c r="A222" t="s">
        <v>294</v>
      </c>
      <c r="B222" s="1">
        <v>44568</v>
      </c>
      <c r="C222" t="s">
        <v>58</v>
      </c>
      <c r="D222" t="s">
        <v>59</v>
      </c>
      <c r="E222" t="s">
        <v>56</v>
      </c>
      <c r="F222" t="s">
        <v>65</v>
      </c>
      <c r="G222" t="s">
        <v>66</v>
      </c>
      <c r="H222">
        <v>2</v>
      </c>
      <c r="I222">
        <v>5500</v>
      </c>
      <c r="J222">
        <v>0</v>
      </c>
      <c r="K222">
        <v>11000</v>
      </c>
      <c r="L222">
        <v>4950</v>
      </c>
      <c r="M222">
        <v>6050</v>
      </c>
      <c r="N222" t="s">
        <v>22</v>
      </c>
      <c r="O222" t="s">
        <v>23</v>
      </c>
      <c r="P222" t="s">
        <v>40</v>
      </c>
    </row>
    <row r="223" spans="1:16" x14ac:dyDescent="0.3">
      <c r="A223" t="s">
        <v>295</v>
      </c>
      <c r="B223" s="1">
        <v>44562</v>
      </c>
      <c r="C223" t="s">
        <v>17</v>
      </c>
      <c r="D223" t="s">
        <v>42</v>
      </c>
      <c r="E223" t="s">
        <v>73</v>
      </c>
      <c r="F223" t="s">
        <v>28</v>
      </c>
      <c r="G223" t="s">
        <v>29</v>
      </c>
      <c r="H223">
        <v>45</v>
      </c>
      <c r="I223">
        <v>15000</v>
      </c>
      <c r="J223">
        <v>15</v>
      </c>
      <c r="K223">
        <v>573750</v>
      </c>
      <c r="L223">
        <v>315562.5</v>
      </c>
      <c r="M223">
        <v>258187.5</v>
      </c>
      <c r="N223" t="s">
        <v>30</v>
      </c>
      <c r="O223" t="s">
        <v>35</v>
      </c>
      <c r="P223" t="s">
        <v>24</v>
      </c>
    </row>
    <row r="224" spans="1:16" x14ac:dyDescent="0.3">
      <c r="A224" t="s">
        <v>296</v>
      </c>
      <c r="B224" s="1">
        <v>45570</v>
      </c>
      <c r="C224" t="s">
        <v>46</v>
      </c>
      <c r="D224" t="s">
        <v>47</v>
      </c>
      <c r="E224" t="s">
        <v>38</v>
      </c>
      <c r="F224" t="s">
        <v>33</v>
      </c>
      <c r="G224" t="s">
        <v>34</v>
      </c>
      <c r="H224">
        <v>18</v>
      </c>
      <c r="I224">
        <v>25000</v>
      </c>
      <c r="J224">
        <v>15</v>
      </c>
      <c r="K224">
        <v>382500</v>
      </c>
      <c r="L224">
        <v>191250</v>
      </c>
      <c r="M224">
        <v>191250</v>
      </c>
      <c r="N224" t="s">
        <v>49</v>
      </c>
      <c r="O224" t="s">
        <v>23</v>
      </c>
      <c r="P224" t="s">
        <v>24</v>
      </c>
    </row>
    <row r="225" spans="1:16" x14ac:dyDescent="0.3">
      <c r="A225" t="s">
        <v>297</v>
      </c>
      <c r="B225" s="1">
        <v>45462</v>
      </c>
      <c r="C225" t="s">
        <v>46</v>
      </c>
      <c r="D225" t="s">
        <v>47</v>
      </c>
      <c r="E225" t="s">
        <v>73</v>
      </c>
      <c r="F225" t="s">
        <v>28</v>
      </c>
      <c r="G225" t="s">
        <v>95</v>
      </c>
      <c r="H225">
        <v>6</v>
      </c>
      <c r="I225">
        <v>75000</v>
      </c>
      <c r="J225">
        <v>15</v>
      </c>
      <c r="K225">
        <v>382500</v>
      </c>
      <c r="L225">
        <v>210375</v>
      </c>
      <c r="M225">
        <v>172125</v>
      </c>
      <c r="N225" t="s">
        <v>49</v>
      </c>
      <c r="O225" t="s">
        <v>67</v>
      </c>
      <c r="P225" t="s">
        <v>24</v>
      </c>
    </row>
    <row r="226" spans="1:16" x14ac:dyDescent="0.3">
      <c r="A226" t="s">
        <v>298</v>
      </c>
      <c r="B226" s="1">
        <v>45475</v>
      </c>
      <c r="C226" t="s">
        <v>26</v>
      </c>
      <c r="D226" t="s">
        <v>27</v>
      </c>
      <c r="E226" t="s">
        <v>52</v>
      </c>
      <c r="F226" t="s">
        <v>65</v>
      </c>
      <c r="G226" t="s">
        <v>66</v>
      </c>
      <c r="H226">
        <v>42</v>
      </c>
      <c r="I226">
        <v>5500</v>
      </c>
      <c r="J226">
        <v>10</v>
      </c>
      <c r="K226">
        <v>207900</v>
      </c>
      <c r="L226">
        <v>93555</v>
      </c>
      <c r="M226">
        <v>114345</v>
      </c>
      <c r="N226" t="s">
        <v>30</v>
      </c>
      <c r="O226" t="s">
        <v>67</v>
      </c>
      <c r="P226" t="s">
        <v>40</v>
      </c>
    </row>
    <row r="227" spans="1:16" x14ac:dyDescent="0.3">
      <c r="A227" t="s">
        <v>299</v>
      </c>
      <c r="B227" s="1">
        <v>44628</v>
      </c>
      <c r="C227" t="s">
        <v>46</v>
      </c>
      <c r="D227" t="s">
        <v>55</v>
      </c>
      <c r="E227" t="s">
        <v>73</v>
      </c>
      <c r="F227" t="s">
        <v>28</v>
      </c>
      <c r="G227" t="s">
        <v>95</v>
      </c>
      <c r="H227">
        <v>44</v>
      </c>
      <c r="I227">
        <v>75000</v>
      </c>
      <c r="J227">
        <v>10</v>
      </c>
      <c r="K227">
        <v>2970000</v>
      </c>
      <c r="L227">
        <v>1633500</v>
      </c>
      <c r="M227">
        <v>1336500</v>
      </c>
      <c r="N227" t="s">
        <v>22</v>
      </c>
      <c r="O227" t="s">
        <v>35</v>
      </c>
      <c r="P227" t="s">
        <v>40</v>
      </c>
    </row>
    <row r="228" spans="1:16" x14ac:dyDescent="0.3">
      <c r="A228" t="s">
        <v>300</v>
      </c>
      <c r="B228" s="1">
        <v>44923</v>
      </c>
      <c r="C228" t="s">
        <v>17</v>
      </c>
      <c r="D228" t="s">
        <v>18</v>
      </c>
      <c r="E228" t="s">
        <v>19</v>
      </c>
      <c r="F228" t="s">
        <v>20</v>
      </c>
      <c r="G228" t="s">
        <v>115</v>
      </c>
      <c r="H228">
        <v>5</v>
      </c>
      <c r="I228">
        <v>2500</v>
      </c>
      <c r="J228">
        <v>10</v>
      </c>
      <c r="K228">
        <v>11250</v>
      </c>
      <c r="L228">
        <v>4500</v>
      </c>
      <c r="M228">
        <v>6750</v>
      </c>
      <c r="N228" t="s">
        <v>22</v>
      </c>
      <c r="O228" t="s">
        <v>44</v>
      </c>
      <c r="P228" t="s">
        <v>24</v>
      </c>
    </row>
    <row r="229" spans="1:16" x14ac:dyDescent="0.3">
      <c r="A229" t="s">
        <v>301</v>
      </c>
      <c r="B229" s="1">
        <v>45313</v>
      </c>
      <c r="C229" t="s">
        <v>17</v>
      </c>
      <c r="D229" t="s">
        <v>37</v>
      </c>
      <c r="E229" t="s">
        <v>78</v>
      </c>
      <c r="F229" t="s">
        <v>28</v>
      </c>
      <c r="G229" t="s">
        <v>29</v>
      </c>
      <c r="H229">
        <v>48</v>
      </c>
      <c r="I229">
        <v>15000</v>
      </c>
      <c r="J229">
        <v>10</v>
      </c>
      <c r="K229">
        <v>648000</v>
      </c>
      <c r="L229">
        <v>356400</v>
      </c>
      <c r="M229">
        <v>291600</v>
      </c>
      <c r="N229" t="s">
        <v>30</v>
      </c>
      <c r="O229" t="s">
        <v>23</v>
      </c>
      <c r="P229" t="s">
        <v>24</v>
      </c>
    </row>
    <row r="230" spans="1:16" x14ac:dyDescent="0.3">
      <c r="A230" t="s">
        <v>302</v>
      </c>
      <c r="B230" s="1">
        <v>45012</v>
      </c>
      <c r="C230" t="s">
        <v>26</v>
      </c>
      <c r="D230" t="s">
        <v>69</v>
      </c>
      <c r="E230" t="s">
        <v>38</v>
      </c>
      <c r="F230" t="s">
        <v>65</v>
      </c>
      <c r="G230" t="s">
        <v>124</v>
      </c>
      <c r="H230">
        <v>2</v>
      </c>
      <c r="I230">
        <v>18000</v>
      </c>
      <c r="J230">
        <v>10</v>
      </c>
      <c r="K230">
        <v>32400</v>
      </c>
      <c r="L230">
        <v>14580</v>
      </c>
      <c r="M230">
        <v>17820</v>
      </c>
      <c r="N230" t="s">
        <v>49</v>
      </c>
      <c r="O230" t="s">
        <v>44</v>
      </c>
      <c r="P230" t="s">
        <v>24</v>
      </c>
    </row>
    <row r="231" spans="1:16" x14ac:dyDescent="0.3">
      <c r="A231" t="s">
        <v>303</v>
      </c>
      <c r="B231" s="1">
        <v>45248</v>
      </c>
      <c r="C231" t="s">
        <v>58</v>
      </c>
      <c r="D231" t="s">
        <v>59</v>
      </c>
      <c r="E231" t="s">
        <v>78</v>
      </c>
      <c r="F231" t="s">
        <v>65</v>
      </c>
      <c r="G231" t="s">
        <v>117</v>
      </c>
      <c r="H231">
        <v>50</v>
      </c>
      <c r="I231">
        <v>1200</v>
      </c>
      <c r="J231">
        <v>20</v>
      </c>
      <c r="K231">
        <v>48000</v>
      </c>
      <c r="L231">
        <v>21600</v>
      </c>
      <c r="M231">
        <v>26400</v>
      </c>
      <c r="N231" t="s">
        <v>30</v>
      </c>
      <c r="O231" t="s">
        <v>35</v>
      </c>
      <c r="P231" t="s">
        <v>24</v>
      </c>
    </row>
    <row r="232" spans="1:16" x14ac:dyDescent="0.3">
      <c r="A232" t="s">
        <v>304</v>
      </c>
      <c r="B232" s="1">
        <v>44721</v>
      </c>
      <c r="C232" t="s">
        <v>46</v>
      </c>
      <c r="D232" t="s">
        <v>55</v>
      </c>
      <c r="E232" t="s">
        <v>78</v>
      </c>
      <c r="F232" t="s">
        <v>65</v>
      </c>
      <c r="G232" t="s">
        <v>124</v>
      </c>
      <c r="H232">
        <v>24</v>
      </c>
      <c r="I232">
        <v>18000</v>
      </c>
      <c r="J232">
        <v>0</v>
      </c>
      <c r="K232">
        <v>432000</v>
      </c>
      <c r="L232">
        <v>194400</v>
      </c>
      <c r="M232">
        <v>237600</v>
      </c>
      <c r="N232" t="s">
        <v>30</v>
      </c>
      <c r="O232" t="s">
        <v>50</v>
      </c>
      <c r="P232" t="s">
        <v>24</v>
      </c>
    </row>
    <row r="233" spans="1:16" x14ac:dyDescent="0.3">
      <c r="A233" t="s">
        <v>305</v>
      </c>
      <c r="B233" s="1">
        <v>45424</v>
      </c>
      <c r="C233" t="s">
        <v>17</v>
      </c>
      <c r="D233" t="s">
        <v>18</v>
      </c>
      <c r="E233" t="s">
        <v>78</v>
      </c>
      <c r="F233" t="s">
        <v>28</v>
      </c>
      <c r="G233" t="s">
        <v>87</v>
      </c>
      <c r="H233">
        <v>28</v>
      </c>
      <c r="I233">
        <v>45000</v>
      </c>
      <c r="J233">
        <v>15</v>
      </c>
      <c r="K233">
        <v>1071000</v>
      </c>
      <c r="L233">
        <v>589050</v>
      </c>
      <c r="M233">
        <v>481950</v>
      </c>
      <c r="N233" t="s">
        <v>22</v>
      </c>
      <c r="O233" t="s">
        <v>67</v>
      </c>
      <c r="P233" t="s">
        <v>40</v>
      </c>
    </row>
    <row r="234" spans="1:16" x14ac:dyDescent="0.3">
      <c r="A234" t="s">
        <v>306</v>
      </c>
      <c r="B234" s="1">
        <v>45355</v>
      </c>
      <c r="C234" t="s">
        <v>26</v>
      </c>
      <c r="D234" t="s">
        <v>27</v>
      </c>
      <c r="E234" t="s">
        <v>70</v>
      </c>
      <c r="F234" t="s">
        <v>28</v>
      </c>
      <c r="G234" t="s">
        <v>29</v>
      </c>
      <c r="H234">
        <v>39</v>
      </c>
      <c r="I234">
        <v>15000</v>
      </c>
      <c r="J234">
        <v>10</v>
      </c>
      <c r="K234">
        <v>526500</v>
      </c>
      <c r="L234">
        <v>289575</v>
      </c>
      <c r="M234">
        <v>236925</v>
      </c>
      <c r="N234" t="s">
        <v>30</v>
      </c>
      <c r="O234" t="s">
        <v>50</v>
      </c>
      <c r="P234" t="s">
        <v>24</v>
      </c>
    </row>
    <row r="235" spans="1:16" x14ac:dyDescent="0.3">
      <c r="A235" t="s">
        <v>307</v>
      </c>
      <c r="B235" s="1">
        <v>45364</v>
      </c>
      <c r="C235" t="s">
        <v>26</v>
      </c>
      <c r="D235" t="s">
        <v>27</v>
      </c>
      <c r="E235" t="s">
        <v>38</v>
      </c>
      <c r="F235" t="s">
        <v>20</v>
      </c>
      <c r="G235" t="s">
        <v>115</v>
      </c>
      <c r="H235">
        <v>11</v>
      </c>
      <c r="I235">
        <v>2500</v>
      </c>
      <c r="J235">
        <v>5</v>
      </c>
      <c r="K235">
        <v>26125</v>
      </c>
      <c r="L235">
        <v>10450</v>
      </c>
      <c r="M235">
        <v>15675</v>
      </c>
      <c r="N235" t="s">
        <v>49</v>
      </c>
      <c r="O235" t="s">
        <v>50</v>
      </c>
      <c r="P235" t="s">
        <v>24</v>
      </c>
    </row>
    <row r="236" spans="1:16" x14ac:dyDescent="0.3">
      <c r="A236" t="s">
        <v>308</v>
      </c>
      <c r="B236" s="1">
        <v>45509</v>
      </c>
      <c r="C236" t="s">
        <v>26</v>
      </c>
      <c r="D236" t="s">
        <v>27</v>
      </c>
      <c r="E236" t="s">
        <v>32</v>
      </c>
      <c r="F236" t="s">
        <v>33</v>
      </c>
      <c r="G236" t="s">
        <v>48</v>
      </c>
      <c r="H236">
        <v>20</v>
      </c>
      <c r="I236">
        <v>1500</v>
      </c>
      <c r="J236">
        <v>15</v>
      </c>
      <c r="K236">
        <v>25500</v>
      </c>
      <c r="L236">
        <v>12750</v>
      </c>
      <c r="M236">
        <v>12750</v>
      </c>
      <c r="N236" t="s">
        <v>49</v>
      </c>
      <c r="O236" t="s">
        <v>50</v>
      </c>
      <c r="P236" t="s">
        <v>24</v>
      </c>
    </row>
    <row r="237" spans="1:16" x14ac:dyDescent="0.3">
      <c r="A237" t="s">
        <v>309</v>
      </c>
      <c r="B237" s="1">
        <v>45040</v>
      </c>
      <c r="C237" t="s">
        <v>58</v>
      </c>
      <c r="D237" t="s">
        <v>64</v>
      </c>
      <c r="E237" t="s">
        <v>38</v>
      </c>
      <c r="F237" t="s">
        <v>20</v>
      </c>
      <c r="G237" t="s">
        <v>115</v>
      </c>
      <c r="H237">
        <v>7</v>
      </c>
      <c r="I237">
        <v>2500</v>
      </c>
      <c r="J237">
        <v>5</v>
      </c>
      <c r="K237">
        <v>16625</v>
      </c>
      <c r="L237">
        <v>6650</v>
      </c>
      <c r="M237">
        <v>9975</v>
      </c>
      <c r="N237" t="s">
        <v>30</v>
      </c>
      <c r="O237" t="s">
        <v>23</v>
      </c>
      <c r="P237" t="s">
        <v>24</v>
      </c>
    </row>
    <row r="238" spans="1:16" x14ac:dyDescent="0.3">
      <c r="A238" t="s">
        <v>310</v>
      </c>
      <c r="B238" s="1">
        <v>45226</v>
      </c>
      <c r="C238" t="s">
        <v>58</v>
      </c>
      <c r="D238" t="s">
        <v>59</v>
      </c>
      <c r="E238" t="s">
        <v>60</v>
      </c>
      <c r="F238" t="s">
        <v>33</v>
      </c>
      <c r="G238" t="s">
        <v>48</v>
      </c>
      <c r="H238">
        <v>42</v>
      </c>
      <c r="I238">
        <v>1500</v>
      </c>
      <c r="J238">
        <v>20</v>
      </c>
      <c r="K238">
        <v>50400</v>
      </c>
      <c r="L238">
        <v>25200</v>
      </c>
      <c r="M238">
        <v>25200</v>
      </c>
      <c r="N238" t="s">
        <v>49</v>
      </c>
      <c r="O238" t="s">
        <v>50</v>
      </c>
      <c r="P238" t="s">
        <v>24</v>
      </c>
    </row>
    <row r="239" spans="1:16" x14ac:dyDescent="0.3">
      <c r="A239" t="s">
        <v>311</v>
      </c>
      <c r="B239" s="1">
        <v>44942</v>
      </c>
      <c r="C239" t="s">
        <v>17</v>
      </c>
      <c r="D239" t="s">
        <v>18</v>
      </c>
      <c r="E239" t="s">
        <v>32</v>
      </c>
      <c r="F239" t="s">
        <v>33</v>
      </c>
      <c r="G239" t="s">
        <v>34</v>
      </c>
      <c r="H239">
        <v>48</v>
      </c>
      <c r="I239">
        <v>25000</v>
      </c>
      <c r="J239">
        <v>15</v>
      </c>
      <c r="K239">
        <v>1020000</v>
      </c>
      <c r="L239">
        <v>510000</v>
      </c>
      <c r="M239">
        <v>510000</v>
      </c>
      <c r="N239" t="s">
        <v>30</v>
      </c>
      <c r="O239" t="s">
        <v>50</v>
      </c>
      <c r="P239" t="s">
        <v>40</v>
      </c>
    </row>
    <row r="240" spans="1:16" x14ac:dyDescent="0.3">
      <c r="A240" t="s">
        <v>312</v>
      </c>
      <c r="B240" s="1">
        <v>45300</v>
      </c>
      <c r="C240" t="s">
        <v>58</v>
      </c>
      <c r="D240" t="s">
        <v>59</v>
      </c>
      <c r="E240" t="s">
        <v>52</v>
      </c>
      <c r="F240" t="s">
        <v>20</v>
      </c>
      <c r="G240" t="s">
        <v>53</v>
      </c>
      <c r="H240">
        <v>35</v>
      </c>
      <c r="I240">
        <v>600</v>
      </c>
      <c r="J240">
        <v>5</v>
      </c>
      <c r="K240">
        <v>19950</v>
      </c>
      <c r="L240">
        <v>7980</v>
      </c>
      <c r="M240">
        <v>11970</v>
      </c>
      <c r="N240" t="s">
        <v>30</v>
      </c>
      <c r="O240" t="s">
        <v>23</v>
      </c>
      <c r="P240" t="s">
        <v>40</v>
      </c>
    </row>
    <row r="241" spans="1:16" x14ac:dyDescent="0.3">
      <c r="A241" t="s">
        <v>313</v>
      </c>
      <c r="B241" s="1">
        <v>44972</v>
      </c>
      <c r="C241" t="s">
        <v>17</v>
      </c>
      <c r="D241" t="s">
        <v>42</v>
      </c>
      <c r="E241" t="s">
        <v>52</v>
      </c>
      <c r="F241" t="s">
        <v>65</v>
      </c>
      <c r="G241" t="s">
        <v>66</v>
      </c>
      <c r="H241">
        <v>9</v>
      </c>
      <c r="I241">
        <v>5500</v>
      </c>
      <c r="J241">
        <v>10</v>
      </c>
      <c r="K241">
        <v>44550</v>
      </c>
      <c r="L241">
        <v>20047.5</v>
      </c>
      <c r="M241">
        <v>24502.5</v>
      </c>
      <c r="N241" t="s">
        <v>49</v>
      </c>
      <c r="O241" t="s">
        <v>44</v>
      </c>
      <c r="P241" t="s">
        <v>24</v>
      </c>
    </row>
    <row r="242" spans="1:16" x14ac:dyDescent="0.3">
      <c r="A242" t="s">
        <v>314</v>
      </c>
      <c r="B242" s="1">
        <v>45408</v>
      </c>
      <c r="C242" t="s">
        <v>58</v>
      </c>
      <c r="D242" t="s">
        <v>84</v>
      </c>
      <c r="E242" t="s">
        <v>60</v>
      </c>
      <c r="F242" t="s">
        <v>65</v>
      </c>
      <c r="G242" t="s">
        <v>79</v>
      </c>
      <c r="H242">
        <v>26</v>
      </c>
      <c r="I242">
        <v>900</v>
      </c>
      <c r="J242">
        <v>20</v>
      </c>
      <c r="K242">
        <v>18720</v>
      </c>
      <c r="L242">
        <v>8424</v>
      </c>
      <c r="M242">
        <v>10296</v>
      </c>
      <c r="N242" t="s">
        <v>22</v>
      </c>
      <c r="O242" t="s">
        <v>23</v>
      </c>
      <c r="P242" t="s">
        <v>40</v>
      </c>
    </row>
    <row r="243" spans="1:16" x14ac:dyDescent="0.3">
      <c r="A243" t="s">
        <v>315</v>
      </c>
      <c r="B243" s="1">
        <v>45598</v>
      </c>
      <c r="C243" t="s">
        <v>17</v>
      </c>
      <c r="D243" t="s">
        <v>42</v>
      </c>
      <c r="E243" t="s">
        <v>111</v>
      </c>
      <c r="F243" t="s">
        <v>28</v>
      </c>
      <c r="G243" t="s">
        <v>95</v>
      </c>
      <c r="H243">
        <v>50</v>
      </c>
      <c r="I243">
        <v>75000</v>
      </c>
      <c r="J243">
        <v>5</v>
      </c>
      <c r="K243">
        <v>3562500</v>
      </c>
      <c r="L243">
        <v>1959375</v>
      </c>
      <c r="M243">
        <v>1603125</v>
      </c>
      <c r="N243" t="s">
        <v>30</v>
      </c>
      <c r="O243" t="s">
        <v>67</v>
      </c>
      <c r="P243" t="s">
        <v>24</v>
      </c>
    </row>
    <row r="244" spans="1:16" x14ac:dyDescent="0.3">
      <c r="A244" t="s">
        <v>316</v>
      </c>
      <c r="B244" s="1">
        <v>44639</v>
      </c>
      <c r="C244" t="s">
        <v>58</v>
      </c>
      <c r="D244" t="s">
        <v>59</v>
      </c>
      <c r="E244" t="s">
        <v>32</v>
      </c>
      <c r="F244" t="s">
        <v>28</v>
      </c>
      <c r="G244" t="s">
        <v>95</v>
      </c>
      <c r="H244">
        <v>7</v>
      </c>
      <c r="I244">
        <v>75000</v>
      </c>
      <c r="J244">
        <v>10</v>
      </c>
      <c r="K244">
        <v>472500</v>
      </c>
      <c r="L244">
        <v>259875</v>
      </c>
      <c r="M244">
        <v>212625</v>
      </c>
      <c r="N244" t="s">
        <v>22</v>
      </c>
      <c r="O244" t="s">
        <v>67</v>
      </c>
      <c r="P244" t="s">
        <v>24</v>
      </c>
    </row>
    <row r="245" spans="1:16" x14ac:dyDescent="0.3">
      <c r="A245" t="s">
        <v>317</v>
      </c>
      <c r="B245" s="1">
        <v>45645</v>
      </c>
      <c r="C245" t="s">
        <v>46</v>
      </c>
      <c r="D245" t="s">
        <v>55</v>
      </c>
      <c r="E245" t="s">
        <v>70</v>
      </c>
      <c r="F245" t="s">
        <v>65</v>
      </c>
      <c r="G245" t="s">
        <v>66</v>
      </c>
      <c r="H245">
        <v>50</v>
      </c>
      <c r="I245">
        <v>5500</v>
      </c>
      <c r="J245">
        <v>20</v>
      </c>
      <c r="K245">
        <v>220000</v>
      </c>
      <c r="L245">
        <v>99000</v>
      </c>
      <c r="M245">
        <v>121000</v>
      </c>
      <c r="N245" t="s">
        <v>30</v>
      </c>
      <c r="O245" t="s">
        <v>50</v>
      </c>
      <c r="P245" t="s">
        <v>40</v>
      </c>
    </row>
    <row r="246" spans="1:16" x14ac:dyDescent="0.3">
      <c r="A246" t="s">
        <v>318</v>
      </c>
      <c r="B246" s="1">
        <v>44608</v>
      </c>
      <c r="C246" t="s">
        <v>26</v>
      </c>
      <c r="D246" t="s">
        <v>69</v>
      </c>
      <c r="E246" t="s">
        <v>32</v>
      </c>
      <c r="F246" t="s">
        <v>28</v>
      </c>
      <c r="G246" t="s">
        <v>95</v>
      </c>
      <c r="H246">
        <v>47</v>
      </c>
      <c r="I246">
        <v>75000</v>
      </c>
      <c r="J246">
        <v>5</v>
      </c>
      <c r="K246">
        <v>3348750</v>
      </c>
      <c r="L246">
        <v>1841812.5</v>
      </c>
      <c r="M246">
        <v>1506937.5</v>
      </c>
      <c r="N246" t="s">
        <v>49</v>
      </c>
      <c r="O246" t="s">
        <v>50</v>
      </c>
      <c r="P246" t="s">
        <v>24</v>
      </c>
    </row>
    <row r="247" spans="1:16" x14ac:dyDescent="0.3">
      <c r="A247" t="s">
        <v>319</v>
      </c>
      <c r="B247" s="1">
        <v>45469</v>
      </c>
      <c r="C247" t="s">
        <v>46</v>
      </c>
      <c r="D247" t="s">
        <v>55</v>
      </c>
      <c r="E247" t="s">
        <v>70</v>
      </c>
      <c r="F247" t="s">
        <v>65</v>
      </c>
      <c r="G247" t="s">
        <v>117</v>
      </c>
      <c r="H247">
        <v>29</v>
      </c>
      <c r="I247">
        <v>1200</v>
      </c>
      <c r="J247">
        <v>15</v>
      </c>
      <c r="K247">
        <v>29580</v>
      </c>
      <c r="L247">
        <v>13311</v>
      </c>
      <c r="M247">
        <v>16269</v>
      </c>
      <c r="N247" t="s">
        <v>30</v>
      </c>
      <c r="O247" t="s">
        <v>50</v>
      </c>
      <c r="P247" t="s">
        <v>24</v>
      </c>
    </row>
    <row r="248" spans="1:16" x14ac:dyDescent="0.3">
      <c r="A248" t="s">
        <v>320</v>
      </c>
      <c r="B248" s="1">
        <v>44646</v>
      </c>
      <c r="C248" t="s">
        <v>26</v>
      </c>
      <c r="D248" t="s">
        <v>27</v>
      </c>
      <c r="E248" t="s">
        <v>70</v>
      </c>
      <c r="F248" t="s">
        <v>28</v>
      </c>
      <c r="G248" t="s">
        <v>87</v>
      </c>
      <c r="H248">
        <v>48</v>
      </c>
      <c r="I248">
        <v>45000</v>
      </c>
      <c r="J248">
        <v>5</v>
      </c>
      <c r="K248">
        <v>2052000</v>
      </c>
      <c r="L248">
        <v>1128600</v>
      </c>
      <c r="M248">
        <v>923400</v>
      </c>
      <c r="N248" t="s">
        <v>30</v>
      </c>
      <c r="O248" t="s">
        <v>67</v>
      </c>
      <c r="P248" t="s">
        <v>40</v>
      </c>
    </row>
    <row r="249" spans="1:16" x14ac:dyDescent="0.3">
      <c r="A249" t="s">
        <v>321</v>
      </c>
      <c r="B249" s="1">
        <v>44876</v>
      </c>
      <c r="C249" t="s">
        <v>58</v>
      </c>
      <c r="D249" t="s">
        <v>59</v>
      </c>
      <c r="E249" t="s">
        <v>19</v>
      </c>
      <c r="F249" t="s">
        <v>65</v>
      </c>
      <c r="G249" t="s">
        <v>104</v>
      </c>
      <c r="H249">
        <v>12</v>
      </c>
      <c r="I249">
        <v>3000</v>
      </c>
      <c r="J249">
        <v>15</v>
      </c>
      <c r="K249">
        <v>30600</v>
      </c>
      <c r="L249">
        <v>13770</v>
      </c>
      <c r="M249">
        <v>16830</v>
      </c>
      <c r="N249" t="s">
        <v>30</v>
      </c>
      <c r="O249" t="s">
        <v>67</v>
      </c>
      <c r="P249" t="s">
        <v>24</v>
      </c>
    </row>
    <row r="250" spans="1:16" x14ac:dyDescent="0.3">
      <c r="A250" t="s">
        <v>322</v>
      </c>
      <c r="B250" s="1">
        <v>44941</v>
      </c>
      <c r="C250" t="s">
        <v>58</v>
      </c>
      <c r="D250" t="s">
        <v>59</v>
      </c>
      <c r="E250" t="s">
        <v>56</v>
      </c>
      <c r="F250" t="s">
        <v>20</v>
      </c>
      <c r="G250" t="s">
        <v>74</v>
      </c>
      <c r="H250">
        <v>18</v>
      </c>
      <c r="I250">
        <v>4200</v>
      </c>
      <c r="J250">
        <v>0</v>
      </c>
      <c r="K250">
        <v>75600</v>
      </c>
      <c r="L250">
        <v>30240</v>
      </c>
      <c r="M250">
        <v>45360</v>
      </c>
      <c r="N250" t="s">
        <v>30</v>
      </c>
      <c r="O250" t="s">
        <v>67</v>
      </c>
      <c r="P250" t="s">
        <v>40</v>
      </c>
    </row>
    <row r="251" spans="1:16" x14ac:dyDescent="0.3">
      <c r="A251" t="s">
        <v>323</v>
      </c>
      <c r="B251" s="1">
        <v>44907</v>
      </c>
      <c r="C251" t="s">
        <v>17</v>
      </c>
      <c r="D251" t="s">
        <v>18</v>
      </c>
      <c r="E251" t="s">
        <v>60</v>
      </c>
      <c r="F251" t="s">
        <v>28</v>
      </c>
      <c r="G251" t="s">
        <v>71</v>
      </c>
      <c r="H251">
        <v>43</v>
      </c>
      <c r="I251">
        <v>35000</v>
      </c>
      <c r="J251">
        <v>15</v>
      </c>
      <c r="K251">
        <v>1279250</v>
      </c>
      <c r="L251">
        <v>703587.5</v>
      </c>
      <c r="M251">
        <v>575662.5</v>
      </c>
      <c r="N251" t="s">
        <v>22</v>
      </c>
      <c r="O251" t="s">
        <v>50</v>
      </c>
      <c r="P251" t="s">
        <v>40</v>
      </c>
    </row>
    <row r="252" spans="1:16" x14ac:dyDescent="0.3">
      <c r="A252" t="s">
        <v>324</v>
      </c>
      <c r="B252" s="1">
        <v>45311</v>
      </c>
      <c r="C252" t="s">
        <v>58</v>
      </c>
      <c r="D252" t="s">
        <v>64</v>
      </c>
      <c r="E252" t="s">
        <v>52</v>
      </c>
      <c r="F252" t="s">
        <v>33</v>
      </c>
      <c r="G252" t="s">
        <v>34</v>
      </c>
      <c r="H252">
        <v>30</v>
      </c>
      <c r="I252">
        <v>25000</v>
      </c>
      <c r="J252">
        <v>20</v>
      </c>
      <c r="K252">
        <v>600000</v>
      </c>
      <c r="L252">
        <v>300000</v>
      </c>
      <c r="M252">
        <v>300000</v>
      </c>
      <c r="N252" t="s">
        <v>22</v>
      </c>
      <c r="O252" t="s">
        <v>50</v>
      </c>
      <c r="P252" t="s">
        <v>24</v>
      </c>
    </row>
    <row r="253" spans="1:16" x14ac:dyDescent="0.3">
      <c r="A253" t="s">
        <v>325</v>
      </c>
      <c r="B253" s="1">
        <v>44734</v>
      </c>
      <c r="C253" t="s">
        <v>46</v>
      </c>
      <c r="D253" t="s">
        <v>55</v>
      </c>
      <c r="E253" t="s">
        <v>52</v>
      </c>
      <c r="F253" t="s">
        <v>20</v>
      </c>
      <c r="G253" t="s">
        <v>61</v>
      </c>
      <c r="H253">
        <v>8</v>
      </c>
      <c r="I253">
        <v>800</v>
      </c>
      <c r="J253">
        <v>5</v>
      </c>
      <c r="K253">
        <v>6080</v>
      </c>
      <c r="L253">
        <v>2432</v>
      </c>
      <c r="M253">
        <v>3648</v>
      </c>
      <c r="N253" t="s">
        <v>22</v>
      </c>
      <c r="O253" t="s">
        <v>44</v>
      </c>
      <c r="P253" t="s">
        <v>24</v>
      </c>
    </row>
    <row r="254" spans="1:16" x14ac:dyDescent="0.3">
      <c r="A254" t="s">
        <v>326</v>
      </c>
      <c r="B254" s="1">
        <v>45548</v>
      </c>
      <c r="C254" t="s">
        <v>58</v>
      </c>
      <c r="D254" t="s">
        <v>64</v>
      </c>
      <c r="E254" t="s">
        <v>78</v>
      </c>
      <c r="F254" t="s">
        <v>65</v>
      </c>
      <c r="G254" t="s">
        <v>66</v>
      </c>
      <c r="H254">
        <v>12</v>
      </c>
      <c r="I254">
        <v>5500</v>
      </c>
      <c r="J254">
        <v>15</v>
      </c>
      <c r="K254">
        <v>56100</v>
      </c>
      <c r="L254">
        <v>25245</v>
      </c>
      <c r="M254">
        <v>30855</v>
      </c>
      <c r="N254" t="s">
        <v>22</v>
      </c>
      <c r="O254" t="s">
        <v>44</v>
      </c>
      <c r="P254" t="s">
        <v>40</v>
      </c>
    </row>
    <row r="255" spans="1:16" x14ac:dyDescent="0.3">
      <c r="A255" t="s">
        <v>327</v>
      </c>
      <c r="B255" s="1">
        <v>45632</v>
      </c>
      <c r="C255" t="s">
        <v>58</v>
      </c>
      <c r="D255" t="s">
        <v>59</v>
      </c>
      <c r="E255" t="s">
        <v>78</v>
      </c>
      <c r="F255" t="s">
        <v>20</v>
      </c>
      <c r="G255" t="s">
        <v>61</v>
      </c>
      <c r="H255">
        <v>29</v>
      </c>
      <c r="I255">
        <v>800</v>
      </c>
      <c r="J255">
        <v>20</v>
      </c>
      <c r="K255">
        <v>18560</v>
      </c>
      <c r="L255">
        <v>7424</v>
      </c>
      <c r="M255">
        <v>11136</v>
      </c>
      <c r="N255" t="s">
        <v>49</v>
      </c>
      <c r="O255" t="s">
        <v>35</v>
      </c>
      <c r="P255" t="s">
        <v>24</v>
      </c>
    </row>
    <row r="256" spans="1:16" x14ac:dyDescent="0.3">
      <c r="A256" t="s">
        <v>328</v>
      </c>
      <c r="B256" s="1">
        <v>45509</v>
      </c>
      <c r="C256" t="s">
        <v>46</v>
      </c>
      <c r="D256" t="s">
        <v>55</v>
      </c>
      <c r="E256" t="s">
        <v>111</v>
      </c>
      <c r="F256" t="s">
        <v>65</v>
      </c>
      <c r="G256" t="s">
        <v>66</v>
      </c>
      <c r="H256">
        <v>44</v>
      </c>
      <c r="I256">
        <v>5500</v>
      </c>
      <c r="J256">
        <v>15</v>
      </c>
      <c r="K256">
        <v>205700</v>
      </c>
      <c r="L256">
        <v>92565</v>
      </c>
      <c r="M256">
        <v>113135</v>
      </c>
      <c r="N256" t="s">
        <v>22</v>
      </c>
      <c r="O256" t="s">
        <v>23</v>
      </c>
      <c r="P256" t="s">
        <v>24</v>
      </c>
    </row>
    <row r="257" spans="1:16" x14ac:dyDescent="0.3">
      <c r="A257" t="s">
        <v>329</v>
      </c>
      <c r="B257" s="1">
        <v>45510</v>
      </c>
      <c r="C257" t="s">
        <v>26</v>
      </c>
      <c r="D257" t="s">
        <v>27</v>
      </c>
      <c r="E257" t="s">
        <v>19</v>
      </c>
      <c r="F257" t="s">
        <v>33</v>
      </c>
      <c r="G257" t="s">
        <v>39</v>
      </c>
      <c r="H257">
        <v>18</v>
      </c>
      <c r="I257">
        <v>5000</v>
      </c>
      <c r="J257">
        <v>5</v>
      </c>
      <c r="K257">
        <v>85500</v>
      </c>
      <c r="L257">
        <v>42750</v>
      </c>
      <c r="M257">
        <v>42750</v>
      </c>
      <c r="N257" t="s">
        <v>49</v>
      </c>
      <c r="O257" t="s">
        <v>44</v>
      </c>
      <c r="P257" t="s">
        <v>40</v>
      </c>
    </row>
    <row r="258" spans="1:16" x14ac:dyDescent="0.3">
      <c r="A258" t="s">
        <v>330</v>
      </c>
      <c r="B258" s="1">
        <v>45462</v>
      </c>
      <c r="C258" t="s">
        <v>58</v>
      </c>
      <c r="D258" t="s">
        <v>64</v>
      </c>
      <c r="E258" t="s">
        <v>111</v>
      </c>
      <c r="F258" t="s">
        <v>28</v>
      </c>
      <c r="G258" t="s">
        <v>29</v>
      </c>
      <c r="H258">
        <v>8</v>
      </c>
      <c r="I258">
        <v>15000</v>
      </c>
      <c r="J258">
        <v>10</v>
      </c>
      <c r="K258">
        <v>108000</v>
      </c>
      <c r="L258">
        <v>59400</v>
      </c>
      <c r="M258">
        <v>48600</v>
      </c>
      <c r="N258" t="s">
        <v>49</v>
      </c>
      <c r="O258" t="s">
        <v>67</v>
      </c>
      <c r="P258" t="s">
        <v>40</v>
      </c>
    </row>
    <row r="259" spans="1:16" x14ac:dyDescent="0.3">
      <c r="A259" t="s">
        <v>331</v>
      </c>
      <c r="B259" s="1">
        <v>44645</v>
      </c>
      <c r="C259" t="s">
        <v>58</v>
      </c>
      <c r="D259" t="s">
        <v>64</v>
      </c>
      <c r="E259" t="s">
        <v>19</v>
      </c>
      <c r="F259" t="s">
        <v>65</v>
      </c>
      <c r="G259" t="s">
        <v>117</v>
      </c>
      <c r="H259">
        <v>48</v>
      </c>
      <c r="I259">
        <v>1200</v>
      </c>
      <c r="J259">
        <v>5</v>
      </c>
      <c r="K259">
        <v>54720</v>
      </c>
      <c r="L259">
        <v>24624</v>
      </c>
      <c r="M259">
        <v>30096</v>
      </c>
      <c r="N259" t="s">
        <v>30</v>
      </c>
      <c r="O259" t="s">
        <v>23</v>
      </c>
      <c r="P259" t="s">
        <v>24</v>
      </c>
    </row>
    <row r="260" spans="1:16" x14ac:dyDescent="0.3">
      <c r="A260" t="s">
        <v>332</v>
      </c>
      <c r="B260" s="1">
        <v>45058</v>
      </c>
      <c r="C260" t="s">
        <v>26</v>
      </c>
      <c r="D260" t="s">
        <v>69</v>
      </c>
      <c r="E260" t="s">
        <v>52</v>
      </c>
      <c r="F260" t="s">
        <v>20</v>
      </c>
      <c r="G260" t="s">
        <v>74</v>
      </c>
      <c r="H260">
        <v>48</v>
      </c>
      <c r="I260">
        <v>4200</v>
      </c>
      <c r="J260">
        <v>20</v>
      </c>
      <c r="K260">
        <v>161280</v>
      </c>
      <c r="L260">
        <v>64512</v>
      </c>
      <c r="M260">
        <v>96768</v>
      </c>
      <c r="N260" t="s">
        <v>22</v>
      </c>
      <c r="O260" t="s">
        <v>67</v>
      </c>
      <c r="P260" t="s">
        <v>24</v>
      </c>
    </row>
    <row r="261" spans="1:16" x14ac:dyDescent="0.3">
      <c r="A261" t="s">
        <v>333</v>
      </c>
      <c r="B261" s="1">
        <v>45388</v>
      </c>
      <c r="C261" t="s">
        <v>46</v>
      </c>
      <c r="D261" t="s">
        <v>47</v>
      </c>
      <c r="E261" t="s">
        <v>19</v>
      </c>
      <c r="F261" t="s">
        <v>28</v>
      </c>
      <c r="G261" t="s">
        <v>29</v>
      </c>
      <c r="H261">
        <v>23</v>
      </c>
      <c r="I261">
        <v>15000</v>
      </c>
      <c r="J261">
        <v>20</v>
      </c>
      <c r="K261">
        <v>276000</v>
      </c>
      <c r="L261">
        <v>151800</v>
      </c>
      <c r="M261">
        <v>124200</v>
      </c>
      <c r="N261" t="s">
        <v>22</v>
      </c>
      <c r="O261" t="s">
        <v>67</v>
      </c>
      <c r="P261" t="s">
        <v>24</v>
      </c>
    </row>
    <row r="262" spans="1:16" x14ac:dyDescent="0.3">
      <c r="A262" t="s">
        <v>334</v>
      </c>
      <c r="B262" s="1">
        <v>44876</v>
      </c>
      <c r="C262" t="s">
        <v>17</v>
      </c>
      <c r="D262" t="s">
        <v>37</v>
      </c>
      <c r="E262" t="s">
        <v>38</v>
      </c>
      <c r="F262" t="s">
        <v>33</v>
      </c>
      <c r="G262" t="s">
        <v>43</v>
      </c>
      <c r="H262">
        <v>44</v>
      </c>
      <c r="I262">
        <v>4000</v>
      </c>
      <c r="J262">
        <v>0</v>
      </c>
      <c r="K262">
        <v>176000</v>
      </c>
      <c r="L262">
        <v>88000</v>
      </c>
      <c r="M262">
        <v>88000</v>
      </c>
      <c r="N262" t="s">
        <v>49</v>
      </c>
      <c r="O262" t="s">
        <v>35</v>
      </c>
      <c r="P262" t="s">
        <v>24</v>
      </c>
    </row>
    <row r="263" spans="1:16" x14ac:dyDescent="0.3">
      <c r="A263" t="s">
        <v>335</v>
      </c>
      <c r="B263" s="1">
        <v>45105</v>
      </c>
      <c r="C263" t="s">
        <v>46</v>
      </c>
      <c r="D263" t="s">
        <v>47</v>
      </c>
      <c r="E263" t="s">
        <v>19</v>
      </c>
      <c r="F263" t="s">
        <v>20</v>
      </c>
      <c r="G263" t="s">
        <v>61</v>
      </c>
      <c r="H263">
        <v>16</v>
      </c>
      <c r="I263">
        <v>800</v>
      </c>
      <c r="J263">
        <v>15</v>
      </c>
      <c r="K263">
        <v>10880</v>
      </c>
      <c r="L263">
        <v>4352</v>
      </c>
      <c r="M263">
        <v>6528</v>
      </c>
      <c r="N263" t="s">
        <v>30</v>
      </c>
      <c r="O263" t="s">
        <v>67</v>
      </c>
      <c r="P263" t="s">
        <v>24</v>
      </c>
    </row>
    <row r="264" spans="1:16" x14ac:dyDescent="0.3">
      <c r="A264" t="s">
        <v>336</v>
      </c>
      <c r="B264" s="1">
        <v>45098</v>
      </c>
      <c r="C264" t="s">
        <v>58</v>
      </c>
      <c r="D264" t="s">
        <v>59</v>
      </c>
      <c r="E264" t="s">
        <v>60</v>
      </c>
      <c r="F264" t="s">
        <v>28</v>
      </c>
      <c r="G264" t="s">
        <v>95</v>
      </c>
      <c r="H264">
        <v>26</v>
      </c>
      <c r="I264">
        <v>75000</v>
      </c>
      <c r="J264">
        <v>20</v>
      </c>
      <c r="K264">
        <v>1560000</v>
      </c>
      <c r="L264">
        <v>858000</v>
      </c>
      <c r="M264">
        <v>702000</v>
      </c>
      <c r="N264" t="s">
        <v>22</v>
      </c>
      <c r="O264" t="s">
        <v>50</v>
      </c>
      <c r="P264" t="s">
        <v>24</v>
      </c>
    </row>
    <row r="265" spans="1:16" x14ac:dyDescent="0.3">
      <c r="A265" t="s">
        <v>337</v>
      </c>
      <c r="B265" s="1">
        <v>45459</v>
      </c>
      <c r="C265" t="s">
        <v>17</v>
      </c>
      <c r="D265" t="s">
        <v>42</v>
      </c>
      <c r="E265" t="s">
        <v>56</v>
      </c>
      <c r="F265" t="s">
        <v>28</v>
      </c>
      <c r="G265" t="s">
        <v>85</v>
      </c>
      <c r="H265">
        <v>41</v>
      </c>
      <c r="I265">
        <v>8000</v>
      </c>
      <c r="J265">
        <v>10</v>
      </c>
      <c r="K265">
        <v>295200</v>
      </c>
      <c r="L265">
        <v>162360</v>
      </c>
      <c r="M265">
        <v>132840</v>
      </c>
      <c r="N265" t="s">
        <v>22</v>
      </c>
      <c r="O265" t="s">
        <v>23</v>
      </c>
      <c r="P265" t="s">
        <v>24</v>
      </c>
    </row>
    <row r="266" spans="1:16" x14ac:dyDescent="0.3">
      <c r="A266" t="s">
        <v>338</v>
      </c>
      <c r="B266" s="1">
        <v>44971</v>
      </c>
      <c r="C266" t="s">
        <v>46</v>
      </c>
      <c r="D266" t="s">
        <v>55</v>
      </c>
      <c r="E266" t="s">
        <v>73</v>
      </c>
      <c r="F266" t="s">
        <v>33</v>
      </c>
      <c r="G266" t="s">
        <v>34</v>
      </c>
      <c r="H266">
        <v>22</v>
      </c>
      <c r="I266">
        <v>25000</v>
      </c>
      <c r="J266">
        <v>20</v>
      </c>
      <c r="K266">
        <v>440000</v>
      </c>
      <c r="L266">
        <v>220000</v>
      </c>
      <c r="M266">
        <v>220000</v>
      </c>
      <c r="N266" t="s">
        <v>30</v>
      </c>
      <c r="O266" t="s">
        <v>67</v>
      </c>
      <c r="P266" t="s">
        <v>40</v>
      </c>
    </row>
    <row r="267" spans="1:16" x14ac:dyDescent="0.3">
      <c r="A267" t="s">
        <v>339</v>
      </c>
      <c r="B267" s="1">
        <v>45530</v>
      </c>
      <c r="C267" t="s">
        <v>17</v>
      </c>
      <c r="D267" t="s">
        <v>42</v>
      </c>
      <c r="E267" t="s">
        <v>56</v>
      </c>
      <c r="F267" t="s">
        <v>28</v>
      </c>
      <c r="G267" t="s">
        <v>95</v>
      </c>
      <c r="H267">
        <v>41</v>
      </c>
      <c r="I267">
        <v>75000</v>
      </c>
      <c r="J267">
        <v>15</v>
      </c>
      <c r="K267">
        <v>2613750</v>
      </c>
      <c r="L267">
        <v>1437562.5</v>
      </c>
      <c r="M267">
        <v>1176187.5</v>
      </c>
      <c r="N267" t="s">
        <v>30</v>
      </c>
      <c r="O267" t="s">
        <v>44</v>
      </c>
      <c r="P267" t="s">
        <v>24</v>
      </c>
    </row>
    <row r="268" spans="1:16" x14ac:dyDescent="0.3">
      <c r="A268" t="s">
        <v>340</v>
      </c>
      <c r="B268" s="1">
        <v>45427</v>
      </c>
      <c r="C268" t="s">
        <v>26</v>
      </c>
      <c r="D268" t="s">
        <v>69</v>
      </c>
      <c r="E268" t="s">
        <v>19</v>
      </c>
      <c r="F268" t="s">
        <v>20</v>
      </c>
      <c r="G268" t="s">
        <v>61</v>
      </c>
      <c r="H268">
        <v>11</v>
      </c>
      <c r="I268">
        <v>800</v>
      </c>
      <c r="J268">
        <v>10</v>
      </c>
      <c r="K268">
        <v>7920</v>
      </c>
      <c r="L268">
        <v>3168</v>
      </c>
      <c r="M268">
        <v>4752</v>
      </c>
      <c r="N268" t="s">
        <v>22</v>
      </c>
      <c r="O268" t="s">
        <v>50</v>
      </c>
      <c r="P268" t="s">
        <v>24</v>
      </c>
    </row>
    <row r="269" spans="1:16" x14ac:dyDescent="0.3">
      <c r="A269" t="s">
        <v>341</v>
      </c>
      <c r="B269" s="1">
        <v>45049</v>
      </c>
      <c r="C269" t="s">
        <v>17</v>
      </c>
      <c r="D269" t="s">
        <v>42</v>
      </c>
      <c r="E269" t="s">
        <v>78</v>
      </c>
      <c r="F269" t="s">
        <v>28</v>
      </c>
      <c r="G269" t="s">
        <v>85</v>
      </c>
      <c r="H269">
        <v>41</v>
      </c>
      <c r="I269">
        <v>8000</v>
      </c>
      <c r="J269">
        <v>10</v>
      </c>
      <c r="K269">
        <v>295200</v>
      </c>
      <c r="L269">
        <v>162360</v>
      </c>
      <c r="M269">
        <v>132840</v>
      </c>
      <c r="N269" t="s">
        <v>49</v>
      </c>
      <c r="O269" t="s">
        <v>35</v>
      </c>
      <c r="P269" t="s">
        <v>24</v>
      </c>
    </row>
    <row r="270" spans="1:16" x14ac:dyDescent="0.3">
      <c r="A270" t="s">
        <v>342</v>
      </c>
      <c r="B270" s="1">
        <v>44743</v>
      </c>
      <c r="C270" t="s">
        <v>46</v>
      </c>
      <c r="D270" t="s">
        <v>55</v>
      </c>
      <c r="E270" t="s">
        <v>52</v>
      </c>
      <c r="F270" t="s">
        <v>20</v>
      </c>
      <c r="G270" t="s">
        <v>53</v>
      </c>
      <c r="H270">
        <v>15</v>
      </c>
      <c r="I270">
        <v>600</v>
      </c>
      <c r="J270">
        <v>20</v>
      </c>
      <c r="K270">
        <v>7200</v>
      </c>
      <c r="L270">
        <v>2880</v>
      </c>
      <c r="M270">
        <v>4320</v>
      </c>
      <c r="N270" t="s">
        <v>30</v>
      </c>
      <c r="O270" t="s">
        <v>35</v>
      </c>
      <c r="P270" t="s">
        <v>24</v>
      </c>
    </row>
    <row r="271" spans="1:16" x14ac:dyDescent="0.3">
      <c r="A271" t="s">
        <v>343</v>
      </c>
      <c r="B271" s="1">
        <v>45226</v>
      </c>
      <c r="C271" t="s">
        <v>26</v>
      </c>
      <c r="D271" t="s">
        <v>69</v>
      </c>
      <c r="E271" t="s">
        <v>78</v>
      </c>
      <c r="F271" t="s">
        <v>65</v>
      </c>
      <c r="G271" t="s">
        <v>117</v>
      </c>
      <c r="H271">
        <v>15</v>
      </c>
      <c r="I271">
        <v>1200</v>
      </c>
      <c r="J271">
        <v>15</v>
      </c>
      <c r="K271">
        <v>15300</v>
      </c>
      <c r="L271">
        <v>6885</v>
      </c>
      <c r="M271">
        <v>8415</v>
      </c>
      <c r="N271" t="s">
        <v>22</v>
      </c>
      <c r="O271" t="s">
        <v>35</v>
      </c>
      <c r="P271" t="s">
        <v>24</v>
      </c>
    </row>
    <row r="272" spans="1:16" x14ac:dyDescent="0.3">
      <c r="A272" t="s">
        <v>344</v>
      </c>
      <c r="B272" s="1">
        <v>44753</v>
      </c>
      <c r="C272" t="s">
        <v>17</v>
      </c>
      <c r="D272" t="s">
        <v>37</v>
      </c>
      <c r="E272" t="s">
        <v>78</v>
      </c>
      <c r="F272" t="s">
        <v>65</v>
      </c>
      <c r="G272" t="s">
        <v>104</v>
      </c>
      <c r="H272">
        <v>42</v>
      </c>
      <c r="I272">
        <v>3000</v>
      </c>
      <c r="J272">
        <v>5</v>
      </c>
      <c r="K272">
        <v>119700</v>
      </c>
      <c r="L272">
        <v>53865</v>
      </c>
      <c r="M272">
        <v>65835</v>
      </c>
      <c r="N272" t="s">
        <v>22</v>
      </c>
      <c r="O272" t="s">
        <v>67</v>
      </c>
      <c r="P272" t="s">
        <v>24</v>
      </c>
    </row>
    <row r="273" spans="1:16" x14ac:dyDescent="0.3">
      <c r="A273" t="s">
        <v>345</v>
      </c>
      <c r="B273" s="1">
        <v>44581</v>
      </c>
      <c r="C273" t="s">
        <v>46</v>
      </c>
      <c r="D273" t="s">
        <v>55</v>
      </c>
      <c r="E273" t="s">
        <v>70</v>
      </c>
      <c r="F273" t="s">
        <v>20</v>
      </c>
      <c r="G273" t="s">
        <v>74</v>
      </c>
      <c r="H273">
        <v>27</v>
      </c>
      <c r="I273">
        <v>4200</v>
      </c>
      <c r="J273">
        <v>20</v>
      </c>
      <c r="K273">
        <v>90720</v>
      </c>
      <c r="L273">
        <v>36288</v>
      </c>
      <c r="M273">
        <v>54432</v>
      </c>
      <c r="N273" t="s">
        <v>30</v>
      </c>
      <c r="O273" t="s">
        <v>35</v>
      </c>
      <c r="P273" t="s">
        <v>24</v>
      </c>
    </row>
    <row r="274" spans="1:16" x14ac:dyDescent="0.3">
      <c r="A274" t="s">
        <v>346</v>
      </c>
      <c r="B274" s="1">
        <v>44747</v>
      </c>
      <c r="C274" t="s">
        <v>26</v>
      </c>
      <c r="D274" t="s">
        <v>69</v>
      </c>
      <c r="E274" t="s">
        <v>70</v>
      </c>
      <c r="F274" t="s">
        <v>65</v>
      </c>
      <c r="G274" t="s">
        <v>124</v>
      </c>
      <c r="H274">
        <v>9</v>
      </c>
      <c r="I274">
        <v>18000</v>
      </c>
      <c r="J274">
        <v>5</v>
      </c>
      <c r="K274">
        <v>153900</v>
      </c>
      <c r="L274">
        <v>69255</v>
      </c>
      <c r="M274">
        <v>84645</v>
      </c>
      <c r="N274" t="s">
        <v>22</v>
      </c>
      <c r="O274" t="s">
        <v>35</v>
      </c>
      <c r="P274" t="s">
        <v>24</v>
      </c>
    </row>
    <row r="275" spans="1:16" x14ac:dyDescent="0.3">
      <c r="A275" t="s">
        <v>347</v>
      </c>
      <c r="B275" s="1">
        <v>45034</v>
      </c>
      <c r="C275" t="s">
        <v>17</v>
      </c>
      <c r="D275" t="s">
        <v>42</v>
      </c>
      <c r="E275" t="s">
        <v>56</v>
      </c>
      <c r="F275" t="s">
        <v>33</v>
      </c>
      <c r="G275" t="s">
        <v>76</v>
      </c>
      <c r="H275">
        <v>34</v>
      </c>
      <c r="I275">
        <v>8500</v>
      </c>
      <c r="J275">
        <v>20</v>
      </c>
      <c r="K275">
        <v>231200</v>
      </c>
      <c r="L275">
        <v>115600</v>
      </c>
      <c r="M275">
        <v>115600</v>
      </c>
      <c r="N275" t="s">
        <v>30</v>
      </c>
      <c r="O275" t="s">
        <v>23</v>
      </c>
      <c r="P275" t="s">
        <v>40</v>
      </c>
    </row>
    <row r="276" spans="1:16" x14ac:dyDescent="0.3">
      <c r="A276" t="s">
        <v>348</v>
      </c>
      <c r="B276" s="1">
        <v>45128</v>
      </c>
      <c r="C276" t="s">
        <v>26</v>
      </c>
      <c r="D276" t="s">
        <v>27</v>
      </c>
      <c r="E276" t="s">
        <v>60</v>
      </c>
      <c r="F276" t="s">
        <v>65</v>
      </c>
      <c r="G276" t="s">
        <v>117</v>
      </c>
      <c r="H276">
        <v>16</v>
      </c>
      <c r="I276">
        <v>1200</v>
      </c>
      <c r="J276">
        <v>15</v>
      </c>
      <c r="K276">
        <v>16320</v>
      </c>
      <c r="L276">
        <v>7344</v>
      </c>
      <c r="M276">
        <v>8976</v>
      </c>
      <c r="N276" t="s">
        <v>30</v>
      </c>
      <c r="O276" t="s">
        <v>67</v>
      </c>
      <c r="P276" t="s">
        <v>40</v>
      </c>
    </row>
    <row r="277" spans="1:16" x14ac:dyDescent="0.3">
      <c r="A277" t="s">
        <v>349</v>
      </c>
      <c r="B277" s="1">
        <v>44573</v>
      </c>
      <c r="C277" t="s">
        <v>17</v>
      </c>
      <c r="D277" t="s">
        <v>18</v>
      </c>
      <c r="E277" t="s">
        <v>32</v>
      </c>
      <c r="F277" t="s">
        <v>65</v>
      </c>
      <c r="G277" t="s">
        <v>124</v>
      </c>
      <c r="H277">
        <v>35</v>
      </c>
      <c r="I277">
        <v>18000</v>
      </c>
      <c r="J277">
        <v>5</v>
      </c>
      <c r="K277">
        <v>598500</v>
      </c>
      <c r="L277">
        <v>269325</v>
      </c>
      <c r="M277">
        <v>329175</v>
      </c>
      <c r="N277" t="s">
        <v>30</v>
      </c>
      <c r="O277" t="s">
        <v>35</v>
      </c>
      <c r="P277" t="s">
        <v>24</v>
      </c>
    </row>
    <row r="278" spans="1:16" x14ac:dyDescent="0.3">
      <c r="A278" t="s">
        <v>350</v>
      </c>
      <c r="B278" s="1">
        <v>44682</v>
      </c>
      <c r="C278" t="s">
        <v>17</v>
      </c>
      <c r="D278" t="s">
        <v>18</v>
      </c>
      <c r="E278" t="s">
        <v>56</v>
      </c>
      <c r="F278" t="s">
        <v>28</v>
      </c>
      <c r="G278" t="s">
        <v>85</v>
      </c>
      <c r="H278">
        <v>33</v>
      </c>
      <c r="I278">
        <v>8000</v>
      </c>
      <c r="J278">
        <v>10</v>
      </c>
      <c r="K278">
        <v>237600</v>
      </c>
      <c r="L278">
        <v>130680</v>
      </c>
      <c r="M278">
        <v>106920</v>
      </c>
      <c r="N278" t="s">
        <v>49</v>
      </c>
      <c r="O278" t="s">
        <v>23</v>
      </c>
      <c r="P278" t="s">
        <v>40</v>
      </c>
    </row>
    <row r="279" spans="1:16" x14ac:dyDescent="0.3">
      <c r="A279" t="s">
        <v>351</v>
      </c>
      <c r="B279" s="1">
        <v>45325</v>
      </c>
      <c r="C279" t="s">
        <v>46</v>
      </c>
      <c r="D279" t="s">
        <v>55</v>
      </c>
      <c r="E279" t="s">
        <v>52</v>
      </c>
      <c r="F279" t="s">
        <v>33</v>
      </c>
      <c r="G279" t="s">
        <v>39</v>
      </c>
      <c r="H279">
        <v>33</v>
      </c>
      <c r="I279">
        <v>5000</v>
      </c>
      <c r="J279">
        <v>5</v>
      </c>
      <c r="K279">
        <v>156750</v>
      </c>
      <c r="L279">
        <v>78375</v>
      </c>
      <c r="M279">
        <v>78375</v>
      </c>
      <c r="N279" t="s">
        <v>22</v>
      </c>
      <c r="O279" t="s">
        <v>50</v>
      </c>
      <c r="P279" t="s">
        <v>24</v>
      </c>
    </row>
    <row r="280" spans="1:16" x14ac:dyDescent="0.3">
      <c r="A280" t="s">
        <v>352</v>
      </c>
      <c r="B280" s="1">
        <v>45341</v>
      </c>
      <c r="C280" t="s">
        <v>26</v>
      </c>
      <c r="D280" t="s">
        <v>69</v>
      </c>
      <c r="E280" t="s">
        <v>32</v>
      </c>
      <c r="F280" t="s">
        <v>20</v>
      </c>
      <c r="G280" t="s">
        <v>21</v>
      </c>
      <c r="H280">
        <v>16</v>
      </c>
      <c r="I280">
        <v>3500</v>
      </c>
      <c r="J280">
        <v>0</v>
      </c>
      <c r="K280">
        <v>56000</v>
      </c>
      <c r="L280">
        <v>22400</v>
      </c>
      <c r="M280">
        <v>33600</v>
      </c>
      <c r="N280" t="s">
        <v>30</v>
      </c>
      <c r="O280" t="s">
        <v>23</v>
      </c>
      <c r="P280" t="s">
        <v>24</v>
      </c>
    </row>
    <row r="281" spans="1:16" x14ac:dyDescent="0.3">
      <c r="A281" t="s">
        <v>353</v>
      </c>
      <c r="B281" s="1">
        <v>44661</v>
      </c>
      <c r="C281" t="s">
        <v>46</v>
      </c>
      <c r="D281" t="s">
        <v>47</v>
      </c>
      <c r="E281" t="s">
        <v>56</v>
      </c>
      <c r="F281" t="s">
        <v>20</v>
      </c>
      <c r="G281" t="s">
        <v>21</v>
      </c>
      <c r="H281">
        <v>11</v>
      </c>
      <c r="I281">
        <v>3500</v>
      </c>
      <c r="J281">
        <v>15</v>
      </c>
      <c r="K281">
        <v>32725</v>
      </c>
      <c r="L281">
        <v>13090</v>
      </c>
      <c r="M281">
        <v>19635</v>
      </c>
      <c r="N281" t="s">
        <v>22</v>
      </c>
      <c r="O281" t="s">
        <v>67</v>
      </c>
      <c r="P281" t="s">
        <v>24</v>
      </c>
    </row>
    <row r="282" spans="1:16" x14ac:dyDescent="0.3">
      <c r="A282" t="s">
        <v>354</v>
      </c>
      <c r="B282" s="1">
        <v>45052</v>
      </c>
      <c r="C282" t="s">
        <v>17</v>
      </c>
      <c r="D282" t="s">
        <v>18</v>
      </c>
      <c r="E282" t="s">
        <v>73</v>
      </c>
      <c r="F282" t="s">
        <v>28</v>
      </c>
      <c r="G282" t="s">
        <v>95</v>
      </c>
      <c r="H282">
        <v>22</v>
      </c>
      <c r="I282">
        <v>75000</v>
      </c>
      <c r="J282">
        <v>15</v>
      </c>
      <c r="K282">
        <v>1402500</v>
      </c>
      <c r="L282">
        <v>771375</v>
      </c>
      <c r="M282">
        <v>631125</v>
      </c>
      <c r="N282" t="s">
        <v>22</v>
      </c>
      <c r="O282" t="s">
        <v>35</v>
      </c>
      <c r="P282" t="s">
        <v>24</v>
      </c>
    </row>
    <row r="283" spans="1:16" x14ac:dyDescent="0.3">
      <c r="A283" t="s">
        <v>355</v>
      </c>
      <c r="B283" s="1">
        <v>45069</v>
      </c>
      <c r="C283" t="s">
        <v>26</v>
      </c>
      <c r="D283" t="s">
        <v>69</v>
      </c>
      <c r="E283" t="s">
        <v>60</v>
      </c>
      <c r="F283" t="s">
        <v>33</v>
      </c>
      <c r="G283" t="s">
        <v>39</v>
      </c>
      <c r="H283">
        <v>32</v>
      </c>
      <c r="I283">
        <v>5000</v>
      </c>
      <c r="J283">
        <v>20</v>
      </c>
      <c r="K283">
        <v>128000</v>
      </c>
      <c r="L283">
        <v>64000</v>
      </c>
      <c r="M283">
        <v>64000</v>
      </c>
      <c r="N283" t="s">
        <v>49</v>
      </c>
      <c r="O283" t="s">
        <v>44</v>
      </c>
      <c r="P283" t="s">
        <v>24</v>
      </c>
    </row>
    <row r="284" spans="1:16" x14ac:dyDescent="0.3">
      <c r="A284" t="s">
        <v>356</v>
      </c>
      <c r="B284" s="1">
        <v>45071</v>
      </c>
      <c r="C284" t="s">
        <v>26</v>
      </c>
      <c r="D284" t="s">
        <v>27</v>
      </c>
      <c r="E284" t="s">
        <v>19</v>
      </c>
      <c r="F284" t="s">
        <v>28</v>
      </c>
      <c r="G284" t="s">
        <v>95</v>
      </c>
      <c r="H284">
        <v>1</v>
      </c>
      <c r="I284">
        <v>75000</v>
      </c>
      <c r="J284">
        <v>5</v>
      </c>
      <c r="K284">
        <v>71250</v>
      </c>
      <c r="L284">
        <v>39187.5</v>
      </c>
      <c r="M284">
        <v>32062.5</v>
      </c>
      <c r="N284" t="s">
        <v>49</v>
      </c>
      <c r="O284" t="s">
        <v>50</v>
      </c>
      <c r="P284" t="s">
        <v>24</v>
      </c>
    </row>
    <row r="285" spans="1:16" x14ac:dyDescent="0.3">
      <c r="A285" t="s">
        <v>357</v>
      </c>
      <c r="B285" s="1">
        <v>45296</v>
      </c>
      <c r="C285" t="s">
        <v>46</v>
      </c>
      <c r="D285" t="s">
        <v>47</v>
      </c>
      <c r="E285" t="s">
        <v>111</v>
      </c>
      <c r="F285" t="s">
        <v>65</v>
      </c>
      <c r="G285" t="s">
        <v>104</v>
      </c>
      <c r="H285">
        <v>21</v>
      </c>
      <c r="I285">
        <v>3000</v>
      </c>
      <c r="J285">
        <v>5</v>
      </c>
      <c r="K285">
        <v>59850</v>
      </c>
      <c r="L285">
        <v>26932.5</v>
      </c>
      <c r="M285">
        <v>32917.5</v>
      </c>
      <c r="N285" t="s">
        <v>22</v>
      </c>
      <c r="O285" t="s">
        <v>50</v>
      </c>
      <c r="P285" t="s">
        <v>24</v>
      </c>
    </row>
    <row r="286" spans="1:16" x14ac:dyDescent="0.3">
      <c r="A286" t="s">
        <v>358</v>
      </c>
      <c r="B286" s="1">
        <v>45104</v>
      </c>
      <c r="C286" t="s">
        <v>26</v>
      </c>
      <c r="D286" t="s">
        <v>69</v>
      </c>
      <c r="E286" t="s">
        <v>52</v>
      </c>
      <c r="F286" t="s">
        <v>28</v>
      </c>
      <c r="G286" t="s">
        <v>87</v>
      </c>
      <c r="H286">
        <v>15</v>
      </c>
      <c r="I286">
        <v>45000</v>
      </c>
      <c r="J286">
        <v>20</v>
      </c>
      <c r="K286">
        <v>540000</v>
      </c>
      <c r="L286">
        <v>297000</v>
      </c>
      <c r="M286">
        <v>243000</v>
      </c>
      <c r="N286" t="s">
        <v>49</v>
      </c>
      <c r="O286" t="s">
        <v>35</v>
      </c>
      <c r="P286" t="s">
        <v>24</v>
      </c>
    </row>
    <row r="287" spans="1:16" x14ac:dyDescent="0.3">
      <c r="A287" t="s">
        <v>359</v>
      </c>
      <c r="B287" s="1">
        <v>45471</v>
      </c>
      <c r="C287" t="s">
        <v>17</v>
      </c>
      <c r="D287" t="s">
        <v>37</v>
      </c>
      <c r="E287" t="s">
        <v>70</v>
      </c>
      <c r="F287" t="s">
        <v>28</v>
      </c>
      <c r="G287" t="s">
        <v>29</v>
      </c>
      <c r="H287">
        <v>30</v>
      </c>
      <c r="I287">
        <v>15000</v>
      </c>
      <c r="J287">
        <v>0</v>
      </c>
      <c r="K287">
        <v>450000</v>
      </c>
      <c r="L287">
        <v>247500</v>
      </c>
      <c r="M287">
        <v>202500</v>
      </c>
      <c r="N287" t="s">
        <v>30</v>
      </c>
      <c r="O287" t="s">
        <v>50</v>
      </c>
      <c r="P287" t="s">
        <v>24</v>
      </c>
    </row>
    <row r="288" spans="1:16" x14ac:dyDescent="0.3">
      <c r="A288" t="s">
        <v>360</v>
      </c>
      <c r="B288" s="1">
        <v>45162</v>
      </c>
      <c r="C288" t="s">
        <v>46</v>
      </c>
      <c r="D288" t="s">
        <v>55</v>
      </c>
      <c r="E288" t="s">
        <v>70</v>
      </c>
      <c r="F288" t="s">
        <v>65</v>
      </c>
      <c r="G288" t="s">
        <v>104</v>
      </c>
      <c r="H288">
        <v>47</v>
      </c>
      <c r="I288">
        <v>3000</v>
      </c>
      <c r="J288">
        <v>20</v>
      </c>
      <c r="K288">
        <v>112800</v>
      </c>
      <c r="L288">
        <v>50760</v>
      </c>
      <c r="M288">
        <v>62040</v>
      </c>
      <c r="N288" t="s">
        <v>30</v>
      </c>
      <c r="O288" t="s">
        <v>35</v>
      </c>
      <c r="P288" t="s">
        <v>24</v>
      </c>
    </row>
    <row r="289" spans="1:16" x14ac:dyDescent="0.3">
      <c r="A289" t="s">
        <v>361</v>
      </c>
      <c r="B289" s="1">
        <v>45352</v>
      </c>
      <c r="C289" t="s">
        <v>46</v>
      </c>
      <c r="D289" t="s">
        <v>55</v>
      </c>
      <c r="E289" t="s">
        <v>56</v>
      </c>
      <c r="F289" t="s">
        <v>33</v>
      </c>
      <c r="G289" t="s">
        <v>39</v>
      </c>
      <c r="H289">
        <v>49</v>
      </c>
      <c r="I289">
        <v>5000</v>
      </c>
      <c r="J289">
        <v>15</v>
      </c>
      <c r="K289">
        <v>208250</v>
      </c>
      <c r="L289">
        <v>104125</v>
      </c>
      <c r="M289">
        <v>104125</v>
      </c>
      <c r="N289" t="s">
        <v>30</v>
      </c>
      <c r="O289" t="s">
        <v>44</v>
      </c>
      <c r="P289" t="s">
        <v>24</v>
      </c>
    </row>
    <row r="290" spans="1:16" x14ac:dyDescent="0.3">
      <c r="A290" t="s">
        <v>362</v>
      </c>
      <c r="B290" s="1">
        <v>45573</v>
      </c>
      <c r="C290" t="s">
        <v>58</v>
      </c>
      <c r="D290" t="s">
        <v>59</v>
      </c>
      <c r="E290" t="s">
        <v>56</v>
      </c>
      <c r="F290" t="s">
        <v>20</v>
      </c>
      <c r="G290" t="s">
        <v>61</v>
      </c>
      <c r="H290">
        <v>6</v>
      </c>
      <c r="I290">
        <v>800</v>
      </c>
      <c r="J290">
        <v>0</v>
      </c>
      <c r="K290">
        <v>4800</v>
      </c>
      <c r="L290">
        <v>1920</v>
      </c>
      <c r="M290">
        <v>2880</v>
      </c>
      <c r="N290" t="s">
        <v>22</v>
      </c>
      <c r="O290" t="s">
        <v>23</v>
      </c>
      <c r="P290" t="s">
        <v>24</v>
      </c>
    </row>
    <row r="291" spans="1:16" x14ac:dyDescent="0.3">
      <c r="A291" t="s">
        <v>363</v>
      </c>
      <c r="B291" s="1">
        <v>45275</v>
      </c>
      <c r="C291" t="s">
        <v>26</v>
      </c>
      <c r="D291" t="s">
        <v>27</v>
      </c>
      <c r="E291" t="s">
        <v>111</v>
      </c>
      <c r="F291" t="s">
        <v>20</v>
      </c>
      <c r="G291" t="s">
        <v>115</v>
      </c>
      <c r="H291">
        <v>5</v>
      </c>
      <c r="I291">
        <v>2500</v>
      </c>
      <c r="J291">
        <v>20</v>
      </c>
      <c r="K291">
        <v>10000</v>
      </c>
      <c r="L291">
        <v>4000</v>
      </c>
      <c r="M291">
        <v>6000</v>
      </c>
      <c r="N291" t="s">
        <v>30</v>
      </c>
      <c r="O291" t="s">
        <v>23</v>
      </c>
      <c r="P291" t="s">
        <v>40</v>
      </c>
    </row>
    <row r="292" spans="1:16" x14ac:dyDescent="0.3">
      <c r="A292" t="s">
        <v>364</v>
      </c>
      <c r="B292" s="1">
        <v>44812</v>
      </c>
      <c r="C292" t="s">
        <v>17</v>
      </c>
      <c r="D292" t="s">
        <v>37</v>
      </c>
      <c r="E292" t="s">
        <v>70</v>
      </c>
      <c r="F292" t="s">
        <v>65</v>
      </c>
      <c r="G292" t="s">
        <v>124</v>
      </c>
      <c r="H292">
        <v>21</v>
      </c>
      <c r="I292">
        <v>18000</v>
      </c>
      <c r="J292">
        <v>15</v>
      </c>
      <c r="K292">
        <v>321300</v>
      </c>
      <c r="L292">
        <v>144585</v>
      </c>
      <c r="M292">
        <v>176715</v>
      </c>
      <c r="N292" t="s">
        <v>30</v>
      </c>
      <c r="O292" t="s">
        <v>35</v>
      </c>
      <c r="P292" t="s">
        <v>24</v>
      </c>
    </row>
    <row r="293" spans="1:16" x14ac:dyDescent="0.3">
      <c r="A293" t="s">
        <v>365</v>
      </c>
      <c r="B293" s="1">
        <v>44931</v>
      </c>
      <c r="C293" t="s">
        <v>26</v>
      </c>
      <c r="D293" t="s">
        <v>27</v>
      </c>
      <c r="E293" t="s">
        <v>52</v>
      </c>
      <c r="F293" t="s">
        <v>20</v>
      </c>
      <c r="G293" t="s">
        <v>115</v>
      </c>
      <c r="H293">
        <v>30</v>
      </c>
      <c r="I293">
        <v>2500</v>
      </c>
      <c r="J293">
        <v>10</v>
      </c>
      <c r="K293">
        <v>67500</v>
      </c>
      <c r="L293">
        <v>27000</v>
      </c>
      <c r="M293">
        <v>40500</v>
      </c>
      <c r="N293" t="s">
        <v>30</v>
      </c>
      <c r="O293" t="s">
        <v>67</v>
      </c>
      <c r="P293" t="s">
        <v>24</v>
      </c>
    </row>
    <row r="294" spans="1:16" x14ac:dyDescent="0.3">
      <c r="A294" t="s">
        <v>366</v>
      </c>
      <c r="B294" s="1">
        <v>45255</v>
      </c>
      <c r="C294" t="s">
        <v>46</v>
      </c>
      <c r="D294" t="s">
        <v>55</v>
      </c>
      <c r="E294" t="s">
        <v>73</v>
      </c>
      <c r="F294" t="s">
        <v>65</v>
      </c>
      <c r="G294" t="s">
        <v>124</v>
      </c>
      <c r="H294">
        <v>8</v>
      </c>
      <c r="I294">
        <v>18000</v>
      </c>
      <c r="J294">
        <v>0</v>
      </c>
      <c r="K294">
        <v>144000</v>
      </c>
      <c r="L294">
        <v>64800</v>
      </c>
      <c r="M294">
        <v>79200</v>
      </c>
      <c r="N294" t="s">
        <v>22</v>
      </c>
      <c r="O294" t="s">
        <v>50</v>
      </c>
      <c r="P294" t="s">
        <v>24</v>
      </c>
    </row>
    <row r="295" spans="1:16" x14ac:dyDescent="0.3">
      <c r="A295" t="s">
        <v>367</v>
      </c>
      <c r="B295" s="1">
        <v>44627</v>
      </c>
      <c r="C295" t="s">
        <v>17</v>
      </c>
      <c r="D295" t="s">
        <v>18</v>
      </c>
      <c r="E295" t="s">
        <v>52</v>
      </c>
      <c r="F295" t="s">
        <v>20</v>
      </c>
      <c r="G295" t="s">
        <v>61</v>
      </c>
      <c r="H295">
        <v>26</v>
      </c>
      <c r="I295">
        <v>800</v>
      </c>
      <c r="J295">
        <v>20</v>
      </c>
      <c r="K295">
        <v>16640</v>
      </c>
      <c r="L295">
        <v>6656</v>
      </c>
      <c r="M295">
        <v>9984</v>
      </c>
      <c r="N295" t="s">
        <v>22</v>
      </c>
      <c r="O295" t="s">
        <v>50</v>
      </c>
      <c r="P295" t="s">
        <v>24</v>
      </c>
    </row>
    <row r="296" spans="1:16" x14ac:dyDescent="0.3">
      <c r="A296" t="s">
        <v>368</v>
      </c>
      <c r="B296" s="1">
        <v>45073</v>
      </c>
      <c r="C296" t="s">
        <v>46</v>
      </c>
      <c r="D296" t="s">
        <v>47</v>
      </c>
      <c r="E296" t="s">
        <v>32</v>
      </c>
      <c r="F296" t="s">
        <v>65</v>
      </c>
      <c r="G296" t="s">
        <v>79</v>
      </c>
      <c r="H296">
        <v>48</v>
      </c>
      <c r="I296">
        <v>900</v>
      </c>
      <c r="J296">
        <v>20</v>
      </c>
      <c r="K296">
        <v>34560</v>
      </c>
      <c r="L296">
        <v>15552</v>
      </c>
      <c r="M296">
        <v>19008</v>
      </c>
      <c r="N296" t="s">
        <v>30</v>
      </c>
      <c r="O296" t="s">
        <v>23</v>
      </c>
      <c r="P296" t="s">
        <v>24</v>
      </c>
    </row>
    <row r="297" spans="1:16" x14ac:dyDescent="0.3">
      <c r="A297" t="s">
        <v>369</v>
      </c>
      <c r="B297" s="1">
        <v>44768</v>
      </c>
      <c r="C297" t="s">
        <v>46</v>
      </c>
      <c r="D297" t="s">
        <v>47</v>
      </c>
      <c r="E297" t="s">
        <v>56</v>
      </c>
      <c r="F297" t="s">
        <v>28</v>
      </c>
      <c r="G297" t="s">
        <v>87</v>
      </c>
      <c r="H297">
        <v>9</v>
      </c>
      <c r="I297">
        <v>45000</v>
      </c>
      <c r="J297">
        <v>5</v>
      </c>
      <c r="K297">
        <v>384750</v>
      </c>
      <c r="L297">
        <v>211612.5</v>
      </c>
      <c r="M297">
        <v>173137.5</v>
      </c>
      <c r="N297" t="s">
        <v>49</v>
      </c>
      <c r="O297" t="s">
        <v>35</v>
      </c>
      <c r="P297" t="s">
        <v>24</v>
      </c>
    </row>
    <row r="298" spans="1:16" x14ac:dyDescent="0.3">
      <c r="A298" t="s">
        <v>370</v>
      </c>
      <c r="B298" s="1">
        <v>45073</v>
      </c>
      <c r="C298" t="s">
        <v>26</v>
      </c>
      <c r="D298" t="s">
        <v>27</v>
      </c>
      <c r="E298" t="s">
        <v>52</v>
      </c>
      <c r="F298" t="s">
        <v>20</v>
      </c>
      <c r="G298" t="s">
        <v>115</v>
      </c>
      <c r="H298">
        <v>9</v>
      </c>
      <c r="I298">
        <v>2500</v>
      </c>
      <c r="J298">
        <v>0</v>
      </c>
      <c r="K298">
        <v>22500</v>
      </c>
      <c r="L298">
        <v>9000</v>
      </c>
      <c r="M298">
        <v>13500</v>
      </c>
      <c r="N298" t="s">
        <v>30</v>
      </c>
      <c r="O298" t="s">
        <v>35</v>
      </c>
      <c r="P298" t="s">
        <v>24</v>
      </c>
    </row>
    <row r="299" spans="1:16" x14ac:dyDescent="0.3">
      <c r="A299" t="s">
        <v>371</v>
      </c>
      <c r="B299" s="1">
        <v>45445</v>
      </c>
      <c r="C299" t="s">
        <v>46</v>
      </c>
      <c r="D299" t="s">
        <v>55</v>
      </c>
      <c r="E299" t="s">
        <v>32</v>
      </c>
      <c r="F299" t="s">
        <v>65</v>
      </c>
      <c r="G299" t="s">
        <v>117</v>
      </c>
      <c r="H299">
        <v>25</v>
      </c>
      <c r="I299">
        <v>1200</v>
      </c>
      <c r="J299">
        <v>15</v>
      </c>
      <c r="K299">
        <v>25500</v>
      </c>
      <c r="L299">
        <v>11475</v>
      </c>
      <c r="M299">
        <v>14025</v>
      </c>
      <c r="N299" t="s">
        <v>49</v>
      </c>
      <c r="O299" t="s">
        <v>44</v>
      </c>
      <c r="P299" t="s">
        <v>24</v>
      </c>
    </row>
    <row r="300" spans="1:16" x14ac:dyDescent="0.3">
      <c r="A300" t="s">
        <v>372</v>
      </c>
      <c r="B300" s="1">
        <v>44904</v>
      </c>
      <c r="C300" t="s">
        <v>17</v>
      </c>
      <c r="D300" t="s">
        <v>37</v>
      </c>
      <c r="E300" t="s">
        <v>78</v>
      </c>
      <c r="F300" t="s">
        <v>28</v>
      </c>
      <c r="G300" t="s">
        <v>29</v>
      </c>
      <c r="H300">
        <v>40</v>
      </c>
      <c r="I300">
        <v>15000</v>
      </c>
      <c r="J300">
        <v>20</v>
      </c>
      <c r="K300">
        <v>480000</v>
      </c>
      <c r="L300">
        <v>264000</v>
      </c>
      <c r="M300">
        <v>216000</v>
      </c>
      <c r="N300" t="s">
        <v>22</v>
      </c>
      <c r="O300" t="s">
        <v>50</v>
      </c>
      <c r="P300" t="s">
        <v>24</v>
      </c>
    </row>
    <row r="301" spans="1:16" x14ac:dyDescent="0.3">
      <c r="A301" t="s">
        <v>373</v>
      </c>
      <c r="B301" s="1">
        <v>45518</v>
      </c>
      <c r="C301" t="s">
        <v>58</v>
      </c>
      <c r="D301" t="s">
        <v>84</v>
      </c>
      <c r="E301" t="s">
        <v>52</v>
      </c>
      <c r="F301" t="s">
        <v>33</v>
      </c>
      <c r="G301" t="s">
        <v>48</v>
      </c>
      <c r="H301">
        <v>9</v>
      </c>
      <c r="I301">
        <v>1500</v>
      </c>
      <c r="J301">
        <v>15</v>
      </c>
      <c r="K301">
        <v>11475</v>
      </c>
      <c r="L301">
        <v>5737.5</v>
      </c>
      <c r="M301">
        <v>5737.5</v>
      </c>
      <c r="N301" t="s">
        <v>22</v>
      </c>
      <c r="O301" t="s">
        <v>67</v>
      </c>
      <c r="P301" t="s">
        <v>24</v>
      </c>
    </row>
    <row r="302" spans="1:16" x14ac:dyDescent="0.3">
      <c r="A302" t="s">
        <v>374</v>
      </c>
      <c r="B302" s="1">
        <v>45037</v>
      </c>
      <c r="C302" t="s">
        <v>26</v>
      </c>
      <c r="D302" t="s">
        <v>69</v>
      </c>
      <c r="E302" t="s">
        <v>70</v>
      </c>
      <c r="F302" t="s">
        <v>65</v>
      </c>
      <c r="G302" t="s">
        <v>79</v>
      </c>
      <c r="H302">
        <v>32</v>
      </c>
      <c r="I302">
        <v>900</v>
      </c>
      <c r="J302">
        <v>10</v>
      </c>
      <c r="K302">
        <v>25920</v>
      </c>
      <c r="L302">
        <v>11664</v>
      </c>
      <c r="M302">
        <v>14256</v>
      </c>
      <c r="N302" t="s">
        <v>22</v>
      </c>
      <c r="O302" t="s">
        <v>50</v>
      </c>
      <c r="P302" t="s">
        <v>40</v>
      </c>
    </row>
    <row r="303" spans="1:16" x14ac:dyDescent="0.3">
      <c r="A303" t="s">
        <v>375</v>
      </c>
      <c r="B303" s="1">
        <v>45300</v>
      </c>
      <c r="C303" t="s">
        <v>46</v>
      </c>
      <c r="D303" t="s">
        <v>47</v>
      </c>
      <c r="E303" t="s">
        <v>70</v>
      </c>
      <c r="F303" t="s">
        <v>20</v>
      </c>
      <c r="G303" t="s">
        <v>21</v>
      </c>
      <c r="H303">
        <v>50</v>
      </c>
      <c r="I303">
        <v>3500</v>
      </c>
      <c r="J303">
        <v>10</v>
      </c>
      <c r="K303">
        <v>157500</v>
      </c>
      <c r="L303">
        <v>63000</v>
      </c>
      <c r="M303">
        <v>94500</v>
      </c>
      <c r="N303" t="s">
        <v>49</v>
      </c>
      <c r="O303" t="s">
        <v>67</v>
      </c>
      <c r="P303" t="s">
        <v>24</v>
      </c>
    </row>
    <row r="304" spans="1:16" x14ac:dyDescent="0.3">
      <c r="A304" t="s">
        <v>376</v>
      </c>
      <c r="B304" s="1">
        <v>45255</v>
      </c>
      <c r="C304" t="s">
        <v>46</v>
      </c>
      <c r="D304" t="s">
        <v>47</v>
      </c>
      <c r="E304" t="s">
        <v>52</v>
      </c>
      <c r="F304" t="s">
        <v>20</v>
      </c>
      <c r="G304" t="s">
        <v>74</v>
      </c>
      <c r="H304">
        <v>18</v>
      </c>
      <c r="I304">
        <v>4200</v>
      </c>
      <c r="J304">
        <v>20</v>
      </c>
      <c r="K304">
        <v>60480</v>
      </c>
      <c r="L304">
        <v>24192</v>
      </c>
      <c r="M304">
        <v>36288</v>
      </c>
      <c r="N304" t="s">
        <v>30</v>
      </c>
      <c r="O304" t="s">
        <v>67</v>
      </c>
      <c r="P304" t="s">
        <v>24</v>
      </c>
    </row>
    <row r="305" spans="1:16" x14ac:dyDescent="0.3">
      <c r="A305" t="s">
        <v>377</v>
      </c>
      <c r="B305" s="1">
        <v>45303</v>
      </c>
      <c r="C305" t="s">
        <v>46</v>
      </c>
      <c r="D305" t="s">
        <v>47</v>
      </c>
      <c r="E305" t="s">
        <v>19</v>
      </c>
      <c r="F305" t="s">
        <v>33</v>
      </c>
      <c r="G305" t="s">
        <v>34</v>
      </c>
      <c r="H305">
        <v>38</v>
      </c>
      <c r="I305">
        <v>25000</v>
      </c>
      <c r="J305">
        <v>0</v>
      </c>
      <c r="K305">
        <v>950000</v>
      </c>
      <c r="L305">
        <v>475000</v>
      </c>
      <c r="M305">
        <v>475000</v>
      </c>
      <c r="N305" t="s">
        <v>22</v>
      </c>
      <c r="O305" t="s">
        <v>67</v>
      </c>
      <c r="P305" t="s">
        <v>24</v>
      </c>
    </row>
    <row r="306" spans="1:16" x14ac:dyDescent="0.3">
      <c r="A306" t="s">
        <v>378</v>
      </c>
      <c r="B306" s="1">
        <v>44853</v>
      </c>
      <c r="C306" t="s">
        <v>46</v>
      </c>
      <c r="D306" t="s">
        <v>55</v>
      </c>
      <c r="E306" t="s">
        <v>111</v>
      </c>
      <c r="F306" t="s">
        <v>33</v>
      </c>
      <c r="G306" t="s">
        <v>76</v>
      </c>
      <c r="H306">
        <v>32</v>
      </c>
      <c r="I306">
        <v>8500</v>
      </c>
      <c r="J306">
        <v>0</v>
      </c>
      <c r="K306">
        <v>272000</v>
      </c>
      <c r="L306">
        <v>136000</v>
      </c>
      <c r="M306">
        <v>136000</v>
      </c>
      <c r="N306" t="s">
        <v>30</v>
      </c>
      <c r="O306" t="s">
        <v>44</v>
      </c>
      <c r="P306" t="s">
        <v>24</v>
      </c>
    </row>
    <row r="307" spans="1:16" x14ac:dyDescent="0.3">
      <c r="A307" t="s">
        <v>379</v>
      </c>
      <c r="B307" s="1">
        <v>44986</v>
      </c>
      <c r="C307" t="s">
        <v>58</v>
      </c>
      <c r="D307" t="s">
        <v>84</v>
      </c>
      <c r="E307" t="s">
        <v>70</v>
      </c>
      <c r="F307" t="s">
        <v>20</v>
      </c>
      <c r="G307" t="s">
        <v>74</v>
      </c>
      <c r="H307">
        <v>22</v>
      </c>
      <c r="I307">
        <v>4200</v>
      </c>
      <c r="J307">
        <v>5</v>
      </c>
      <c r="K307">
        <v>87780</v>
      </c>
      <c r="L307">
        <v>35112</v>
      </c>
      <c r="M307">
        <v>52668</v>
      </c>
      <c r="N307" t="s">
        <v>30</v>
      </c>
      <c r="O307" t="s">
        <v>35</v>
      </c>
      <c r="P307" t="s">
        <v>24</v>
      </c>
    </row>
    <row r="308" spans="1:16" x14ac:dyDescent="0.3">
      <c r="A308" t="s">
        <v>380</v>
      </c>
      <c r="B308" s="1">
        <v>44853</v>
      </c>
      <c r="C308" t="s">
        <v>46</v>
      </c>
      <c r="D308" t="s">
        <v>47</v>
      </c>
      <c r="E308" t="s">
        <v>111</v>
      </c>
      <c r="F308" t="s">
        <v>33</v>
      </c>
      <c r="G308" t="s">
        <v>39</v>
      </c>
      <c r="H308">
        <v>24</v>
      </c>
      <c r="I308">
        <v>5000</v>
      </c>
      <c r="J308">
        <v>15</v>
      </c>
      <c r="K308">
        <v>102000</v>
      </c>
      <c r="L308">
        <v>51000</v>
      </c>
      <c r="M308">
        <v>51000</v>
      </c>
      <c r="N308" t="s">
        <v>30</v>
      </c>
      <c r="O308" t="s">
        <v>50</v>
      </c>
      <c r="P308" t="s">
        <v>40</v>
      </c>
    </row>
    <row r="309" spans="1:16" x14ac:dyDescent="0.3">
      <c r="A309" t="s">
        <v>381</v>
      </c>
      <c r="B309" s="1">
        <v>45149</v>
      </c>
      <c r="C309" t="s">
        <v>46</v>
      </c>
      <c r="D309" t="s">
        <v>47</v>
      </c>
      <c r="E309" t="s">
        <v>32</v>
      </c>
      <c r="F309" t="s">
        <v>65</v>
      </c>
      <c r="G309" t="s">
        <v>124</v>
      </c>
      <c r="H309">
        <v>12</v>
      </c>
      <c r="I309">
        <v>18000</v>
      </c>
      <c r="J309">
        <v>20</v>
      </c>
      <c r="K309">
        <v>172800</v>
      </c>
      <c r="L309">
        <v>77760</v>
      </c>
      <c r="M309">
        <v>95040</v>
      </c>
      <c r="N309" t="s">
        <v>49</v>
      </c>
      <c r="O309" t="s">
        <v>44</v>
      </c>
      <c r="P309" t="s">
        <v>40</v>
      </c>
    </row>
    <row r="310" spans="1:16" x14ac:dyDescent="0.3">
      <c r="A310" t="s">
        <v>382</v>
      </c>
      <c r="B310" s="1">
        <v>44908</v>
      </c>
      <c r="C310" t="s">
        <v>17</v>
      </c>
      <c r="D310" t="s">
        <v>42</v>
      </c>
      <c r="E310" t="s">
        <v>73</v>
      </c>
      <c r="F310" t="s">
        <v>20</v>
      </c>
      <c r="G310" t="s">
        <v>74</v>
      </c>
      <c r="H310">
        <v>47</v>
      </c>
      <c r="I310">
        <v>4200</v>
      </c>
      <c r="J310">
        <v>0</v>
      </c>
      <c r="K310">
        <v>197400</v>
      </c>
      <c r="L310">
        <v>78960</v>
      </c>
      <c r="M310">
        <v>118440</v>
      </c>
      <c r="N310" t="s">
        <v>49</v>
      </c>
      <c r="O310" t="s">
        <v>67</v>
      </c>
      <c r="P310" t="s">
        <v>40</v>
      </c>
    </row>
    <row r="311" spans="1:16" x14ac:dyDescent="0.3">
      <c r="A311" t="s">
        <v>383</v>
      </c>
      <c r="B311" s="1">
        <v>44626</v>
      </c>
      <c r="C311" t="s">
        <v>17</v>
      </c>
      <c r="D311" t="s">
        <v>42</v>
      </c>
      <c r="E311" t="s">
        <v>19</v>
      </c>
      <c r="F311" t="s">
        <v>28</v>
      </c>
      <c r="G311" t="s">
        <v>85</v>
      </c>
      <c r="H311">
        <v>10</v>
      </c>
      <c r="I311">
        <v>8000</v>
      </c>
      <c r="J311">
        <v>10</v>
      </c>
      <c r="K311">
        <v>72000</v>
      </c>
      <c r="L311">
        <v>39600</v>
      </c>
      <c r="M311">
        <v>32400</v>
      </c>
      <c r="N311" t="s">
        <v>30</v>
      </c>
      <c r="O311" t="s">
        <v>50</v>
      </c>
      <c r="P311" t="s">
        <v>24</v>
      </c>
    </row>
    <row r="312" spans="1:16" x14ac:dyDescent="0.3">
      <c r="A312" t="s">
        <v>384</v>
      </c>
      <c r="B312" s="1">
        <v>45175</v>
      </c>
      <c r="C312" t="s">
        <v>26</v>
      </c>
      <c r="D312" t="s">
        <v>69</v>
      </c>
      <c r="E312" t="s">
        <v>60</v>
      </c>
      <c r="F312" t="s">
        <v>28</v>
      </c>
      <c r="G312" t="s">
        <v>71</v>
      </c>
      <c r="H312">
        <v>14</v>
      </c>
      <c r="I312">
        <v>35000</v>
      </c>
      <c r="J312">
        <v>5</v>
      </c>
      <c r="K312">
        <v>465500</v>
      </c>
      <c r="L312">
        <v>256025</v>
      </c>
      <c r="M312">
        <v>209475</v>
      </c>
      <c r="N312" t="s">
        <v>49</v>
      </c>
      <c r="O312" t="s">
        <v>50</v>
      </c>
      <c r="P312" t="s">
        <v>24</v>
      </c>
    </row>
    <row r="313" spans="1:16" x14ac:dyDescent="0.3">
      <c r="A313" t="s">
        <v>385</v>
      </c>
      <c r="B313" s="1">
        <v>44766</v>
      </c>
      <c r="C313" t="s">
        <v>26</v>
      </c>
      <c r="D313" t="s">
        <v>27</v>
      </c>
      <c r="E313" t="s">
        <v>32</v>
      </c>
      <c r="F313" t="s">
        <v>65</v>
      </c>
      <c r="G313" t="s">
        <v>66</v>
      </c>
      <c r="H313">
        <v>11</v>
      </c>
      <c r="I313">
        <v>5500</v>
      </c>
      <c r="J313">
        <v>15</v>
      </c>
      <c r="K313">
        <v>51425</v>
      </c>
      <c r="L313">
        <v>23141.25</v>
      </c>
      <c r="M313">
        <v>28283.75</v>
      </c>
      <c r="N313" t="s">
        <v>49</v>
      </c>
      <c r="O313" t="s">
        <v>50</v>
      </c>
      <c r="P313" t="s">
        <v>24</v>
      </c>
    </row>
    <row r="314" spans="1:16" x14ac:dyDescent="0.3">
      <c r="A314" t="s">
        <v>386</v>
      </c>
      <c r="B314" s="1">
        <v>45609</v>
      </c>
      <c r="C314" t="s">
        <v>26</v>
      </c>
      <c r="D314" t="s">
        <v>69</v>
      </c>
      <c r="E314" t="s">
        <v>38</v>
      </c>
      <c r="F314" t="s">
        <v>20</v>
      </c>
      <c r="G314" t="s">
        <v>74</v>
      </c>
      <c r="H314">
        <v>29</v>
      </c>
      <c r="I314">
        <v>4200</v>
      </c>
      <c r="J314">
        <v>0</v>
      </c>
      <c r="K314">
        <v>121800</v>
      </c>
      <c r="L314">
        <v>48720</v>
      </c>
      <c r="M314">
        <v>73080</v>
      </c>
      <c r="N314" t="s">
        <v>49</v>
      </c>
      <c r="O314" t="s">
        <v>35</v>
      </c>
      <c r="P314" t="s">
        <v>24</v>
      </c>
    </row>
    <row r="315" spans="1:16" x14ac:dyDescent="0.3">
      <c r="A315" t="s">
        <v>387</v>
      </c>
      <c r="B315" s="1">
        <v>45178</v>
      </c>
      <c r="C315" t="s">
        <v>26</v>
      </c>
      <c r="D315" t="s">
        <v>27</v>
      </c>
      <c r="E315" t="s">
        <v>70</v>
      </c>
      <c r="F315" t="s">
        <v>20</v>
      </c>
      <c r="G315" t="s">
        <v>115</v>
      </c>
      <c r="H315">
        <v>11</v>
      </c>
      <c r="I315">
        <v>2500</v>
      </c>
      <c r="J315">
        <v>0</v>
      </c>
      <c r="K315">
        <v>27500</v>
      </c>
      <c r="L315">
        <v>11000</v>
      </c>
      <c r="M315">
        <v>16500</v>
      </c>
      <c r="N315" t="s">
        <v>30</v>
      </c>
      <c r="O315" t="s">
        <v>50</v>
      </c>
      <c r="P315" t="s">
        <v>40</v>
      </c>
    </row>
    <row r="316" spans="1:16" x14ac:dyDescent="0.3">
      <c r="A316" t="s">
        <v>388</v>
      </c>
      <c r="B316" s="1">
        <v>45496</v>
      </c>
      <c r="C316" t="s">
        <v>26</v>
      </c>
      <c r="D316" t="s">
        <v>69</v>
      </c>
      <c r="E316" t="s">
        <v>78</v>
      </c>
      <c r="F316" t="s">
        <v>65</v>
      </c>
      <c r="G316" t="s">
        <v>104</v>
      </c>
      <c r="H316">
        <v>4</v>
      </c>
      <c r="I316">
        <v>3000</v>
      </c>
      <c r="J316">
        <v>0</v>
      </c>
      <c r="K316">
        <v>12000</v>
      </c>
      <c r="L316">
        <v>5400</v>
      </c>
      <c r="M316">
        <v>6600</v>
      </c>
      <c r="N316" t="s">
        <v>30</v>
      </c>
      <c r="O316" t="s">
        <v>44</v>
      </c>
      <c r="P316" t="s">
        <v>24</v>
      </c>
    </row>
    <row r="317" spans="1:16" x14ac:dyDescent="0.3">
      <c r="A317" t="s">
        <v>389</v>
      </c>
      <c r="B317" s="1">
        <v>45374</v>
      </c>
      <c r="C317" t="s">
        <v>17</v>
      </c>
      <c r="D317" t="s">
        <v>42</v>
      </c>
      <c r="E317" t="s">
        <v>73</v>
      </c>
      <c r="F317" t="s">
        <v>33</v>
      </c>
      <c r="G317" t="s">
        <v>76</v>
      </c>
      <c r="H317">
        <v>7</v>
      </c>
      <c r="I317">
        <v>8500</v>
      </c>
      <c r="J317">
        <v>0</v>
      </c>
      <c r="K317">
        <v>59500</v>
      </c>
      <c r="L317">
        <v>29750</v>
      </c>
      <c r="M317">
        <v>29750</v>
      </c>
      <c r="N317" t="s">
        <v>22</v>
      </c>
      <c r="O317" t="s">
        <v>67</v>
      </c>
      <c r="P317" t="s">
        <v>24</v>
      </c>
    </row>
    <row r="318" spans="1:16" x14ac:dyDescent="0.3">
      <c r="A318" t="s">
        <v>390</v>
      </c>
      <c r="B318" s="1">
        <v>45509</v>
      </c>
      <c r="C318" t="s">
        <v>26</v>
      </c>
      <c r="D318" t="s">
        <v>69</v>
      </c>
      <c r="E318" t="s">
        <v>56</v>
      </c>
      <c r="F318" t="s">
        <v>65</v>
      </c>
      <c r="G318" t="s">
        <v>117</v>
      </c>
      <c r="H318">
        <v>19</v>
      </c>
      <c r="I318">
        <v>1200</v>
      </c>
      <c r="J318">
        <v>20</v>
      </c>
      <c r="K318">
        <v>18240</v>
      </c>
      <c r="L318">
        <v>8208</v>
      </c>
      <c r="M318">
        <v>10032</v>
      </c>
      <c r="N318" t="s">
        <v>30</v>
      </c>
      <c r="O318" t="s">
        <v>35</v>
      </c>
      <c r="P318" t="s">
        <v>24</v>
      </c>
    </row>
    <row r="319" spans="1:16" x14ac:dyDescent="0.3">
      <c r="A319" t="s">
        <v>391</v>
      </c>
      <c r="B319" s="1">
        <v>44599</v>
      </c>
      <c r="C319" t="s">
        <v>46</v>
      </c>
      <c r="D319" t="s">
        <v>55</v>
      </c>
      <c r="E319" t="s">
        <v>52</v>
      </c>
      <c r="F319" t="s">
        <v>65</v>
      </c>
      <c r="G319" t="s">
        <v>117</v>
      </c>
      <c r="H319">
        <v>20</v>
      </c>
      <c r="I319">
        <v>1200</v>
      </c>
      <c r="J319">
        <v>15</v>
      </c>
      <c r="K319">
        <v>20400</v>
      </c>
      <c r="L319">
        <v>9180</v>
      </c>
      <c r="M319">
        <v>11220</v>
      </c>
      <c r="N319" t="s">
        <v>49</v>
      </c>
      <c r="O319" t="s">
        <v>50</v>
      </c>
      <c r="P319" t="s">
        <v>24</v>
      </c>
    </row>
    <row r="320" spans="1:16" x14ac:dyDescent="0.3">
      <c r="A320" t="s">
        <v>392</v>
      </c>
      <c r="B320" s="1">
        <v>44733</v>
      </c>
      <c r="C320" t="s">
        <v>58</v>
      </c>
      <c r="D320" t="s">
        <v>84</v>
      </c>
      <c r="E320" t="s">
        <v>70</v>
      </c>
      <c r="F320" t="s">
        <v>65</v>
      </c>
      <c r="G320" t="s">
        <v>124</v>
      </c>
      <c r="H320">
        <v>12</v>
      </c>
      <c r="I320">
        <v>18000</v>
      </c>
      <c r="J320">
        <v>15</v>
      </c>
      <c r="K320">
        <v>183600</v>
      </c>
      <c r="L320">
        <v>82620</v>
      </c>
      <c r="M320">
        <v>100980</v>
      </c>
      <c r="N320" t="s">
        <v>49</v>
      </c>
      <c r="O320" t="s">
        <v>23</v>
      </c>
      <c r="P320" t="s">
        <v>24</v>
      </c>
    </row>
    <row r="321" spans="1:16" x14ac:dyDescent="0.3">
      <c r="A321" t="s">
        <v>393</v>
      </c>
      <c r="B321" s="1">
        <v>45452</v>
      </c>
      <c r="C321" t="s">
        <v>46</v>
      </c>
      <c r="D321" t="s">
        <v>55</v>
      </c>
      <c r="E321" t="s">
        <v>38</v>
      </c>
      <c r="F321" t="s">
        <v>28</v>
      </c>
      <c r="G321" t="s">
        <v>87</v>
      </c>
      <c r="H321">
        <v>49</v>
      </c>
      <c r="I321">
        <v>45000</v>
      </c>
      <c r="J321">
        <v>0</v>
      </c>
      <c r="K321">
        <v>2205000</v>
      </c>
      <c r="L321">
        <v>1212750</v>
      </c>
      <c r="M321">
        <v>992250</v>
      </c>
      <c r="N321" t="s">
        <v>22</v>
      </c>
      <c r="O321" t="s">
        <v>50</v>
      </c>
      <c r="P321" t="s">
        <v>24</v>
      </c>
    </row>
    <row r="322" spans="1:16" x14ac:dyDescent="0.3">
      <c r="A322" t="s">
        <v>394</v>
      </c>
      <c r="B322" s="1">
        <v>45610</v>
      </c>
      <c r="C322" t="s">
        <v>46</v>
      </c>
      <c r="D322" t="s">
        <v>47</v>
      </c>
      <c r="E322" t="s">
        <v>32</v>
      </c>
      <c r="F322" t="s">
        <v>65</v>
      </c>
      <c r="G322" t="s">
        <v>79</v>
      </c>
      <c r="H322">
        <v>44</v>
      </c>
      <c r="I322">
        <v>900</v>
      </c>
      <c r="J322">
        <v>15</v>
      </c>
      <c r="K322">
        <v>33660</v>
      </c>
      <c r="L322">
        <v>15147</v>
      </c>
      <c r="M322">
        <v>18513</v>
      </c>
      <c r="N322" t="s">
        <v>30</v>
      </c>
      <c r="O322" t="s">
        <v>23</v>
      </c>
      <c r="P322" t="s">
        <v>40</v>
      </c>
    </row>
    <row r="323" spans="1:16" x14ac:dyDescent="0.3">
      <c r="A323" t="s">
        <v>395</v>
      </c>
      <c r="B323" s="1">
        <v>45141</v>
      </c>
      <c r="C323" t="s">
        <v>58</v>
      </c>
      <c r="D323" t="s">
        <v>64</v>
      </c>
      <c r="E323" t="s">
        <v>56</v>
      </c>
      <c r="F323" t="s">
        <v>20</v>
      </c>
      <c r="G323" t="s">
        <v>21</v>
      </c>
      <c r="H323">
        <v>49</v>
      </c>
      <c r="I323">
        <v>3500</v>
      </c>
      <c r="J323">
        <v>15</v>
      </c>
      <c r="K323">
        <v>145775</v>
      </c>
      <c r="L323">
        <v>58310</v>
      </c>
      <c r="M323">
        <v>87465</v>
      </c>
      <c r="N323" t="s">
        <v>30</v>
      </c>
      <c r="O323" t="s">
        <v>44</v>
      </c>
      <c r="P323" t="s">
        <v>24</v>
      </c>
    </row>
    <row r="324" spans="1:16" x14ac:dyDescent="0.3">
      <c r="A324" t="s">
        <v>396</v>
      </c>
      <c r="B324" s="1">
        <v>44931</v>
      </c>
      <c r="C324" t="s">
        <v>26</v>
      </c>
      <c r="D324" t="s">
        <v>69</v>
      </c>
      <c r="E324" t="s">
        <v>52</v>
      </c>
      <c r="F324" t="s">
        <v>65</v>
      </c>
      <c r="G324" t="s">
        <v>104</v>
      </c>
      <c r="H324">
        <v>41</v>
      </c>
      <c r="I324">
        <v>3000</v>
      </c>
      <c r="J324">
        <v>5</v>
      </c>
      <c r="K324">
        <v>116850</v>
      </c>
      <c r="L324">
        <v>52582.5</v>
      </c>
      <c r="M324">
        <v>64267.5</v>
      </c>
      <c r="N324" t="s">
        <v>49</v>
      </c>
      <c r="O324" t="s">
        <v>50</v>
      </c>
      <c r="P324" t="s">
        <v>40</v>
      </c>
    </row>
    <row r="325" spans="1:16" x14ac:dyDescent="0.3">
      <c r="A325" t="s">
        <v>397</v>
      </c>
      <c r="B325" s="1">
        <v>44684</v>
      </c>
      <c r="C325" t="s">
        <v>58</v>
      </c>
      <c r="D325" t="s">
        <v>64</v>
      </c>
      <c r="E325" t="s">
        <v>32</v>
      </c>
      <c r="F325" t="s">
        <v>33</v>
      </c>
      <c r="G325" t="s">
        <v>34</v>
      </c>
      <c r="H325">
        <v>34</v>
      </c>
      <c r="I325">
        <v>25000</v>
      </c>
      <c r="J325">
        <v>15</v>
      </c>
      <c r="K325">
        <v>722500</v>
      </c>
      <c r="L325">
        <v>361250</v>
      </c>
      <c r="M325">
        <v>361250</v>
      </c>
      <c r="N325" t="s">
        <v>22</v>
      </c>
      <c r="O325" t="s">
        <v>67</v>
      </c>
      <c r="P325" t="s">
        <v>24</v>
      </c>
    </row>
    <row r="326" spans="1:16" x14ac:dyDescent="0.3">
      <c r="A326" t="s">
        <v>398</v>
      </c>
      <c r="B326" s="1">
        <v>45591</v>
      </c>
      <c r="C326" t="s">
        <v>58</v>
      </c>
      <c r="D326" t="s">
        <v>84</v>
      </c>
      <c r="E326" t="s">
        <v>32</v>
      </c>
      <c r="F326" t="s">
        <v>20</v>
      </c>
      <c r="G326" t="s">
        <v>74</v>
      </c>
      <c r="H326">
        <v>37</v>
      </c>
      <c r="I326">
        <v>4200</v>
      </c>
      <c r="J326">
        <v>20</v>
      </c>
      <c r="K326">
        <v>124320</v>
      </c>
      <c r="L326">
        <v>49728</v>
      </c>
      <c r="M326">
        <v>74592</v>
      </c>
      <c r="N326" t="s">
        <v>30</v>
      </c>
      <c r="O326" t="s">
        <v>35</v>
      </c>
      <c r="P326" t="s">
        <v>40</v>
      </c>
    </row>
    <row r="327" spans="1:16" x14ac:dyDescent="0.3">
      <c r="A327" t="s">
        <v>399</v>
      </c>
      <c r="B327" s="1">
        <v>44768</v>
      </c>
      <c r="C327" t="s">
        <v>17</v>
      </c>
      <c r="D327" t="s">
        <v>42</v>
      </c>
      <c r="E327" t="s">
        <v>70</v>
      </c>
      <c r="F327" t="s">
        <v>65</v>
      </c>
      <c r="G327" t="s">
        <v>124</v>
      </c>
      <c r="H327">
        <v>25</v>
      </c>
      <c r="I327">
        <v>18000</v>
      </c>
      <c r="J327">
        <v>15</v>
      </c>
      <c r="K327">
        <v>382500</v>
      </c>
      <c r="L327">
        <v>172125</v>
      </c>
      <c r="M327">
        <v>210375</v>
      </c>
      <c r="N327" t="s">
        <v>22</v>
      </c>
      <c r="O327" t="s">
        <v>23</v>
      </c>
      <c r="P327" t="s">
        <v>40</v>
      </c>
    </row>
    <row r="328" spans="1:16" x14ac:dyDescent="0.3">
      <c r="A328" t="s">
        <v>400</v>
      </c>
      <c r="B328" s="1">
        <v>44626</v>
      </c>
      <c r="C328" t="s">
        <v>17</v>
      </c>
      <c r="D328" t="s">
        <v>37</v>
      </c>
      <c r="E328" t="s">
        <v>78</v>
      </c>
      <c r="F328" t="s">
        <v>65</v>
      </c>
      <c r="G328" t="s">
        <v>117</v>
      </c>
      <c r="H328">
        <v>26</v>
      </c>
      <c r="I328">
        <v>1200</v>
      </c>
      <c r="J328">
        <v>10</v>
      </c>
      <c r="K328">
        <v>28080</v>
      </c>
      <c r="L328">
        <v>12636</v>
      </c>
      <c r="M328">
        <v>15444</v>
      </c>
      <c r="N328" t="s">
        <v>30</v>
      </c>
      <c r="O328" t="s">
        <v>23</v>
      </c>
      <c r="P328" t="s">
        <v>24</v>
      </c>
    </row>
    <row r="329" spans="1:16" x14ac:dyDescent="0.3">
      <c r="A329" t="s">
        <v>401</v>
      </c>
      <c r="B329" s="1">
        <v>45089</v>
      </c>
      <c r="C329" t="s">
        <v>26</v>
      </c>
      <c r="D329" t="s">
        <v>69</v>
      </c>
      <c r="E329" t="s">
        <v>73</v>
      </c>
      <c r="F329" t="s">
        <v>33</v>
      </c>
      <c r="G329" t="s">
        <v>34</v>
      </c>
      <c r="H329">
        <v>32</v>
      </c>
      <c r="I329">
        <v>25000</v>
      </c>
      <c r="J329">
        <v>0</v>
      </c>
      <c r="K329">
        <v>800000</v>
      </c>
      <c r="L329">
        <v>400000</v>
      </c>
      <c r="M329">
        <v>400000</v>
      </c>
      <c r="N329" t="s">
        <v>30</v>
      </c>
      <c r="O329" t="s">
        <v>50</v>
      </c>
      <c r="P329" t="s">
        <v>24</v>
      </c>
    </row>
    <row r="330" spans="1:16" x14ac:dyDescent="0.3">
      <c r="A330" t="s">
        <v>402</v>
      </c>
      <c r="B330" s="1">
        <v>45437</v>
      </c>
      <c r="C330" t="s">
        <v>17</v>
      </c>
      <c r="D330" t="s">
        <v>37</v>
      </c>
      <c r="E330" t="s">
        <v>32</v>
      </c>
      <c r="F330" t="s">
        <v>28</v>
      </c>
      <c r="G330" t="s">
        <v>87</v>
      </c>
      <c r="H330">
        <v>29</v>
      </c>
      <c r="I330">
        <v>45000</v>
      </c>
      <c r="J330">
        <v>5</v>
      </c>
      <c r="K330">
        <v>1239750</v>
      </c>
      <c r="L330">
        <v>681862.5</v>
      </c>
      <c r="M330">
        <v>557887.5</v>
      </c>
      <c r="N330" t="s">
        <v>22</v>
      </c>
      <c r="O330" t="s">
        <v>23</v>
      </c>
      <c r="P330" t="s">
        <v>24</v>
      </c>
    </row>
    <row r="331" spans="1:16" x14ac:dyDescent="0.3">
      <c r="A331" t="s">
        <v>403</v>
      </c>
      <c r="B331" s="1">
        <v>45593</v>
      </c>
      <c r="C331" t="s">
        <v>17</v>
      </c>
      <c r="D331" t="s">
        <v>18</v>
      </c>
      <c r="E331" t="s">
        <v>111</v>
      </c>
      <c r="F331" t="s">
        <v>20</v>
      </c>
      <c r="G331" t="s">
        <v>21</v>
      </c>
      <c r="H331">
        <v>20</v>
      </c>
      <c r="I331">
        <v>3500</v>
      </c>
      <c r="J331">
        <v>20</v>
      </c>
      <c r="K331">
        <v>56000</v>
      </c>
      <c r="L331">
        <v>22400</v>
      </c>
      <c r="M331">
        <v>33600</v>
      </c>
      <c r="N331" t="s">
        <v>30</v>
      </c>
      <c r="O331" t="s">
        <v>67</v>
      </c>
      <c r="P331" t="s">
        <v>24</v>
      </c>
    </row>
    <row r="332" spans="1:16" x14ac:dyDescent="0.3">
      <c r="A332" t="s">
        <v>404</v>
      </c>
      <c r="B332" s="1">
        <v>44598</v>
      </c>
      <c r="C332" t="s">
        <v>46</v>
      </c>
      <c r="D332" t="s">
        <v>47</v>
      </c>
      <c r="E332" t="s">
        <v>56</v>
      </c>
      <c r="F332" t="s">
        <v>20</v>
      </c>
      <c r="G332" t="s">
        <v>21</v>
      </c>
      <c r="H332">
        <v>30</v>
      </c>
      <c r="I332">
        <v>3500</v>
      </c>
      <c r="J332">
        <v>0</v>
      </c>
      <c r="K332">
        <v>105000</v>
      </c>
      <c r="L332">
        <v>42000</v>
      </c>
      <c r="M332">
        <v>63000</v>
      </c>
      <c r="N332" t="s">
        <v>22</v>
      </c>
      <c r="O332" t="s">
        <v>44</v>
      </c>
      <c r="P332" t="s">
        <v>24</v>
      </c>
    </row>
    <row r="333" spans="1:16" x14ac:dyDescent="0.3">
      <c r="A333" t="s">
        <v>405</v>
      </c>
      <c r="B333" s="1">
        <v>45089</v>
      </c>
      <c r="C333" t="s">
        <v>58</v>
      </c>
      <c r="D333" t="s">
        <v>64</v>
      </c>
      <c r="E333" t="s">
        <v>32</v>
      </c>
      <c r="F333" t="s">
        <v>28</v>
      </c>
      <c r="G333" t="s">
        <v>95</v>
      </c>
      <c r="H333">
        <v>16</v>
      </c>
      <c r="I333">
        <v>75000</v>
      </c>
      <c r="J333">
        <v>10</v>
      </c>
      <c r="K333">
        <v>1080000</v>
      </c>
      <c r="L333">
        <v>594000</v>
      </c>
      <c r="M333">
        <v>486000</v>
      </c>
      <c r="N333" t="s">
        <v>22</v>
      </c>
      <c r="O333" t="s">
        <v>23</v>
      </c>
      <c r="P333" t="s">
        <v>24</v>
      </c>
    </row>
    <row r="334" spans="1:16" x14ac:dyDescent="0.3">
      <c r="A334" t="s">
        <v>406</v>
      </c>
      <c r="B334" s="1">
        <v>44923</v>
      </c>
      <c r="C334" t="s">
        <v>58</v>
      </c>
      <c r="D334" t="s">
        <v>64</v>
      </c>
      <c r="E334" t="s">
        <v>111</v>
      </c>
      <c r="F334" t="s">
        <v>33</v>
      </c>
      <c r="G334" t="s">
        <v>34</v>
      </c>
      <c r="H334">
        <v>11</v>
      </c>
      <c r="I334">
        <v>25000</v>
      </c>
      <c r="J334">
        <v>10</v>
      </c>
      <c r="K334">
        <v>247500</v>
      </c>
      <c r="L334">
        <v>123750</v>
      </c>
      <c r="M334">
        <v>123750</v>
      </c>
      <c r="N334" t="s">
        <v>49</v>
      </c>
      <c r="O334" t="s">
        <v>35</v>
      </c>
      <c r="P334" t="s">
        <v>24</v>
      </c>
    </row>
    <row r="335" spans="1:16" x14ac:dyDescent="0.3">
      <c r="A335" t="s">
        <v>407</v>
      </c>
      <c r="B335" s="1">
        <v>45293</v>
      </c>
      <c r="C335" t="s">
        <v>46</v>
      </c>
      <c r="D335" t="s">
        <v>47</v>
      </c>
      <c r="E335" t="s">
        <v>19</v>
      </c>
      <c r="F335" t="s">
        <v>20</v>
      </c>
      <c r="G335" t="s">
        <v>74</v>
      </c>
      <c r="H335">
        <v>18</v>
      </c>
      <c r="I335">
        <v>4200</v>
      </c>
      <c r="J335">
        <v>15</v>
      </c>
      <c r="K335">
        <v>64260</v>
      </c>
      <c r="L335">
        <v>25704</v>
      </c>
      <c r="M335">
        <v>38556</v>
      </c>
      <c r="N335" t="s">
        <v>30</v>
      </c>
      <c r="O335" t="s">
        <v>35</v>
      </c>
      <c r="P335" t="s">
        <v>40</v>
      </c>
    </row>
    <row r="336" spans="1:16" x14ac:dyDescent="0.3">
      <c r="A336" t="s">
        <v>408</v>
      </c>
      <c r="B336" s="1">
        <v>45478</v>
      </c>
      <c r="C336" t="s">
        <v>46</v>
      </c>
      <c r="D336" t="s">
        <v>47</v>
      </c>
      <c r="E336" t="s">
        <v>19</v>
      </c>
      <c r="F336" t="s">
        <v>33</v>
      </c>
      <c r="G336" t="s">
        <v>43</v>
      </c>
      <c r="H336">
        <v>20</v>
      </c>
      <c r="I336">
        <v>4000</v>
      </c>
      <c r="J336">
        <v>10</v>
      </c>
      <c r="K336">
        <v>72000</v>
      </c>
      <c r="L336">
        <v>36000</v>
      </c>
      <c r="M336">
        <v>36000</v>
      </c>
      <c r="N336" t="s">
        <v>49</v>
      </c>
      <c r="O336" t="s">
        <v>50</v>
      </c>
      <c r="P336" t="s">
        <v>24</v>
      </c>
    </row>
    <row r="337" spans="1:16" x14ac:dyDescent="0.3">
      <c r="A337" t="s">
        <v>409</v>
      </c>
      <c r="B337" s="1">
        <v>45452</v>
      </c>
      <c r="C337" t="s">
        <v>46</v>
      </c>
      <c r="D337" t="s">
        <v>55</v>
      </c>
      <c r="E337" t="s">
        <v>73</v>
      </c>
      <c r="F337" t="s">
        <v>65</v>
      </c>
      <c r="G337" t="s">
        <v>79</v>
      </c>
      <c r="H337">
        <v>7</v>
      </c>
      <c r="I337">
        <v>900</v>
      </c>
      <c r="J337">
        <v>0</v>
      </c>
      <c r="K337">
        <v>6300</v>
      </c>
      <c r="L337">
        <v>2835</v>
      </c>
      <c r="M337">
        <v>3465</v>
      </c>
      <c r="N337" t="s">
        <v>22</v>
      </c>
      <c r="O337" t="s">
        <v>50</v>
      </c>
      <c r="P337" t="s">
        <v>40</v>
      </c>
    </row>
    <row r="338" spans="1:16" x14ac:dyDescent="0.3">
      <c r="A338" t="s">
        <v>410</v>
      </c>
      <c r="B338" s="1">
        <v>45647</v>
      </c>
      <c r="C338" t="s">
        <v>17</v>
      </c>
      <c r="D338" t="s">
        <v>37</v>
      </c>
      <c r="E338" t="s">
        <v>52</v>
      </c>
      <c r="F338" t="s">
        <v>65</v>
      </c>
      <c r="G338" t="s">
        <v>117</v>
      </c>
      <c r="H338">
        <v>22</v>
      </c>
      <c r="I338">
        <v>1200</v>
      </c>
      <c r="J338">
        <v>10</v>
      </c>
      <c r="K338">
        <v>23760</v>
      </c>
      <c r="L338">
        <v>10692</v>
      </c>
      <c r="M338">
        <v>13068</v>
      </c>
      <c r="N338" t="s">
        <v>49</v>
      </c>
      <c r="O338" t="s">
        <v>50</v>
      </c>
      <c r="P338" t="s">
        <v>24</v>
      </c>
    </row>
    <row r="339" spans="1:16" x14ac:dyDescent="0.3">
      <c r="A339" t="s">
        <v>411</v>
      </c>
      <c r="B339" s="1">
        <v>45145</v>
      </c>
      <c r="C339" t="s">
        <v>46</v>
      </c>
      <c r="D339" t="s">
        <v>47</v>
      </c>
      <c r="E339" t="s">
        <v>56</v>
      </c>
      <c r="F339" t="s">
        <v>65</v>
      </c>
      <c r="G339" t="s">
        <v>124</v>
      </c>
      <c r="H339">
        <v>44</v>
      </c>
      <c r="I339">
        <v>18000</v>
      </c>
      <c r="J339">
        <v>5</v>
      </c>
      <c r="K339">
        <v>752400</v>
      </c>
      <c r="L339">
        <v>338580</v>
      </c>
      <c r="M339">
        <v>413820</v>
      </c>
      <c r="N339" t="s">
        <v>22</v>
      </c>
      <c r="O339" t="s">
        <v>23</v>
      </c>
      <c r="P339" t="s">
        <v>24</v>
      </c>
    </row>
    <row r="340" spans="1:16" x14ac:dyDescent="0.3">
      <c r="A340" t="s">
        <v>412</v>
      </c>
      <c r="B340" s="1">
        <v>45116</v>
      </c>
      <c r="C340" t="s">
        <v>58</v>
      </c>
      <c r="D340" t="s">
        <v>59</v>
      </c>
      <c r="E340" t="s">
        <v>32</v>
      </c>
      <c r="F340" t="s">
        <v>28</v>
      </c>
      <c r="G340" t="s">
        <v>29</v>
      </c>
      <c r="H340">
        <v>46</v>
      </c>
      <c r="I340">
        <v>15000</v>
      </c>
      <c r="J340">
        <v>20</v>
      </c>
      <c r="K340">
        <v>552000</v>
      </c>
      <c r="L340">
        <v>303600</v>
      </c>
      <c r="M340">
        <v>248400</v>
      </c>
      <c r="N340" t="s">
        <v>49</v>
      </c>
      <c r="O340" t="s">
        <v>44</v>
      </c>
      <c r="P340" t="s">
        <v>24</v>
      </c>
    </row>
    <row r="341" spans="1:16" x14ac:dyDescent="0.3">
      <c r="A341" t="s">
        <v>413</v>
      </c>
      <c r="B341" s="1">
        <v>45617</v>
      </c>
      <c r="C341" t="s">
        <v>58</v>
      </c>
      <c r="D341" t="s">
        <v>64</v>
      </c>
      <c r="E341" t="s">
        <v>70</v>
      </c>
      <c r="F341" t="s">
        <v>33</v>
      </c>
      <c r="G341" t="s">
        <v>76</v>
      </c>
      <c r="H341">
        <v>43</v>
      </c>
      <c r="I341">
        <v>8500</v>
      </c>
      <c r="J341">
        <v>20</v>
      </c>
      <c r="K341">
        <v>292400</v>
      </c>
      <c r="L341">
        <v>146200</v>
      </c>
      <c r="M341">
        <v>146200</v>
      </c>
      <c r="N341" t="s">
        <v>49</v>
      </c>
      <c r="O341" t="s">
        <v>35</v>
      </c>
      <c r="P341" t="s">
        <v>24</v>
      </c>
    </row>
    <row r="342" spans="1:16" x14ac:dyDescent="0.3">
      <c r="A342" t="s">
        <v>414</v>
      </c>
      <c r="B342" s="1">
        <v>45478</v>
      </c>
      <c r="C342" t="s">
        <v>17</v>
      </c>
      <c r="D342" t="s">
        <v>42</v>
      </c>
      <c r="E342" t="s">
        <v>111</v>
      </c>
      <c r="F342" t="s">
        <v>20</v>
      </c>
      <c r="G342" t="s">
        <v>61</v>
      </c>
      <c r="H342">
        <v>42</v>
      </c>
      <c r="I342">
        <v>800</v>
      </c>
      <c r="J342">
        <v>0</v>
      </c>
      <c r="K342">
        <v>33600</v>
      </c>
      <c r="L342">
        <v>13440</v>
      </c>
      <c r="M342">
        <v>20160</v>
      </c>
      <c r="N342" t="s">
        <v>49</v>
      </c>
      <c r="O342" t="s">
        <v>44</v>
      </c>
      <c r="P342" t="s">
        <v>24</v>
      </c>
    </row>
    <row r="343" spans="1:16" x14ac:dyDescent="0.3">
      <c r="A343" t="s">
        <v>415</v>
      </c>
      <c r="B343" s="1">
        <v>45152</v>
      </c>
      <c r="C343" t="s">
        <v>17</v>
      </c>
      <c r="D343" t="s">
        <v>37</v>
      </c>
      <c r="E343" t="s">
        <v>73</v>
      </c>
      <c r="F343" t="s">
        <v>33</v>
      </c>
      <c r="G343" t="s">
        <v>48</v>
      </c>
      <c r="H343">
        <v>8</v>
      </c>
      <c r="I343">
        <v>1500</v>
      </c>
      <c r="J343">
        <v>15</v>
      </c>
      <c r="K343">
        <v>10200</v>
      </c>
      <c r="L343">
        <v>5100</v>
      </c>
      <c r="M343">
        <v>5100</v>
      </c>
      <c r="N343" t="s">
        <v>22</v>
      </c>
      <c r="O343" t="s">
        <v>67</v>
      </c>
      <c r="P343" t="s">
        <v>24</v>
      </c>
    </row>
    <row r="344" spans="1:16" x14ac:dyDescent="0.3">
      <c r="A344" t="s">
        <v>416</v>
      </c>
      <c r="B344" s="1">
        <v>44697</v>
      </c>
      <c r="C344" t="s">
        <v>46</v>
      </c>
      <c r="D344" t="s">
        <v>47</v>
      </c>
      <c r="E344" t="s">
        <v>32</v>
      </c>
      <c r="F344" t="s">
        <v>33</v>
      </c>
      <c r="G344" t="s">
        <v>48</v>
      </c>
      <c r="H344">
        <v>4</v>
      </c>
      <c r="I344">
        <v>1500</v>
      </c>
      <c r="J344">
        <v>5</v>
      </c>
      <c r="K344">
        <v>5700</v>
      </c>
      <c r="L344">
        <v>2850</v>
      </c>
      <c r="M344">
        <v>2850</v>
      </c>
      <c r="N344" t="s">
        <v>30</v>
      </c>
      <c r="O344" t="s">
        <v>50</v>
      </c>
      <c r="P344" t="s">
        <v>24</v>
      </c>
    </row>
    <row r="345" spans="1:16" x14ac:dyDescent="0.3">
      <c r="A345" t="s">
        <v>417</v>
      </c>
      <c r="B345" s="1">
        <v>45370</v>
      </c>
      <c r="C345" t="s">
        <v>58</v>
      </c>
      <c r="D345" t="s">
        <v>84</v>
      </c>
      <c r="E345" t="s">
        <v>70</v>
      </c>
      <c r="F345" t="s">
        <v>20</v>
      </c>
      <c r="G345" t="s">
        <v>21</v>
      </c>
      <c r="H345">
        <v>32</v>
      </c>
      <c r="I345">
        <v>3500</v>
      </c>
      <c r="J345">
        <v>10</v>
      </c>
      <c r="K345">
        <v>100800</v>
      </c>
      <c r="L345">
        <v>40320</v>
      </c>
      <c r="M345">
        <v>60480</v>
      </c>
      <c r="N345" t="s">
        <v>49</v>
      </c>
      <c r="O345" t="s">
        <v>35</v>
      </c>
      <c r="P345" t="s">
        <v>24</v>
      </c>
    </row>
    <row r="346" spans="1:16" x14ac:dyDescent="0.3">
      <c r="A346" t="s">
        <v>418</v>
      </c>
      <c r="B346" s="1">
        <v>44576</v>
      </c>
      <c r="C346" t="s">
        <v>17</v>
      </c>
      <c r="D346" t="s">
        <v>18</v>
      </c>
      <c r="E346" t="s">
        <v>78</v>
      </c>
      <c r="F346" t="s">
        <v>20</v>
      </c>
      <c r="G346" t="s">
        <v>115</v>
      </c>
      <c r="H346">
        <v>49</v>
      </c>
      <c r="I346">
        <v>2500</v>
      </c>
      <c r="J346">
        <v>0</v>
      </c>
      <c r="K346">
        <v>122500</v>
      </c>
      <c r="L346">
        <v>49000</v>
      </c>
      <c r="M346">
        <v>73500</v>
      </c>
      <c r="N346" t="s">
        <v>22</v>
      </c>
      <c r="O346" t="s">
        <v>23</v>
      </c>
      <c r="P346" t="s">
        <v>24</v>
      </c>
    </row>
    <row r="347" spans="1:16" x14ac:dyDescent="0.3">
      <c r="A347" t="s">
        <v>419</v>
      </c>
      <c r="B347" s="1">
        <v>45395</v>
      </c>
      <c r="C347" t="s">
        <v>58</v>
      </c>
      <c r="D347" t="s">
        <v>59</v>
      </c>
      <c r="E347" t="s">
        <v>32</v>
      </c>
      <c r="F347" t="s">
        <v>28</v>
      </c>
      <c r="G347" t="s">
        <v>95</v>
      </c>
      <c r="H347">
        <v>35</v>
      </c>
      <c r="I347">
        <v>75000</v>
      </c>
      <c r="J347">
        <v>5</v>
      </c>
      <c r="K347">
        <v>2493750</v>
      </c>
      <c r="L347">
        <v>1371562.5</v>
      </c>
      <c r="M347">
        <v>1122187.5</v>
      </c>
      <c r="N347" t="s">
        <v>30</v>
      </c>
      <c r="O347" t="s">
        <v>50</v>
      </c>
      <c r="P347" t="s">
        <v>24</v>
      </c>
    </row>
    <row r="348" spans="1:16" x14ac:dyDescent="0.3">
      <c r="A348" t="s">
        <v>420</v>
      </c>
      <c r="B348" s="1">
        <v>45572</v>
      </c>
      <c r="C348" t="s">
        <v>26</v>
      </c>
      <c r="D348" t="s">
        <v>27</v>
      </c>
      <c r="E348" t="s">
        <v>19</v>
      </c>
      <c r="F348" t="s">
        <v>20</v>
      </c>
      <c r="G348" t="s">
        <v>61</v>
      </c>
      <c r="H348">
        <v>20</v>
      </c>
      <c r="I348">
        <v>800</v>
      </c>
      <c r="J348">
        <v>5</v>
      </c>
      <c r="K348">
        <v>15200</v>
      </c>
      <c r="L348">
        <v>6080</v>
      </c>
      <c r="M348">
        <v>9120</v>
      </c>
      <c r="N348" t="s">
        <v>49</v>
      </c>
      <c r="O348" t="s">
        <v>67</v>
      </c>
      <c r="P348" t="s">
        <v>24</v>
      </c>
    </row>
    <row r="349" spans="1:16" x14ac:dyDescent="0.3">
      <c r="A349" t="s">
        <v>421</v>
      </c>
      <c r="B349" s="1">
        <v>45144</v>
      </c>
      <c r="C349" t="s">
        <v>26</v>
      </c>
      <c r="D349" t="s">
        <v>27</v>
      </c>
      <c r="E349" t="s">
        <v>73</v>
      </c>
      <c r="F349" t="s">
        <v>33</v>
      </c>
      <c r="G349" t="s">
        <v>48</v>
      </c>
      <c r="H349">
        <v>47</v>
      </c>
      <c r="I349">
        <v>1500</v>
      </c>
      <c r="J349">
        <v>20</v>
      </c>
      <c r="K349">
        <v>56400</v>
      </c>
      <c r="L349">
        <v>28200</v>
      </c>
      <c r="M349">
        <v>28200</v>
      </c>
      <c r="N349" t="s">
        <v>22</v>
      </c>
      <c r="O349" t="s">
        <v>50</v>
      </c>
      <c r="P349" t="s">
        <v>40</v>
      </c>
    </row>
    <row r="350" spans="1:16" x14ac:dyDescent="0.3">
      <c r="A350" t="s">
        <v>422</v>
      </c>
      <c r="B350" s="1">
        <v>45404</v>
      </c>
      <c r="C350" t="s">
        <v>46</v>
      </c>
      <c r="D350" t="s">
        <v>55</v>
      </c>
      <c r="E350" t="s">
        <v>60</v>
      </c>
      <c r="F350" t="s">
        <v>33</v>
      </c>
      <c r="G350" t="s">
        <v>76</v>
      </c>
      <c r="H350">
        <v>11</v>
      </c>
      <c r="I350">
        <v>8500</v>
      </c>
      <c r="J350">
        <v>15</v>
      </c>
      <c r="K350">
        <v>79475</v>
      </c>
      <c r="L350">
        <v>39737.5</v>
      </c>
      <c r="M350">
        <v>39737.5</v>
      </c>
      <c r="N350" t="s">
        <v>30</v>
      </c>
      <c r="O350" t="s">
        <v>44</v>
      </c>
      <c r="P350" t="s">
        <v>24</v>
      </c>
    </row>
    <row r="351" spans="1:16" x14ac:dyDescent="0.3">
      <c r="A351" t="s">
        <v>423</v>
      </c>
      <c r="B351" s="1">
        <v>44811</v>
      </c>
      <c r="C351" t="s">
        <v>26</v>
      </c>
      <c r="D351" t="s">
        <v>27</v>
      </c>
      <c r="E351" t="s">
        <v>52</v>
      </c>
      <c r="F351" t="s">
        <v>33</v>
      </c>
      <c r="G351" t="s">
        <v>39</v>
      </c>
      <c r="H351">
        <v>25</v>
      </c>
      <c r="I351">
        <v>5000</v>
      </c>
      <c r="J351">
        <v>10</v>
      </c>
      <c r="K351">
        <v>112500</v>
      </c>
      <c r="L351">
        <v>56250</v>
      </c>
      <c r="M351">
        <v>56250</v>
      </c>
      <c r="N351" t="s">
        <v>22</v>
      </c>
      <c r="O351" t="s">
        <v>35</v>
      </c>
      <c r="P351" t="s">
        <v>40</v>
      </c>
    </row>
    <row r="352" spans="1:16" x14ac:dyDescent="0.3">
      <c r="A352" t="s">
        <v>424</v>
      </c>
      <c r="B352" s="1">
        <v>44673</v>
      </c>
      <c r="C352" t="s">
        <v>26</v>
      </c>
      <c r="D352" t="s">
        <v>27</v>
      </c>
      <c r="E352" t="s">
        <v>56</v>
      </c>
      <c r="F352" t="s">
        <v>28</v>
      </c>
      <c r="G352" t="s">
        <v>85</v>
      </c>
      <c r="H352">
        <v>29</v>
      </c>
      <c r="I352">
        <v>8000</v>
      </c>
      <c r="J352">
        <v>15</v>
      </c>
      <c r="K352">
        <v>197200</v>
      </c>
      <c r="L352">
        <v>108460</v>
      </c>
      <c r="M352">
        <v>88740</v>
      </c>
      <c r="N352" t="s">
        <v>22</v>
      </c>
      <c r="O352" t="s">
        <v>50</v>
      </c>
      <c r="P352" t="s">
        <v>24</v>
      </c>
    </row>
    <row r="353" spans="1:16" x14ac:dyDescent="0.3">
      <c r="A353" t="s">
        <v>425</v>
      </c>
      <c r="B353" s="1">
        <v>45496</v>
      </c>
      <c r="C353" t="s">
        <v>46</v>
      </c>
      <c r="D353" t="s">
        <v>47</v>
      </c>
      <c r="E353" t="s">
        <v>56</v>
      </c>
      <c r="F353" t="s">
        <v>33</v>
      </c>
      <c r="G353" t="s">
        <v>48</v>
      </c>
      <c r="H353">
        <v>43</v>
      </c>
      <c r="I353">
        <v>1500</v>
      </c>
      <c r="J353">
        <v>0</v>
      </c>
      <c r="K353">
        <v>64500</v>
      </c>
      <c r="L353">
        <v>32250</v>
      </c>
      <c r="M353">
        <v>32250</v>
      </c>
      <c r="N353" t="s">
        <v>49</v>
      </c>
      <c r="O353" t="s">
        <v>67</v>
      </c>
      <c r="P353" t="s">
        <v>40</v>
      </c>
    </row>
    <row r="354" spans="1:16" x14ac:dyDescent="0.3">
      <c r="A354" t="s">
        <v>426</v>
      </c>
      <c r="B354" s="1">
        <v>44818</v>
      </c>
      <c r="C354" t="s">
        <v>26</v>
      </c>
      <c r="D354" t="s">
        <v>27</v>
      </c>
      <c r="E354" t="s">
        <v>73</v>
      </c>
      <c r="F354" t="s">
        <v>28</v>
      </c>
      <c r="G354" t="s">
        <v>95</v>
      </c>
      <c r="H354">
        <v>32</v>
      </c>
      <c r="I354">
        <v>75000</v>
      </c>
      <c r="J354">
        <v>5</v>
      </c>
      <c r="K354">
        <v>2280000</v>
      </c>
      <c r="L354">
        <v>1254000</v>
      </c>
      <c r="M354">
        <v>1026000</v>
      </c>
      <c r="N354" t="s">
        <v>30</v>
      </c>
      <c r="O354" t="s">
        <v>50</v>
      </c>
      <c r="P354" t="s">
        <v>40</v>
      </c>
    </row>
    <row r="355" spans="1:16" x14ac:dyDescent="0.3">
      <c r="A355" t="s">
        <v>427</v>
      </c>
      <c r="B355" s="1">
        <v>45572</v>
      </c>
      <c r="C355" t="s">
        <v>17</v>
      </c>
      <c r="D355" t="s">
        <v>42</v>
      </c>
      <c r="E355" t="s">
        <v>32</v>
      </c>
      <c r="F355" t="s">
        <v>33</v>
      </c>
      <c r="G355" t="s">
        <v>76</v>
      </c>
      <c r="H355">
        <v>3</v>
      </c>
      <c r="I355">
        <v>8500</v>
      </c>
      <c r="J355">
        <v>20</v>
      </c>
      <c r="K355">
        <v>20400</v>
      </c>
      <c r="L355">
        <v>10200</v>
      </c>
      <c r="M355">
        <v>10200</v>
      </c>
      <c r="N355" t="s">
        <v>30</v>
      </c>
      <c r="O355" t="s">
        <v>23</v>
      </c>
      <c r="P355" t="s">
        <v>24</v>
      </c>
    </row>
    <row r="356" spans="1:16" x14ac:dyDescent="0.3">
      <c r="A356" t="s">
        <v>428</v>
      </c>
      <c r="B356" s="1">
        <v>45207</v>
      </c>
      <c r="C356" t="s">
        <v>26</v>
      </c>
      <c r="D356" t="s">
        <v>27</v>
      </c>
      <c r="E356" t="s">
        <v>52</v>
      </c>
      <c r="F356" t="s">
        <v>28</v>
      </c>
      <c r="G356" t="s">
        <v>29</v>
      </c>
      <c r="H356">
        <v>43</v>
      </c>
      <c r="I356">
        <v>15000</v>
      </c>
      <c r="J356">
        <v>15</v>
      </c>
      <c r="K356">
        <v>548250</v>
      </c>
      <c r="L356">
        <v>301537.5</v>
      </c>
      <c r="M356">
        <v>246712.5</v>
      </c>
      <c r="N356" t="s">
        <v>30</v>
      </c>
      <c r="O356" t="s">
        <v>67</v>
      </c>
      <c r="P356" t="s">
        <v>24</v>
      </c>
    </row>
    <row r="357" spans="1:16" x14ac:dyDescent="0.3">
      <c r="A357" t="s">
        <v>429</v>
      </c>
      <c r="B357" s="1">
        <v>44705</v>
      </c>
      <c r="C357" t="s">
        <v>26</v>
      </c>
      <c r="D357" t="s">
        <v>69</v>
      </c>
      <c r="E357" t="s">
        <v>19</v>
      </c>
      <c r="F357" t="s">
        <v>65</v>
      </c>
      <c r="G357" t="s">
        <v>124</v>
      </c>
      <c r="H357">
        <v>17</v>
      </c>
      <c r="I357">
        <v>18000</v>
      </c>
      <c r="J357">
        <v>15</v>
      </c>
      <c r="K357">
        <v>260100</v>
      </c>
      <c r="L357">
        <v>117045</v>
      </c>
      <c r="M357">
        <v>143055</v>
      </c>
      <c r="N357" t="s">
        <v>30</v>
      </c>
      <c r="O357" t="s">
        <v>44</v>
      </c>
      <c r="P357" t="s">
        <v>24</v>
      </c>
    </row>
    <row r="358" spans="1:16" x14ac:dyDescent="0.3">
      <c r="A358" t="s">
        <v>430</v>
      </c>
      <c r="B358" s="1">
        <v>44648</v>
      </c>
      <c r="C358" t="s">
        <v>17</v>
      </c>
      <c r="D358" t="s">
        <v>37</v>
      </c>
      <c r="E358" t="s">
        <v>70</v>
      </c>
      <c r="F358" t="s">
        <v>65</v>
      </c>
      <c r="G358" t="s">
        <v>117</v>
      </c>
      <c r="H358">
        <v>7</v>
      </c>
      <c r="I358">
        <v>1200</v>
      </c>
      <c r="J358">
        <v>0</v>
      </c>
      <c r="K358">
        <v>8400</v>
      </c>
      <c r="L358">
        <v>3780</v>
      </c>
      <c r="M358">
        <v>4620</v>
      </c>
      <c r="N358" t="s">
        <v>30</v>
      </c>
      <c r="O358" t="s">
        <v>44</v>
      </c>
      <c r="P358" t="s">
        <v>24</v>
      </c>
    </row>
    <row r="359" spans="1:16" x14ac:dyDescent="0.3">
      <c r="A359" t="s">
        <v>431</v>
      </c>
      <c r="B359" s="1">
        <v>45211</v>
      </c>
      <c r="C359" t="s">
        <v>58</v>
      </c>
      <c r="D359" t="s">
        <v>64</v>
      </c>
      <c r="E359" t="s">
        <v>73</v>
      </c>
      <c r="F359" t="s">
        <v>28</v>
      </c>
      <c r="G359" t="s">
        <v>71</v>
      </c>
      <c r="H359">
        <v>22</v>
      </c>
      <c r="I359">
        <v>35000</v>
      </c>
      <c r="J359">
        <v>5</v>
      </c>
      <c r="K359">
        <v>731500</v>
      </c>
      <c r="L359">
        <v>402325</v>
      </c>
      <c r="M359">
        <v>329175</v>
      </c>
      <c r="N359" t="s">
        <v>49</v>
      </c>
      <c r="O359" t="s">
        <v>23</v>
      </c>
      <c r="P359" t="s">
        <v>24</v>
      </c>
    </row>
    <row r="360" spans="1:16" x14ac:dyDescent="0.3">
      <c r="A360" t="s">
        <v>432</v>
      </c>
      <c r="B360" s="1">
        <v>45452</v>
      </c>
      <c r="C360" t="s">
        <v>58</v>
      </c>
      <c r="D360" t="s">
        <v>64</v>
      </c>
      <c r="E360" t="s">
        <v>60</v>
      </c>
      <c r="F360" t="s">
        <v>65</v>
      </c>
      <c r="G360" t="s">
        <v>104</v>
      </c>
      <c r="H360">
        <v>8</v>
      </c>
      <c r="I360">
        <v>3000</v>
      </c>
      <c r="J360">
        <v>5</v>
      </c>
      <c r="K360">
        <v>22800</v>
      </c>
      <c r="L360">
        <v>10260</v>
      </c>
      <c r="M360">
        <v>12540</v>
      </c>
      <c r="N360" t="s">
        <v>30</v>
      </c>
      <c r="O360" t="s">
        <v>35</v>
      </c>
      <c r="P360" t="s">
        <v>24</v>
      </c>
    </row>
    <row r="361" spans="1:16" x14ac:dyDescent="0.3">
      <c r="A361" t="s">
        <v>433</v>
      </c>
      <c r="B361" s="1">
        <v>45370</v>
      </c>
      <c r="C361" t="s">
        <v>58</v>
      </c>
      <c r="D361" t="s">
        <v>64</v>
      </c>
      <c r="E361" t="s">
        <v>60</v>
      </c>
      <c r="F361" t="s">
        <v>20</v>
      </c>
      <c r="G361" t="s">
        <v>53</v>
      </c>
      <c r="H361">
        <v>25</v>
      </c>
      <c r="I361">
        <v>600</v>
      </c>
      <c r="J361">
        <v>10</v>
      </c>
      <c r="K361">
        <v>13500</v>
      </c>
      <c r="L361">
        <v>5400</v>
      </c>
      <c r="M361">
        <v>8100</v>
      </c>
      <c r="N361" t="s">
        <v>30</v>
      </c>
      <c r="O361" t="s">
        <v>44</v>
      </c>
      <c r="P361" t="s">
        <v>40</v>
      </c>
    </row>
    <row r="362" spans="1:16" x14ac:dyDescent="0.3">
      <c r="A362" t="s">
        <v>434</v>
      </c>
      <c r="B362" s="1">
        <v>45489</v>
      </c>
      <c r="C362" t="s">
        <v>26</v>
      </c>
      <c r="D362" t="s">
        <v>69</v>
      </c>
      <c r="E362" t="s">
        <v>60</v>
      </c>
      <c r="F362" t="s">
        <v>28</v>
      </c>
      <c r="G362" t="s">
        <v>95</v>
      </c>
      <c r="H362">
        <v>17</v>
      </c>
      <c r="I362">
        <v>75000</v>
      </c>
      <c r="J362">
        <v>10</v>
      </c>
      <c r="K362">
        <v>1147500</v>
      </c>
      <c r="L362">
        <v>631125</v>
      </c>
      <c r="M362">
        <v>516375</v>
      </c>
      <c r="N362" t="s">
        <v>22</v>
      </c>
      <c r="O362" t="s">
        <v>67</v>
      </c>
      <c r="P362" t="s">
        <v>24</v>
      </c>
    </row>
    <row r="363" spans="1:16" x14ac:dyDescent="0.3">
      <c r="A363" t="s">
        <v>435</v>
      </c>
      <c r="B363" s="1">
        <v>45007</v>
      </c>
      <c r="C363" t="s">
        <v>17</v>
      </c>
      <c r="D363" t="s">
        <v>42</v>
      </c>
      <c r="E363" t="s">
        <v>111</v>
      </c>
      <c r="F363" t="s">
        <v>28</v>
      </c>
      <c r="G363" t="s">
        <v>85</v>
      </c>
      <c r="H363">
        <v>43</v>
      </c>
      <c r="I363">
        <v>8000</v>
      </c>
      <c r="J363">
        <v>5</v>
      </c>
      <c r="K363">
        <v>326800</v>
      </c>
      <c r="L363">
        <v>179740</v>
      </c>
      <c r="M363">
        <v>147060</v>
      </c>
      <c r="N363" t="s">
        <v>49</v>
      </c>
      <c r="O363" t="s">
        <v>23</v>
      </c>
      <c r="P363" t="s">
        <v>24</v>
      </c>
    </row>
    <row r="364" spans="1:16" x14ac:dyDescent="0.3">
      <c r="A364" t="s">
        <v>436</v>
      </c>
      <c r="B364" s="1">
        <v>44861</v>
      </c>
      <c r="C364" t="s">
        <v>26</v>
      </c>
      <c r="D364" t="s">
        <v>27</v>
      </c>
      <c r="E364" t="s">
        <v>78</v>
      </c>
      <c r="F364" t="s">
        <v>65</v>
      </c>
      <c r="G364" t="s">
        <v>66</v>
      </c>
      <c r="H364">
        <v>11</v>
      </c>
      <c r="I364">
        <v>5500</v>
      </c>
      <c r="J364">
        <v>0</v>
      </c>
      <c r="K364">
        <v>60500</v>
      </c>
      <c r="L364">
        <v>27225</v>
      </c>
      <c r="M364">
        <v>33275</v>
      </c>
      <c r="N364" t="s">
        <v>49</v>
      </c>
      <c r="O364" t="s">
        <v>44</v>
      </c>
      <c r="P364" t="s">
        <v>24</v>
      </c>
    </row>
    <row r="365" spans="1:16" x14ac:dyDescent="0.3">
      <c r="A365" t="s">
        <v>437</v>
      </c>
      <c r="B365" s="1">
        <v>45208</v>
      </c>
      <c r="C365" t="s">
        <v>26</v>
      </c>
      <c r="D365" t="s">
        <v>27</v>
      </c>
      <c r="E365" t="s">
        <v>111</v>
      </c>
      <c r="F365" t="s">
        <v>65</v>
      </c>
      <c r="G365" t="s">
        <v>66</v>
      </c>
      <c r="H365">
        <v>16</v>
      </c>
      <c r="I365">
        <v>5500</v>
      </c>
      <c r="J365">
        <v>0</v>
      </c>
      <c r="K365">
        <v>88000</v>
      </c>
      <c r="L365">
        <v>39600</v>
      </c>
      <c r="M365">
        <v>48400</v>
      </c>
      <c r="N365" t="s">
        <v>49</v>
      </c>
      <c r="O365" t="s">
        <v>67</v>
      </c>
      <c r="P365" t="s">
        <v>24</v>
      </c>
    </row>
    <row r="366" spans="1:16" x14ac:dyDescent="0.3">
      <c r="A366" t="s">
        <v>438</v>
      </c>
      <c r="B366" s="1">
        <v>45415</v>
      </c>
      <c r="C366" t="s">
        <v>58</v>
      </c>
      <c r="D366" t="s">
        <v>59</v>
      </c>
      <c r="E366" t="s">
        <v>70</v>
      </c>
      <c r="F366" t="s">
        <v>28</v>
      </c>
      <c r="G366" t="s">
        <v>85</v>
      </c>
      <c r="H366">
        <v>48</v>
      </c>
      <c r="I366">
        <v>8000</v>
      </c>
      <c r="J366">
        <v>0</v>
      </c>
      <c r="K366">
        <v>384000</v>
      </c>
      <c r="L366">
        <v>211200</v>
      </c>
      <c r="M366">
        <v>172800</v>
      </c>
      <c r="N366" t="s">
        <v>49</v>
      </c>
      <c r="O366" t="s">
        <v>23</v>
      </c>
      <c r="P366" t="s">
        <v>24</v>
      </c>
    </row>
    <row r="367" spans="1:16" x14ac:dyDescent="0.3">
      <c r="A367" t="s">
        <v>439</v>
      </c>
      <c r="B367" s="1">
        <v>44638</v>
      </c>
      <c r="C367" t="s">
        <v>26</v>
      </c>
      <c r="D367" t="s">
        <v>27</v>
      </c>
      <c r="E367" t="s">
        <v>38</v>
      </c>
      <c r="F367" t="s">
        <v>33</v>
      </c>
      <c r="G367" t="s">
        <v>43</v>
      </c>
      <c r="H367">
        <v>36</v>
      </c>
      <c r="I367">
        <v>4000</v>
      </c>
      <c r="J367">
        <v>5</v>
      </c>
      <c r="K367">
        <v>136800</v>
      </c>
      <c r="L367">
        <v>68400</v>
      </c>
      <c r="M367">
        <v>68400</v>
      </c>
      <c r="N367" t="s">
        <v>49</v>
      </c>
      <c r="O367" t="s">
        <v>50</v>
      </c>
      <c r="P367" t="s">
        <v>24</v>
      </c>
    </row>
    <row r="368" spans="1:16" x14ac:dyDescent="0.3">
      <c r="A368" t="s">
        <v>440</v>
      </c>
      <c r="B368" s="1">
        <v>44678</v>
      </c>
      <c r="C368" t="s">
        <v>46</v>
      </c>
      <c r="D368" t="s">
        <v>55</v>
      </c>
      <c r="E368" t="s">
        <v>70</v>
      </c>
      <c r="F368" t="s">
        <v>65</v>
      </c>
      <c r="G368" t="s">
        <v>124</v>
      </c>
      <c r="H368">
        <v>46</v>
      </c>
      <c r="I368">
        <v>18000</v>
      </c>
      <c r="J368">
        <v>15</v>
      </c>
      <c r="K368">
        <v>703800</v>
      </c>
      <c r="L368">
        <v>316710</v>
      </c>
      <c r="M368">
        <v>387090</v>
      </c>
      <c r="N368" t="s">
        <v>30</v>
      </c>
      <c r="O368" t="s">
        <v>44</v>
      </c>
      <c r="P368" t="s">
        <v>24</v>
      </c>
    </row>
    <row r="369" spans="1:16" x14ac:dyDescent="0.3">
      <c r="A369" t="s">
        <v>441</v>
      </c>
      <c r="B369" s="1">
        <v>44572</v>
      </c>
      <c r="C369" t="s">
        <v>17</v>
      </c>
      <c r="D369" t="s">
        <v>42</v>
      </c>
      <c r="E369" t="s">
        <v>73</v>
      </c>
      <c r="F369" t="s">
        <v>33</v>
      </c>
      <c r="G369" t="s">
        <v>39</v>
      </c>
      <c r="H369">
        <v>3</v>
      </c>
      <c r="I369">
        <v>5000</v>
      </c>
      <c r="J369">
        <v>5</v>
      </c>
      <c r="K369">
        <v>14250</v>
      </c>
      <c r="L369">
        <v>7125</v>
      </c>
      <c r="M369">
        <v>7125</v>
      </c>
      <c r="N369" t="s">
        <v>30</v>
      </c>
      <c r="O369" t="s">
        <v>23</v>
      </c>
      <c r="P369" t="s">
        <v>24</v>
      </c>
    </row>
    <row r="370" spans="1:16" x14ac:dyDescent="0.3">
      <c r="A370" t="s">
        <v>442</v>
      </c>
      <c r="B370" s="1">
        <v>44751</v>
      </c>
      <c r="C370" t="s">
        <v>46</v>
      </c>
      <c r="D370" t="s">
        <v>47</v>
      </c>
      <c r="E370" t="s">
        <v>52</v>
      </c>
      <c r="F370" t="s">
        <v>65</v>
      </c>
      <c r="G370" t="s">
        <v>104</v>
      </c>
      <c r="H370">
        <v>30</v>
      </c>
      <c r="I370">
        <v>3000</v>
      </c>
      <c r="J370">
        <v>5</v>
      </c>
      <c r="K370">
        <v>85500</v>
      </c>
      <c r="L370">
        <v>38475</v>
      </c>
      <c r="M370">
        <v>47025</v>
      </c>
      <c r="N370" t="s">
        <v>30</v>
      </c>
      <c r="O370" t="s">
        <v>23</v>
      </c>
      <c r="P370" t="s">
        <v>24</v>
      </c>
    </row>
    <row r="371" spans="1:16" x14ac:dyDescent="0.3">
      <c r="A371" t="s">
        <v>443</v>
      </c>
      <c r="B371" s="1">
        <v>44641</v>
      </c>
      <c r="C371" t="s">
        <v>26</v>
      </c>
      <c r="D371" t="s">
        <v>69</v>
      </c>
      <c r="E371" t="s">
        <v>60</v>
      </c>
      <c r="F371" t="s">
        <v>20</v>
      </c>
      <c r="G371" t="s">
        <v>115</v>
      </c>
      <c r="H371">
        <v>1</v>
      </c>
      <c r="I371">
        <v>2500</v>
      </c>
      <c r="J371">
        <v>20</v>
      </c>
      <c r="K371">
        <v>2000</v>
      </c>
      <c r="L371">
        <v>800</v>
      </c>
      <c r="M371">
        <v>1200</v>
      </c>
      <c r="N371" t="s">
        <v>22</v>
      </c>
      <c r="O371" t="s">
        <v>23</v>
      </c>
      <c r="P371" t="s">
        <v>24</v>
      </c>
    </row>
    <row r="372" spans="1:16" x14ac:dyDescent="0.3">
      <c r="A372" t="s">
        <v>444</v>
      </c>
      <c r="B372" s="1">
        <v>45490</v>
      </c>
      <c r="C372" t="s">
        <v>46</v>
      </c>
      <c r="D372" t="s">
        <v>47</v>
      </c>
      <c r="E372" t="s">
        <v>78</v>
      </c>
      <c r="F372" t="s">
        <v>28</v>
      </c>
      <c r="G372" t="s">
        <v>85</v>
      </c>
      <c r="H372">
        <v>43</v>
      </c>
      <c r="I372">
        <v>8000</v>
      </c>
      <c r="J372">
        <v>20</v>
      </c>
      <c r="K372">
        <v>275200</v>
      </c>
      <c r="L372">
        <v>151360</v>
      </c>
      <c r="M372">
        <v>123840</v>
      </c>
      <c r="N372" t="s">
        <v>49</v>
      </c>
      <c r="O372" t="s">
        <v>67</v>
      </c>
      <c r="P372" t="s">
        <v>40</v>
      </c>
    </row>
    <row r="373" spans="1:16" x14ac:dyDescent="0.3">
      <c r="A373" t="s">
        <v>445</v>
      </c>
      <c r="B373" s="1">
        <v>45305</v>
      </c>
      <c r="C373" t="s">
        <v>46</v>
      </c>
      <c r="D373" t="s">
        <v>55</v>
      </c>
      <c r="E373" t="s">
        <v>32</v>
      </c>
      <c r="F373" t="s">
        <v>33</v>
      </c>
      <c r="G373" t="s">
        <v>34</v>
      </c>
      <c r="H373">
        <v>29</v>
      </c>
      <c r="I373">
        <v>25000</v>
      </c>
      <c r="J373">
        <v>5</v>
      </c>
      <c r="K373">
        <v>688750</v>
      </c>
      <c r="L373">
        <v>344375</v>
      </c>
      <c r="M373">
        <v>344375</v>
      </c>
      <c r="N373" t="s">
        <v>49</v>
      </c>
      <c r="O373" t="s">
        <v>67</v>
      </c>
      <c r="P373" t="s">
        <v>24</v>
      </c>
    </row>
    <row r="374" spans="1:16" x14ac:dyDescent="0.3">
      <c r="A374" t="s">
        <v>446</v>
      </c>
      <c r="B374" s="1">
        <v>45545</v>
      </c>
      <c r="C374" t="s">
        <v>17</v>
      </c>
      <c r="D374" t="s">
        <v>42</v>
      </c>
      <c r="E374" t="s">
        <v>111</v>
      </c>
      <c r="F374" t="s">
        <v>20</v>
      </c>
      <c r="G374" t="s">
        <v>74</v>
      </c>
      <c r="H374">
        <v>14</v>
      </c>
      <c r="I374">
        <v>4200</v>
      </c>
      <c r="J374">
        <v>20</v>
      </c>
      <c r="K374">
        <v>47040</v>
      </c>
      <c r="L374">
        <v>18816</v>
      </c>
      <c r="M374">
        <v>28224</v>
      </c>
      <c r="N374" t="s">
        <v>22</v>
      </c>
      <c r="O374" t="s">
        <v>50</v>
      </c>
      <c r="P374" t="s">
        <v>24</v>
      </c>
    </row>
    <row r="375" spans="1:16" x14ac:dyDescent="0.3">
      <c r="A375" t="s">
        <v>447</v>
      </c>
      <c r="B375" s="1">
        <v>44827</v>
      </c>
      <c r="C375" t="s">
        <v>46</v>
      </c>
      <c r="D375" t="s">
        <v>55</v>
      </c>
      <c r="E375" t="s">
        <v>52</v>
      </c>
      <c r="F375" t="s">
        <v>33</v>
      </c>
      <c r="G375" t="s">
        <v>43</v>
      </c>
      <c r="H375">
        <v>31</v>
      </c>
      <c r="I375">
        <v>4000</v>
      </c>
      <c r="J375">
        <v>20</v>
      </c>
      <c r="K375">
        <v>99200</v>
      </c>
      <c r="L375">
        <v>49600</v>
      </c>
      <c r="M375">
        <v>49600</v>
      </c>
      <c r="N375" t="s">
        <v>22</v>
      </c>
      <c r="O375" t="s">
        <v>23</v>
      </c>
      <c r="P375" t="s">
        <v>40</v>
      </c>
    </row>
    <row r="376" spans="1:16" x14ac:dyDescent="0.3">
      <c r="A376" t="s">
        <v>448</v>
      </c>
      <c r="B376" s="1">
        <v>45606</v>
      </c>
      <c r="C376" t="s">
        <v>58</v>
      </c>
      <c r="D376" t="s">
        <v>84</v>
      </c>
      <c r="E376" t="s">
        <v>111</v>
      </c>
      <c r="F376" t="s">
        <v>28</v>
      </c>
      <c r="G376" t="s">
        <v>95</v>
      </c>
      <c r="H376">
        <v>25</v>
      </c>
      <c r="I376">
        <v>75000</v>
      </c>
      <c r="J376">
        <v>5</v>
      </c>
      <c r="K376">
        <v>1781250</v>
      </c>
      <c r="L376">
        <v>979687.5</v>
      </c>
      <c r="M376">
        <v>801562.5</v>
      </c>
      <c r="N376" t="s">
        <v>22</v>
      </c>
      <c r="O376" t="s">
        <v>35</v>
      </c>
      <c r="P376" t="s">
        <v>24</v>
      </c>
    </row>
    <row r="377" spans="1:16" x14ac:dyDescent="0.3">
      <c r="A377" t="s">
        <v>449</v>
      </c>
      <c r="B377" s="1">
        <v>44935</v>
      </c>
      <c r="C377" t="s">
        <v>46</v>
      </c>
      <c r="D377" t="s">
        <v>55</v>
      </c>
      <c r="E377" t="s">
        <v>73</v>
      </c>
      <c r="F377" t="s">
        <v>20</v>
      </c>
      <c r="G377" t="s">
        <v>21</v>
      </c>
      <c r="H377">
        <v>45</v>
      </c>
      <c r="I377">
        <v>3500</v>
      </c>
      <c r="J377">
        <v>10</v>
      </c>
      <c r="K377">
        <v>141750</v>
      </c>
      <c r="L377">
        <v>56700</v>
      </c>
      <c r="M377">
        <v>85050</v>
      </c>
      <c r="N377" t="s">
        <v>22</v>
      </c>
      <c r="O377" t="s">
        <v>35</v>
      </c>
      <c r="P377" t="s">
        <v>24</v>
      </c>
    </row>
    <row r="378" spans="1:16" x14ac:dyDescent="0.3">
      <c r="A378" t="s">
        <v>450</v>
      </c>
      <c r="B378" s="1">
        <v>45257</v>
      </c>
      <c r="C378" t="s">
        <v>58</v>
      </c>
      <c r="D378" t="s">
        <v>84</v>
      </c>
      <c r="E378" t="s">
        <v>38</v>
      </c>
      <c r="F378" t="s">
        <v>20</v>
      </c>
      <c r="G378" t="s">
        <v>53</v>
      </c>
      <c r="H378">
        <v>25</v>
      </c>
      <c r="I378">
        <v>600</v>
      </c>
      <c r="J378">
        <v>5</v>
      </c>
      <c r="K378">
        <v>14250</v>
      </c>
      <c r="L378">
        <v>5700</v>
      </c>
      <c r="M378">
        <v>8550</v>
      </c>
      <c r="N378" t="s">
        <v>22</v>
      </c>
      <c r="O378" t="s">
        <v>50</v>
      </c>
      <c r="P378" t="s">
        <v>40</v>
      </c>
    </row>
    <row r="379" spans="1:16" x14ac:dyDescent="0.3">
      <c r="A379" t="s">
        <v>451</v>
      </c>
      <c r="B379" s="1">
        <v>44664</v>
      </c>
      <c r="C379" t="s">
        <v>58</v>
      </c>
      <c r="D379" t="s">
        <v>59</v>
      </c>
      <c r="E379" t="s">
        <v>70</v>
      </c>
      <c r="F379" t="s">
        <v>28</v>
      </c>
      <c r="G379" t="s">
        <v>95</v>
      </c>
      <c r="H379">
        <v>48</v>
      </c>
      <c r="I379">
        <v>75000</v>
      </c>
      <c r="J379">
        <v>10</v>
      </c>
      <c r="K379">
        <v>3240000</v>
      </c>
      <c r="L379">
        <v>1782000</v>
      </c>
      <c r="M379">
        <v>1458000</v>
      </c>
      <c r="N379" t="s">
        <v>22</v>
      </c>
      <c r="O379" t="s">
        <v>23</v>
      </c>
      <c r="P379" t="s">
        <v>24</v>
      </c>
    </row>
    <row r="380" spans="1:16" x14ac:dyDescent="0.3">
      <c r="A380" t="s">
        <v>452</v>
      </c>
      <c r="B380" s="1">
        <v>45006</v>
      </c>
      <c r="C380" t="s">
        <v>17</v>
      </c>
      <c r="D380" t="s">
        <v>42</v>
      </c>
      <c r="E380" t="s">
        <v>111</v>
      </c>
      <c r="F380" t="s">
        <v>20</v>
      </c>
      <c r="G380" t="s">
        <v>74</v>
      </c>
      <c r="H380">
        <v>19</v>
      </c>
      <c r="I380">
        <v>4200</v>
      </c>
      <c r="J380">
        <v>15</v>
      </c>
      <c r="K380">
        <v>67830</v>
      </c>
      <c r="L380">
        <v>27132</v>
      </c>
      <c r="M380">
        <v>40698</v>
      </c>
      <c r="N380" t="s">
        <v>22</v>
      </c>
      <c r="O380" t="s">
        <v>35</v>
      </c>
      <c r="P380" t="s">
        <v>24</v>
      </c>
    </row>
    <row r="381" spans="1:16" x14ac:dyDescent="0.3">
      <c r="A381" t="s">
        <v>453</v>
      </c>
      <c r="B381" s="1">
        <v>44901</v>
      </c>
      <c r="C381" t="s">
        <v>26</v>
      </c>
      <c r="D381" t="s">
        <v>69</v>
      </c>
      <c r="E381" t="s">
        <v>56</v>
      </c>
      <c r="F381" t="s">
        <v>65</v>
      </c>
      <c r="G381" t="s">
        <v>124</v>
      </c>
      <c r="H381">
        <v>36</v>
      </c>
      <c r="I381">
        <v>18000</v>
      </c>
      <c r="J381">
        <v>10</v>
      </c>
      <c r="K381">
        <v>583200</v>
      </c>
      <c r="L381">
        <v>262440</v>
      </c>
      <c r="M381">
        <v>320760</v>
      </c>
      <c r="N381" t="s">
        <v>30</v>
      </c>
      <c r="O381" t="s">
        <v>67</v>
      </c>
      <c r="P381" t="s">
        <v>24</v>
      </c>
    </row>
    <row r="382" spans="1:16" x14ac:dyDescent="0.3">
      <c r="A382" t="s">
        <v>454</v>
      </c>
      <c r="B382" s="1">
        <v>45047</v>
      </c>
      <c r="C382" t="s">
        <v>17</v>
      </c>
      <c r="D382" t="s">
        <v>37</v>
      </c>
      <c r="E382" t="s">
        <v>78</v>
      </c>
      <c r="F382" t="s">
        <v>28</v>
      </c>
      <c r="G382" t="s">
        <v>87</v>
      </c>
      <c r="H382">
        <v>21</v>
      </c>
      <c r="I382">
        <v>45000</v>
      </c>
      <c r="J382">
        <v>20</v>
      </c>
      <c r="K382">
        <v>756000</v>
      </c>
      <c r="L382">
        <v>415800</v>
      </c>
      <c r="M382">
        <v>340200</v>
      </c>
      <c r="N382" t="s">
        <v>22</v>
      </c>
      <c r="O382" t="s">
        <v>67</v>
      </c>
      <c r="P382" t="s">
        <v>24</v>
      </c>
    </row>
    <row r="383" spans="1:16" x14ac:dyDescent="0.3">
      <c r="A383" t="s">
        <v>455</v>
      </c>
      <c r="B383" s="1">
        <v>45154</v>
      </c>
      <c r="C383" t="s">
        <v>17</v>
      </c>
      <c r="D383" t="s">
        <v>18</v>
      </c>
      <c r="E383" t="s">
        <v>70</v>
      </c>
      <c r="F383" t="s">
        <v>20</v>
      </c>
      <c r="G383" t="s">
        <v>74</v>
      </c>
      <c r="H383">
        <v>34</v>
      </c>
      <c r="I383">
        <v>4200</v>
      </c>
      <c r="J383">
        <v>0</v>
      </c>
      <c r="K383">
        <v>142800</v>
      </c>
      <c r="L383">
        <v>57120</v>
      </c>
      <c r="M383">
        <v>85680</v>
      </c>
      <c r="N383" t="s">
        <v>30</v>
      </c>
      <c r="O383" t="s">
        <v>23</v>
      </c>
      <c r="P383" t="s">
        <v>40</v>
      </c>
    </row>
    <row r="384" spans="1:16" x14ac:dyDescent="0.3">
      <c r="A384" t="s">
        <v>456</v>
      </c>
      <c r="B384" s="1">
        <v>45614</v>
      </c>
      <c r="C384" t="s">
        <v>58</v>
      </c>
      <c r="D384" t="s">
        <v>84</v>
      </c>
      <c r="E384" t="s">
        <v>70</v>
      </c>
      <c r="F384" t="s">
        <v>20</v>
      </c>
      <c r="G384" t="s">
        <v>74</v>
      </c>
      <c r="H384">
        <v>43</v>
      </c>
      <c r="I384">
        <v>4200</v>
      </c>
      <c r="J384">
        <v>10</v>
      </c>
      <c r="K384">
        <v>162540</v>
      </c>
      <c r="L384">
        <v>65016</v>
      </c>
      <c r="M384">
        <v>97524</v>
      </c>
      <c r="N384" t="s">
        <v>49</v>
      </c>
      <c r="O384" t="s">
        <v>50</v>
      </c>
      <c r="P384" t="s">
        <v>24</v>
      </c>
    </row>
    <row r="385" spans="1:16" x14ac:dyDescent="0.3">
      <c r="A385" t="s">
        <v>457</v>
      </c>
      <c r="B385" s="1">
        <v>44982</v>
      </c>
      <c r="C385" t="s">
        <v>58</v>
      </c>
      <c r="D385" t="s">
        <v>64</v>
      </c>
      <c r="E385" t="s">
        <v>56</v>
      </c>
      <c r="F385" t="s">
        <v>28</v>
      </c>
      <c r="G385" t="s">
        <v>71</v>
      </c>
      <c r="H385">
        <v>29</v>
      </c>
      <c r="I385">
        <v>35000</v>
      </c>
      <c r="J385">
        <v>5</v>
      </c>
      <c r="K385">
        <v>964250</v>
      </c>
      <c r="L385">
        <v>530337.5</v>
      </c>
      <c r="M385">
        <v>433912.5</v>
      </c>
      <c r="N385" t="s">
        <v>22</v>
      </c>
      <c r="O385" t="s">
        <v>44</v>
      </c>
      <c r="P385" t="s">
        <v>40</v>
      </c>
    </row>
    <row r="386" spans="1:16" x14ac:dyDescent="0.3">
      <c r="A386" t="s">
        <v>458</v>
      </c>
      <c r="B386" s="1">
        <v>44642</v>
      </c>
      <c r="C386" t="s">
        <v>17</v>
      </c>
      <c r="D386" t="s">
        <v>37</v>
      </c>
      <c r="E386" t="s">
        <v>52</v>
      </c>
      <c r="F386" t="s">
        <v>65</v>
      </c>
      <c r="G386" t="s">
        <v>124</v>
      </c>
      <c r="H386">
        <v>35</v>
      </c>
      <c r="I386">
        <v>18000</v>
      </c>
      <c r="J386">
        <v>10</v>
      </c>
      <c r="K386">
        <v>567000</v>
      </c>
      <c r="L386">
        <v>255150</v>
      </c>
      <c r="M386">
        <v>311850</v>
      </c>
      <c r="N386" t="s">
        <v>22</v>
      </c>
      <c r="O386" t="s">
        <v>50</v>
      </c>
      <c r="P386" t="s">
        <v>24</v>
      </c>
    </row>
    <row r="387" spans="1:16" x14ac:dyDescent="0.3">
      <c r="A387" t="s">
        <v>459</v>
      </c>
      <c r="B387" s="1">
        <v>45561</v>
      </c>
      <c r="C387" t="s">
        <v>58</v>
      </c>
      <c r="D387" t="s">
        <v>59</v>
      </c>
      <c r="E387" t="s">
        <v>56</v>
      </c>
      <c r="F387" t="s">
        <v>33</v>
      </c>
      <c r="G387" t="s">
        <v>76</v>
      </c>
      <c r="H387">
        <v>21</v>
      </c>
      <c r="I387">
        <v>8500</v>
      </c>
      <c r="J387">
        <v>20</v>
      </c>
      <c r="K387">
        <v>142800</v>
      </c>
      <c r="L387">
        <v>71400</v>
      </c>
      <c r="M387">
        <v>71400</v>
      </c>
      <c r="N387" t="s">
        <v>30</v>
      </c>
      <c r="O387" t="s">
        <v>44</v>
      </c>
      <c r="P387" t="s">
        <v>24</v>
      </c>
    </row>
    <row r="388" spans="1:16" x14ac:dyDescent="0.3">
      <c r="A388" t="s">
        <v>460</v>
      </c>
      <c r="B388" s="1">
        <v>45614</v>
      </c>
      <c r="C388" t="s">
        <v>26</v>
      </c>
      <c r="D388" t="s">
        <v>27</v>
      </c>
      <c r="E388" t="s">
        <v>19</v>
      </c>
      <c r="F388" t="s">
        <v>20</v>
      </c>
      <c r="G388" t="s">
        <v>115</v>
      </c>
      <c r="H388">
        <v>7</v>
      </c>
      <c r="I388">
        <v>2500</v>
      </c>
      <c r="J388">
        <v>5</v>
      </c>
      <c r="K388">
        <v>16625</v>
      </c>
      <c r="L388">
        <v>6650</v>
      </c>
      <c r="M388">
        <v>9975</v>
      </c>
      <c r="N388" t="s">
        <v>22</v>
      </c>
      <c r="O388" t="s">
        <v>23</v>
      </c>
      <c r="P388" t="s">
        <v>40</v>
      </c>
    </row>
    <row r="389" spans="1:16" x14ac:dyDescent="0.3">
      <c r="A389" t="s">
        <v>461</v>
      </c>
      <c r="B389" s="1">
        <v>44705</v>
      </c>
      <c r="C389" t="s">
        <v>46</v>
      </c>
      <c r="D389" t="s">
        <v>47</v>
      </c>
      <c r="E389" t="s">
        <v>60</v>
      </c>
      <c r="F389" t="s">
        <v>33</v>
      </c>
      <c r="G389" t="s">
        <v>39</v>
      </c>
      <c r="H389">
        <v>6</v>
      </c>
      <c r="I389">
        <v>5000</v>
      </c>
      <c r="J389">
        <v>0</v>
      </c>
      <c r="K389">
        <v>30000</v>
      </c>
      <c r="L389">
        <v>15000</v>
      </c>
      <c r="M389">
        <v>15000</v>
      </c>
      <c r="N389" t="s">
        <v>30</v>
      </c>
      <c r="O389" t="s">
        <v>50</v>
      </c>
      <c r="P389" t="s">
        <v>24</v>
      </c>
    </row>
    <row r="390" spans="1:16" x14ac:dyDescent="0.3">
      <c r="A390" t="s">
        <v>462</v>
      </c>
      <c r="B390" s="1">
        <v>45629</v>
      </c>
      <c r="C390" t="s">
        <v>46</v>
      </c>
      <c r="D390" t="s">
        <v>55</v>
      </c>
      <c r="E390" t="s">
        <v>32</v>
      </c>
      <c r="F390" t="s">
        <v>65</v>
      </c>
      <c r="G390" t="s">
        <v>66</v>
      </c>
      <c r="H390">
        <v>41</v>
      </c>
      <c r="I390">
        <v>5500</v>
      </c>
      <c r="J390">
        <v>15</v>
      </c>
      <c r="K390">
        <v>191675</v>
      </c>
      <c r="L390">
        <v>86253.75</v>
      </c>
      <c r="M390">
        <v>105421.25</v>
      </c>
      <c r="N390" t="s">
        <v>49</v>
      </c>
      <c r="O390" t="s">
        <v>35</v>
      </c>
      <c r="P390" t="s">
        <v>24</v>
      </c>
    </row>
    <row r="391" spans="1:16" x14ac:dyDescent="0.3">
      <c r="A391" t="s">
        <v>463</v>
      </c>
      <c r="B391" s="1">
        <v>45313</v>
      </c>
      <c r="C391" t="s">
        <v>26</v>
      </c>
      <c r="D391" t="s">
        <v>27</v>
      </c>
      <c r="E391" t="s">
        <v>38</v>
      </c>
      <c r="F391" t="s">
        <v>28</v>
      </c>
      <c r="G391" t="s">
        <v>29</v>
      </c>
      <c r="H391">
        <v>3</v>
      </c>
      <c r="I391">
        <v>15000</v>
      </c>
      <c r="J391">
        <v>0</v>
      </c>
      <c r="K391">
        <v>45000</v>
      </c>
      <c r="L391">
        <v>24750</v>
      </c>
      <c r="M391">
        <v>20250</v>
      </c>
      <c r="N391" t="s">
        <v>22</v>
      </c>
      <c r="O391" t="s">
        <v>35</v>
      </c>
      <c r="P391" t="s">
        <v>24</v>
      </c>
    </row>
    <row r="392" spans="1:16" x14ac:dyDescent="0.3">
      <c r="A392" t="s">
        <v>464</v>
      </c>
      <c r="B392" s="1">
        <v>45133</v>
      </c>
      <c r="C392" t="s">
        <v>17</v>
      </c>
      <c r="D392" t="s">
        <v>42</v>
      </c>
      <c r="E392" t="s">
        <v>52</v>
      </c>
      <c r="F392" t="s">
        <v>33</v>
      </c>
      <c r="G392" t="s">
        <v>48</v>
      </c>
      <c r="H392">
        <v>25</v>
      </c>
      <c r="I392">
        <v>1500</v>
      </c>
      <c r="J392">
        <v>15</v>
      </c>
      <c r="K392">
        <v>31875</v>
      </c>
      <c r="L392">
        <v>15937.5</v>
      </c>
      <c r="M392">
        <v>15937.5</v>
      </c>
      <c r="N392" t="s">
        <v>49</v>
      </c>
      <c r="O392" t="s">
        <v>44</v>
      </c>
      <c r="P392" t="s">
        <v>24</v>
      </c>
    </row>
    <row r="393" spans="1:16" x14ac:dyDescent="0.3">
      <c r="A393" t="s">
        <v>465</v>
      </c>
      <c r="B393" s="1">
        <v>45604</v>
      </c>
      <c r="C393" t="s">
        <v>46</v>
      </c>
      <c r="D393" t="s">
        <v>55</v>
      </c>
      <c r="E393" t="s">
        <v>111</v>
      </c>
      <c r="F393" t="s">
        <v>33</v>
      </c>
      <c r="G393" t="s">
        <v>76</v>
      </c>
      <c r="H393">
        <v>20</v>
      </c>
      <c r="I393">
        <v>8500</v>
      </c>
      <c r="J393">
        <v>10</v>
      </c>
      <c r="K393">
        <v>153000</v>
      </c>
      <c r="L393">
        <v>76500</v>
      </c>
      <c r="M393">
        <v>76500</v>
      </c>
      <c r="N393" t="s">
        <v>22</v>
      </c>
      <c r="O393" t="s">
        <v>67</v>
      </c>
      <c r="P393" t="s">
        <v>24</v>
      </c>
    </row>
    <row r="394" spans="1:16" x14ac:dyDescent="0.3">
      <c r="A394" t="s">
        <v>466</v>
      </c>
      <c r="B394" s="1">
        <v>44838</v>
      </c>
      <c r="C394" t="s">
        <v>26</v>
      </c>
      <c r="D394" t="s">
        <v>27</v>
      </c>
      <c r="E394" t="s">
        <v>38</v>
      </c>
      <c r="F394" t="s">
        <v>65</v>
      </c>
      <c r="G394" t="s">
        <v>79</v>
      </c>
      <c r="H394">
        <v>36</v>
      </c>
      <c r="I394">
        <v>900</v>
      </c>
      <c r="J394">
        <v>0</v>
      </c>
      <c r="K394">
        <v>32400</v>
      </c>
      <c r="L394">
        <v>14580</v>
      </c>
      <c r="M394">
        <v>17820</v>
      </c>
      <c r="N394" t="s">
        <v>30</v>
      </c>
      <c r="O394" t="s">
        <v>50</v>
      </c>
      <c r="P394" t="s">
        <v>24</v>
      </c>
    </row>
    <row r="395" spans="1:16" x14ac:dyDescent="0.3">
      <c r="A395" t="s">
        <v>467</v>
      </c>
      <c r="B395" s="1">
        <v>44971</v>
      </c>
      <c r="C395" t="s">
        <v>46</v>
      </c>
      <c r="D395" t="s">
        <v>47</v>
      </c>
      <c r="E395" t="s">
        <v>78</v>
      </c>
      <c r="F395" t="s">
        <v>20</v>
      </c>
      <c r="G395" t="s">
        <v>53</v>
      </c>
      <c r="H395">
        <v>17</v>
      </c>
      <c r="I395">
        <v>600</v>
      </c>
      <c r="J395">
        <v>5</v>
      </c>
      <c r="K395">
        <v>9690</v>
      </c>
      <c r="L395">
        <v>3876</v>
      </c>
      <c r="M395">
        <v>5814</v>
      </c>
      <c r="N395" t="s">
        <v>30</v>
      </c>
      <c r="O395" t="s">
        <v>67</v>
      </c>
      <c r="P395" t="s">
        <v>24</v>
      </c>
    </row>
    <row r="396" spans="1:16" x14ac:dyDescent="0.3">
      <c r="A396" t="s">
        <v>468</v>
      </c>
      <c r="B396" s="1">
        <v>44679</v>
      </c>
      <c r="C396" t="s">
        <v>58</v>
      </c>
      <c r="D396" t="s">
        <v>64</v>
      </c>
      <c r="E396" t="s">
        <v>111</v>
      </c>
      <c r="F396" t="s">
        <v>28</v>
      </c>
      <c r="G396" t="s">
        <v>71</v>
      </c>
      <c r="H396">
        <v>43</v>
      </c>
      <c r="I396">
        <v>35000</v>
      </c>
      <c r="J396">
        <v>0</v>
      </c>
      <c r="K396">
        <v>1505000</v>
      </c>
      <c r="L396">
        <v>827750</v>
      </c>
      <c r="M396">
        <v>677250</v>
      </c>
      <c r="N396" t="s">
        <v>30</v>
      </c>
      <c r="O396" t="s">
        <v>44</v>
      </c>
      <c r="P396" t="s">
        <v>24</v>
      </c>
    </row>
    <row r="397" spans="1:16" x14ac:dyDescent="0.3">
      <c r="A397" t="s">
        <v>469</v>
      </c>
      <c r="B397" s="1">
        <v>45515</v>
      </c>
      <c r="C397" t="s">
        <v>17</v>
      </c>
      <c r="D397" t="s">
        <v>18</v>
      </c>
      <c r="E397" t="s">
        <v>19</v>
      </c>
      <c r="F397" t="s">
        <v>28</v>
      </c>
      <c r="G397" t="s">
        <v>71</v>
      </c>
      <c r="H397">
        <v>40</v>
      </c>
      <c r="I397">
        <v>35000</v>
      </c>
      <c r="J397">
        <v>0</v>
      </c>
      <c r="K397">
        <v>1400000</v>
      </c>
      <c r="L397">
        <v>770000</v>
      </c>
      <c r="M397">
        <v>630000</v>
      </c>
      <c r="N397" t="s">
        <v>49</v>
      </c>
      <c r="O397" t="s">
        <v>23</v>
      </c>
      <c r="P397" t="s">
        <v>24</v>
      </c>
    </row>
    <row r="398" spans="1:16" x14ac:dyDescent="0.3">
      <c r="A398" t="s">
        <v>470</v>
      </c>
      <c r="B398" s="1">
        <v>45423</v>
      </c>
      <c r="C398" t="s">
        <v>17</v>
      </c>
      <c r="D398" t="s">
        <v>42</v>
      </c>
      <c r="E398" t="s">
        <v>38</v>
      </c>
      <c r="F398" t="s">
        <v>20</v>
      </c>
      <c r="G398" t="s">
        <v>53</v>
      </c>
      <c r="H398">
        <v>37</v>
      </c>
      <c r="I398">
        <v>600</v>
      </c>
      <c r="J398">
        <v>10</v>
      </c>
      <c r="K398">
        <v>19980</v>
      </c>
      <c r="L398">
        <v>7992</v>
      </c>
      <c r="M398">
        <v>11988</v>
      </c>
      <c r="N398" t="s">
        <v>49</v>
      </c>
      <c r="O398" t="s">
        <v>44</v>
      </c>
      <c r="P398" t="s">
        <v>24</v>
      </c>
    </row>
    <row r="399" spans="1:16" x14ac:dyDescent="0.3">
      <c r="A399" t="s">
        <v>471</v>
      </c>
      <c r="B399" s="1">
        <v>44572</v>
      </c>
      <c r="C399" t="s">
        <v>46</v>
      </c>
      <c r="D399" t="s">
        <v>47</v>
      </c>
      <c r="E399" t="s">
        <v>32</v>
      </c>
      <c r="F399" t="s">
        <v>33</v>
      </c>
      <c r="G399" t="s">
        <v>34</v>
      </c>
      <c r="H399">
        <v>9</v>
      </c>
      <c r="I399">
        <v>25000</v>
      </c>
      <c r="J399">
        <v>10</v>
      </c>
      <c r="K399">
        <v>202500</v>
      </c>
      <c r="L399">
        <v>101250</v>
      </c>
      <c r="M399">
        <v>101250</v>
      </c>
      <c r="N399" t="s">
        <v>49</v>
      </c>
      <c r="O399" t="s">
        <v>23</v>
      </c>
      <c r="P399" t="s">
        <v>24</v>
      </c>
    </row>
    <row r="400" spans="1:16" x14ac:dyDescent="0.3">
      <c r="A400" t="s">
        <v>472</v>
      </c>
      <c r="B400" s="1">
        <v>45255</v>
      </c>
      <c r="C400" t="s">
        <v>17</v>
      </c>
      <c r="D400" t="s">
        <v>37</v>
      </c>
      <c r="E400" t="s">
        <v>111</v>
      </c>
      <c r="F400" t="s">
        <v>28</v>
      </c>
      <c r="G400" t="s">
        <v>87</v>
      </c>
      <c r="H400">
        <v>42</v>
      </c>
      <c r="I400">
        <v>45000</v>
      </c>
      <c r="J400">
        <v>20</v>
      </c>
      <c r="K400">
        <v>1512000</v>
      </c>
      <c r="L400">
        <v>831600</v>
      </c>
      <c r="M400">
        <v>680400</v>
      </c>
      <c r="N400" t="s">
        <v>49</v>
      </c>
      <c r="O400" t="s">
        <v>44</v>
      </c>
      <c r="P400" t="s">
        <v>24</v>
      </c>
    </row>
    <row r="401" spans="1:16" x14ac:dyDescent="0.3">
      <c r="A401" t="s">
        <v>473</v>
      </c>
      <c r="B401" s="1">
        <v>45603</v>
      </c>
      <c r="C401" t="s">
        <v>17</v>
      </c>
      <c r="D401" t="s">
        <v>42</v>
      </c>
      <c r="E401" t="s">
        <v>52</v>
      </c>
      <c r="F401" t="s">
        <v>28</v>
      </c>
      <c r="G401" t="s">
        <v>95</v>
      </c>
      <c r="H401">
        <v>33</v>
      </c>
      <c r="I401">
        <v>75000</v>
      </c>
      <c r="J401">
        <v>0</v>
      </c>
      <c r="K401">
        <v>2475000</v>
      </c>
      <c r="L401">
        <v>1361250</v>
      </c>
      <c r="M401">
        <v>1113750</v>
      </c>
      <c r="N401" t="s">
        <v>22</v>
      </c>
      <c r="O401" t="s">
        <v>23</v>
      </c>
      <c r="P401" t="s">
        <v>40</v>
      </c>
    </row>
    <row r="402" spans="1:16" x14ac:dyDescent="0.3">
      <c r="A402" t="s">
        <v>474</v>
      </c>
      <c r="B402" s="1">
        <v>44959</v>
      </c>
      <c r="C402" t="s">
        <v>17</v>
      </c>
      <c r="D402" t="s">
        <v>42</v>
      </c>
      <c r="E402" t="s">
        <v>111</v>
      </c>
      <c r="F402" t="s">
        <v>65</v>
      </c>
      <c r="G402" t="s">
        <v>104</v>
      </c>
      <c r="H402">
        <v>24</v>
      </c>
      <c r="I402">
        <v>3000</v>
      </c>
      <c r="J402">
        <v>15</v>
      </c>
      <c r="K402">
        <v>61200</v>
      </c>
      <c r="L402">
        <v>27540</v>
      </c>
      <c r="M402">
        <v>33660</v>
      </c>
      <c r="N402" t="s">
        <v>22</v>
      </c>
      <c r="O402" t="s">
        <v>50</v>
      </c>
      <c r="P402" t="s">
        <v>24</v>
      </c>
    </row>
    <row r="403" spans="1:16" x14ac:dyDescent="0.3">
      <c r="A403" t="s">
        <v>475</v>
      </c>
      <c r="B403" s="1">
        <v>44819</v>
      </c>
      <c r="C403" t="s">
        <v>26</v>
      </c>
      <c r="D403" t="s">
        <v>69</v>
      </c>
      <c r="E403" t="s">
        <v>70</v>
      </c>
      <c r="F403" t="s">
        <v>28</v>
      </c>
      <c r="G403" t="s">
        <v>87</v>
      </c>
      <c r="H403">
        <v>40</v>
      </c>
      <c r="I403">
        <v>45000</v>
      </c>
      <c r="J403">
        <v>5</v>
      </c>
      <c r="K403">
        <v>1710000</v>
      </c>
      <c r="L403">
        <v>940500</v>
      </c>
      <c r="M403">
        <v>769500</v>
      </c>
      <c r="N403" t="s">
        <v>30</v>
      </c>
      <c r="O403" t="s">
        <v>23</v>
      </c>
      <c r="P403" t="s">
        <v>40</v>
      </c>
    </row>
    <row r="404" spans="1:16" x14ac:dyDescent="0.3">
      <c r="A404" t="s">
        <v>476</v>
      </c>
      <c r="B404" s="1">
        <v>44871</v>
      </c>
      <c r="C404" t="s">
        <v>46</v>
      </c>
      <c r="D404" t="s">
        <v>55</v>
      </c>
      <c r="E404" t="s">
        <v>70</v>
      </c>
      <c r="F404" t="s">
        <v>28</v>
      </c>
      <c r="G404" t="s">
        <v>87</v>
      </c>
      <c r="H404">
        <v>49</v>
      </c>
      <c r="I404">
        <v>45000</v>
      </c>
      <c r="J404">
        <v>15</v>
      </c>
      <c r="K404">
        <v>1874250</v>
      </c>
      <c r="L404">
        <v>1030837.5</v>
      </c>
      <c r="M404">
        <v>843412.5</v>
      </c>
      <c r="N404" t="s">
        <v>30</v>
      </c>
      <c r="O404" t="s">
        <v>50</v>
      </c>
      <c r="P404" t="s">
        <v>24</v>
      </c>
    </row>
    <row r="405" spans="1:16" x14ac:dyDescent="0.3">
      <c r="A405" t="s">
        <v>477</v>
      </c>
      <c r="B405" s="1">
        <v>45268</v>
      </c>
      <c r="C405" t="s">
        <v>26</v>
      </c>
      <c r="D405" t="s">
        <v>27</v>
      </c>
      <c r="E405" t="s">
        <v>111</v>
      </c>
      <c r="F405" t="s">
        <v>33</v>
      </c>
      <c r="G405" t="s">
        <v>48</v>
      </c>
      <c r="H405">
        <v>31</v>
      </c>
      <c r="I405">
        <v>1500</v>
      </c>
      <c r="J405">
        <v>15</v>
      </c>
      <c r="K405">
        <v>39525</v>
      </c>
      <c r="L405">
        <v>19762.5</v>
      </c>
      <c r="M405">
        <v>19762.5</v>
      </c>
      <c r="N405" t="s">
        <v>30</v>
      </c>
      <c r="O405" t="s">
        <v>50</v>
      </c>
      <c r="P405" t="s">
        <v>24</v>
      </c>
    </row>
    <row r="406" spans="1:16" x14ac:dyDescent="0.3">
      <c r="A406" t="s">
        <v>478</v>
      </c>
      <c r="B406" s="1">
        <v>44765</v>
      </c>
      <c r="C406" t="s">
        <v>17</v>
      </c>
      <c r="D406" t="s">
        <v>42</v>
      </c>
      <c r="E406" t="s">
        <v>73</v>
      </c>
      <c r="F406" t="s">
        <v>20</v>
      </c>
      <c r="G406" t="s">
        <v>115</v>
      </c>
      <c r="H406">
        <v>42</v>
      </c>
      <c r="I406">
        <v>2500</v>
      </c>
      <c r="J406">
        <v>15</v>
      </c>
      <c r="K406">
        <v>89250</v>
      </c>
      <c r="L406">
        <v>35700</v>
      </c>
      <c r="M406">
        <v>53550</v>
      </c>
      <c r="N406" t="s">
        <v>22</v>
      </c>
      <c r="O406" t="s">
        <v>35</v>
      </c>
      <c r="P406" t="s">
        <v>24</v>
      </c>
    </row>
    <row r="407" spans="1:16" x14ac:dyDescent="0.3">
      <c r="A407" t="s">
        <v>479</v>
      </c>
      <c r="B407" s="1">
        <v>45574</v>
      </c>
      <c r="C407" t="s">
        <v>58</v>
      </c>
      <c r="D407" t="s">
        <v>84</v>
      </c>
      <c r="E407" t="s">
        <v>111</v>
      </c>
      <c r="F407" t="s">
        <v>65</v>
      </c>
      <c r="G407" t="s">
        <v>124</v>
      </c>
      <c r="H407">
        <v>23</v>
      </c>
      <c r="I407">
        <v>18000</v>
      </c>
      <c r="J407">
        <v>15</v>
      </c>
      <c r="K407">
        <v>351900</v>
      </c>
      <c r="L407">
        <v>158355</v>
      </c>
      <c r="M407">
        <v>193545</v>
      </c>
      <c r="N407" t="s">
        <v>22</v>
      </c>
      <c r="O407" t="s">
        <v>35</v>
      </c>
      <c r="P407" t="s">
        <v>24</v>
      </c>
    </row>
    <row r="408" spans="1:16" x14ac:dyDescent="0.3">
      <c r="A408" t="s">
        <v>480</v>
      </c>
      <c r="B408" s="1">
        <v>45540</v>
      </c>
      <c r="C408" t="s">
        <v>58</v>
      </c>
      <c r="D408" t="s">
        <v>84</v>
      </c>
      <c r="E408" t="s">
        <v>19</v>
      </c>
      <c r="F408" t="s">
        <v>28</v>
      </c>
      <c r="G408" t="s">
        <v>29</v>
      </c>
      <c r="H408">
        <v>42</v>
      </c>
      <c r="I408">
        <v>15000</v>
      </c>
      <c r="J408">
        <v>10</v>
      </c>
      <c r="K408">
        <v>567000</v>
      </c>
      <c r="L408">
        <v>311850</v>
      </c>
      <c r="M408">
        <v>255150</v>
      </c>
      <c r="N408" t="s">
        <v>30</v>
      </c>
      <c r="O408" t="s">
        <v>44</v>
      </c>
      <c r="P408" t="s">
        <v>24</v>
      </c>
    </row>
    <row r="409" spans="1:16" x14ac:dyDescent="0.3">
      <c r="A409" t="s">
        <v>481</v>
      </c>
      <c r="B409" s="1">
        <v>44877</v>
      </c>
      <c r="C409" t="s">
        <v>26</v>
      </c>
      <c r="D409" t="s">
        <v>27</v>
      </c>
      <c r="E409" t="s">
        <v>32</v>
      </c>
      <c r="F409" t="s">
        <v>33</v>
      </c>
      <c r="G409" t="s">
        <v>39</v>
      </c>
      <c r="H409">
        <v>31</v>
      </c>
      <c r="I409">
        <v>5000</v>
      </c>
      <c r="J409">
        <v>15</v>
      </c>
      <c r="K409">
        <v>131750</v>
      </c>
      <c r="L409">
        <v>65875</v>
      </c>
      <c r="M409">
        <v>65875</v>
      </c>
      <c r="N409" t="s">
        <v>30</v>
      </c>
      <c r="O409" t="s">
        <v>67</v>
      </c>
      <c r="P409" t="s">
        <v>24</v>
      </c>
    </row>
    <row r="410" spans="1:16" x14ac:dyDescent="0.3">
      <c r="A410" t="s">
        <v>482</v>
      </c>
      <c r="B410" s="1">
        <v>44886</v>
      </c>
      <c r="C410" t="s">
        <v>58</v>
      </c>
      <c r="D410" t="s">
        <v>84</v>
      </c>
      <c r="E410" t="s">
        <v>19</v>
      </c>
      <c r="F410" t="s">
        <v>28</v>
      </c>
      <c r="G410" t="s">
        <v>87</v>
      </c>
      <c r="H410">
        <v>37</v>
      </c>
      <c r="I410">
        <v>45000</v>
      </c>
      <c r="J410">
        <v>20</v>
      </c>
      <c r="K410">
        <v>1332000</v>
      </c>
      <c r="L410">
        <v>732600</v>
      </c>
      <c r="M410">
        <v>599400</v>
      </c>
      <c r="N410" t="s">
        <v>30</v>
      </c>
      <c r="O410" t="s">
        <v>67</v>
      </c>
      <c r="P410" t="s">
        <v>24</v>
      </c>
    </row>
    <row r="411" spans="1:16" x14ac:dyDescent="0.3">
      <c r="A411" t="s">
        <v>483</v>
      </c>
      <c r="B411" s="1">
        <v>44639</v>
      </c>
      <c r="C411" t="s">
        <v>46</v>
      </c>
      <c r="D411" t="s">
        <v>47</v>
      </c>
      <c r="E411" t="s">
        <v>78</v>
      </c>
      <c r="F411" t="s">
        <v>33</v>
      </c>
      <c r="G411" t="s">
        <v>76</v>
      </c>
      <c r="H411">
        <v>34</v>
      </c>
      <c r="I411">
        <v>8500</v>
      </c>
      <c r="J411">
        <v>15</v>
      </c>
      <c r="K411">
        <v>245650</v>
      </c>
      <c r="L411">
        <v>122825</v>
      </c>
      <c r="M411">
        <v>122825</v>
      </c>
      <c r="N411" t="s">
        <v>22</v>
      </c>
      <c r="O411" t="s">
        <v>35</v>
      </c>
      <c r="P411" t="s">
        <v>40</v>
      </c>
    </row>
    <row r="412" spans="1:16" x14ac:dyDescent="0.3">
      <c r="A412" t="s">
        <v>484</v>
      </c>
      <c r="B412" s="1">
        <v>45110</v>
      </c>
      <c r="C412" t="s">
        <v>46</v>
      </c>
      <c r="D412" t="s">
        <v>55</v>
      </c>
      <c r="E412" t="s">
        <v>38</v>
      </c>
      <c r="F412" t="s">
        <v>65</v>
      </c>
      <c r="G412" t="s">
        <v>66</v>
      </c>
      <c r="H412">
        <v>11</v>
      </c>
      <c r="I412">
        <v>5500</v>
      </c>
      <c r="J412">
        <v>5</v>
      </c>
      <c r="K412">
        <v>57475</v>
      </c>
      <c r="L412">
        <v>25863.75</v>
      </c>
      <c r="M412">
        <v>31611.25</v>
      </c>
      <c r="N412" t="s">
        <v>22</v>
      </c>
      <c r="O412" t="s">
        <v>44</v>
      </c>
      <c r="P412" t="s">
        <v>24</v>
      </c>
    </row>
    <row r="413" spans="1:16" x14ac:dyDescent="0.3">
      <c r="A413" t="s">
        <v>485</v>
      </c>
      <c r="B413" s="1">
        <v>44915</v>
      </c>
      <c r="C413" t="s">
        <v>17</v>
      </c>
      <c r="D413" t="s">
        <v>18</v>
      </c>
      <c r="E413" t="s">
        <v>70</v>
      </c>
      <c r="F413" t="s">
        <v>65</v>
      </c>
      <c r="G413" t="s">
        <v>79</v>
      </c>
      <c r="H413">
        <v>38</v>
      </c>
      <c r="I413">
        <v>900</v>
      </c>
      <c r="J413">
        <v>0</v>
      </c>
      <c r="K413">
        <v>34200</v>
      </c>
      <c r="L413">
        <v>15390</v>
      </c>
      <c r="M413">
        <v>18810</v>
      </c>
      <c r="N413" t="s">
        <v>49</v>
      </c>
      <c r="O413" t="s">
        <v>23</v>
      </c>
      <c r="P413" t="s">
        <v>24</v>
      </c>
    </row>
    <row r="414" spans="1:16" x14ac:dyDescent="0.3">
      <c r="A414" t="s">
        <v>486</v>
      </c>
      <c r="B414" s="1">
        <v>44808</v>
      </c>
      <c r="C414" t="s">
        <v>26</v>
      </c>
      <c r="D414" t="s">
        <v>27</v>
      </c>
      <c r="E414" t="s">
        <v>111</v>
      </c>
      <c r="F414" t="s">
        <v>65</v>
      </c>
      <c r="G414" t="s">
        <v>104</v>
      </c>
      <c r="H414">
        <v>39</v>
      </c>
      <c r="I414">
        <v>3000</v>
      </c>
      <c r="J414">
        <v>0</v>
      </c>
      <c r="K414">
        <v>117000</v>
      </c>
      <c r="L414">
        <v>52650</v>
      </c>
      <c r="M414">
        <v>64350</v>
      </c>
      <c r="N414" t="s">
        <v>49</v>
      </c>
      <c r="O414" t="s">
        <v>67</v>
      </c>
      <c r="P414" t="s">
        <v>24</v>
      </c>
    </row>
    <row r="415" spans="1:16" x14ac:dyDescent="0.3">
      <c r="A415" t="s">
        <v>487</v>
      </c>
      <c r="B415" s="1">
        <v>44646</v>
      </c>
      <c r="C415" t="s">
        <v>26</v>
      </c>
      <c r="D415" t="s">
        <v>27</v>
      </c>
      <c r="E415" t="s">
        <v>60</v>
      </c>
      <c r="F415" t="s">
        <v>20</v>
      </c>
      <c r="G415" t="s">
        <v>53</v>
      </c>
      <c r="H415">
        <v>35</v>
      </c>
      <c r="I415">
        <v>600</v>
      </c>
      <c r="J415">
        <v>0</v>
      </c>
      <c r="K415">
        <v>21000</v>
      </c>
      <c r="L415">
        <v>8400</v>
      </c>
      <c r="M415">
        <v>12600</v>
      </c>
      <c r="N415" t="s">
        <v>22</v>
      </c>
      <c r="O415" t="s">
        <v>23</v>
      </c>
      <c r="P415" t="s">
        <v>24</v>
      </c>
    </row>
    <row r="416" spans="1:16" x14ac:dyDescent="0.3">
      <c r="A416" t="s">
        <v>488</v>
      </c>
      <c r="B416" s="1">
        <v>45288</v>
      </c>
      <c r="C416" t="s">
        <v>26</v>
      </c>
      <c r="D416" t="s">
        <v>69</v>
      </c>
      <c r="E416" t="s">
        <v>19</v>
      </c>
      <c r="F416" t="s">
        <v>65</v>
      </c>
      <c r="G416" t="s">
        <v>66</v>
      </c>
      <c r="H416">
        <v>23</v>
      </c>
      <c r="I416">
        <v>5500</v>
      </c>
      <c r="J416">
        <v>20</v>
      </c>
      <c r="K416">
        <v>101200</v>
      </c>
      <c r="L416">
        <v>45540</v>
      </c>
      <c r="M416">
        <v>55660</v>
      </c>
      <c r="N416" t="s">
        <v>30</v>
      </c>
      <c r="O416" t="s">
        <v>23</v>
      </c>
      <c r="P416" t="s">
        <v>40</v>
      </c>
    </row>
    <row r="417" spans="1:16" x14ac:dyDescent="0.3">
      <c r="A417" t="s">
        <v>489</v>
      </c>
      <c r="B417" s="1">
        <v>44813</v>
      </c>
      <c r="C417" t="s">
        <v>58</v>
      </c>
      <c r="D417" t="s">
        <v>84</v>
      </c>
      <c r="E417" t="s">
        <v>52</v>
      </c>
      <c r="F417" t="s">
        <v>33</v>
      </c>
      <c r="G417" t="s">
        <v>43</v>
      </c>
      <c r="H417">
        <v>35</v>
      </c>
      <c r="I417">
        <v>4000</v>
      </c>
      <c r="J417">
        <v>15</v>
      </c>
      <c r="K417">
        <v>119000</v>
      </c>
      <c r="L417">
        <v>59500</v>
      </c>
      <c r="M417">
        <v>59500</v>
      </c>
      <c r="N417" t="s">
        <v>30</v>
      </c>
      <c r="O417" t="s">
        <v>35</v>
      </c>
      <c r="P417" t="s">
        <v>24</v>
      </c>
    </row>
    <row r="418" spans="1:16" x14ac:dyDescent="0.3">
      <c r="A418" t="s">
        <v>490</v>
      </c>
      <c r="B418" s="1">
        <v>44580</v>
      </c>
      <c r="C418" t="s">
        <v>26</v>
      </c>
      <c r="D418" t="s">
        <v>27</v>
      </c>
      <c r="E418" t="s">
        <v>32</v>
      </c>
      <c r="F418" t="s">
        <v>20</v>
      </c>
      <c r="G418" t="s">
        <v>61</v>
      </c>
      <c r="H418">
        <v>27</v>
      </c>
      <c r="I418">
        <v>800</v>
      </c>
      <c r="J418">
        <v>10</v>
      </c>
      <c r="K418">
        <v>19440</v>
      </c>
      <c r="L418">
        <v>7776</v>
      </c>
      <c r="M418">
        <v>11664</v>
      </c>
      <c r="N418" t="s">
        <v>30</v>
      </c>
      <c r="O418" t="s">
        <v>23</v>
      </c>
      <c r="P418" t="s">
        <v>24</v>
      </c>
    </row>
    <row r="419" spans="1:16" x14ac:dyDescent="0.3">
      <c r="A419" t="s">
        <v>491</v>
      </c>
      <c r="B419" s="1">
        <v>45055</v>
      </c>
      <c r="C419" t="s">
        <v>58</v>
      </c>
      <c r="D419" t="s">
        <v>64</v>
      </c>
      <c r="E419" t="s">
        <v>70</v>
      </c>
      <c r="F419" t="s">
        <v>33</v>
      </c>
      <c r="G419" t="s">
        <v>48</v>
      </c>
      <c r="H419">
        <v>49</v>
      </c>
      <c r="I419">
        <v>1500</v>
      </c>
      <c r="J419">
        <v>5</v>
      </c>
      <c r="K419">
        <v>69825</v>
      </c>
      <c r="L419">
        <v>34912.5</v>
      </c>
      <c r="M419">
        <v>34912.5</v>
      </c>
      <c r="N419" t="s">
        <v>22</v>
      </c>
      <c r="O419" t="s">
        <v>67</v>
      </c>
      <c r="P419" t="s">
        <v>24</v>
      </c>
    </row>
    <row r="420" spans="1:16" x14ac:dyDescent="0.3">
      <c r="A420" t="s">
        <v>492</v>
      </c>
      <c r="B420" s="1">
        <v>45479</v>
      </c>
      <c r="C420" t="s">
        <v>17</v>
      </c>
      <c r="D420" t="s">
        <v>42</v>
      </c>
      <c r="E420" t="s">
        <v>111</v>
      </c>
      <c r="F420" t="s">
        <v>65</v>
      </c>
      <c r="G420" t="s">
        <v>124</v>
      </c>
      <c r="H420">
        <v>20</v>
      </c>
      <c r="I420">
        <v>18000</v>
      </c>
      <c r="J420">
        <v>20</v>
      </c>
      <c r="K420">
        <v>288000</v>
      </c>
      <c r="L420">
        <v>129600</v>
      </c>
      <c r="M420">
        <v>158400</v>
      </c>
      <c r="N420" t="s">
        <v>22</v>
      </c>
      <c r="O420" t="s">
        <v>23</v>
      </c>
      <c r="P420" t="s">
        <v>24</v>
      </c>
    </row>
    <row r="421" spans="1:16" x14ac:dyDescent="0.3">
      <c r="A421" t="s">
        <v>493</v>
      </c>
      <c r="B421" s="1">
        <v>44832</v>
      </c>
      <c r="C421" t="s">
        <v>26</v>
      </c>
      <c r="D421" t="s">
        <v>27</v>
      </c>
      <c r="E421" t="s">
        <v>60</v>
      </c>
      <c r="F421" t="s">
        <v>20</v>
      </c>
      <c r="G421" t="s">
        <v>21</v>
      </c>
      <c r="H421">
        <v>14</v>
      </c>
      <c r="I421">
        <v>3500</v>
      </c>
      <c r="J421">
        <v>20</v>
      </c>
      <c r="K421">
        <v>39200</v>
      </c>
      <c r="L421">
        <v>15680</v>
      </c>
      <c r="M421">
        <v>23520</v>
      </c>
      <c r="N421" t="s">
        <v>49</v>
      </c>
      <c r="O421" t="s">
        <v>67</v>
      </c>
      <c r="P421" t="s">
        <v>24</v>
      </c>
    </row>
    <row r="422" spans="1:16" x14ac:dyDescent="0.3">
      <c r="A422" t="s">
        <v>494</v>
      </c>
      <c r="B422" s="1">
        <v>44657</v>
      </c>
      <c r="C422" t="s">
        <v>58</v>
      </c>
      <c r="D422" t="s">
        <v>64</v>
      </c>
      <c r="E422" t="s">
        <v>56</v>
      </c>
      <c r="F422" t="s">
        <v>28</v>
      </c>
      <c r="G422" t="s">
        <v>87</v>
      </c>
      <c r="H422">
        <v>31</v>
      </c>
      <c r="I422">
        <v>45000</v>
      </c>
      <c r="J422">
        <v>20</v>
      </c>
      <c r="K422">
        <v>1116000</v>
      </c>
      <c r="L422">
        <v>613800</v>
      </c>
      <c r="M422">
        <v>502200</v>
      </c>
      <c r="N422" t="s">
        <v>30</v>
      </c>
      <c r="O422" t="s">
        <v>35</v>
      </c>
      <c r="P422" t="s">
        <v>24</v>
      </c>
    </row>
    <row r="423" spans="1:16" x14ac:dyDescent="0.3">
      <c r="A423" t="s">
        <v>495</v>
      </c>
      <c r="B423" s="1">
        <v>45054</v>
      </c>
      <c r="C423" t="s">
        <v>17</v>
      </c>
      <c r="D423" t="s">
        <v>18</v>
      </c>
      <c r="E423" t="s">
        <v>38</v>
      </c>
      <c r="F423" t="s">
        <v>28</v>
      </c>
      <c r="G423" t="s">
        <v>85</v>
      </c>
      <c r="H423">
        <v>26</v>
      </c>
      <c r="I423">
        <v>8000</v>
      </c>
      <c r="J423">
        <v>20</v>
      </c>
      <c r="K423">
        <v>166400</v>
      </c>
      <c r="L423">
        <v>91520</v>
      </c>
      <c r="M423">
        <v>74880</v>
      </c>
      <c r="N423" t="s">
        <v>49</v>
      </c>
      <c r="O423" t="s">
        <v>67</v>
      </c>
      <c r="P423" t="s">
        <v>40</v>
      </c>
    </row>
    <row r="424" spans="1:16" x14ac:dyDescent="0.3">
      <c r="A424" t="s">
        <v>496</v>
      </c>
      <c r="B424" s="1">
        <v>44676</v>
      </c>
      <c r="C424" t="s">
        <v>46</v>
      </c>
      <c r="D424" t="s">
        <v>55</v>
      </c>
      <c r="E424" t="s">
        <v>60</v>
      </c>
      <c r="F424" t="s">
        <v>28</v>
      </c>
      <c r="G424" t="s">
        <v>87</v>
      </c>
      <c r="H424">
        <v>43</v>
      </c>
      <c r="I424">
        <v>45000</v>
      </c>
      <c r="J424">
        <v>20</v>
      </c>
      <c r="K424">
        <v>1548000</v>
      </c>
      <c r="L424">
        <v>851400</v>
      </c>
      <c r="M424">
        <v>696600</v>
      </c>
      <c r="N424" t="s">
        <v>30</v>
      </c>
      <c r="O424" t="s">
        <v>35</v>
      </c>
      <c r="P424" t="s">
        <v>24</v>
      </c>
    </row>
    <row r="425" spans="1:16" x14ac:dyDescent="0.3">
      <c r="A425" t="s">
        <v>497</v>
      </c>
      <c r="B425" s="1">
        <v>45552</v>
      </c>
      <c r="C425" t="s">
        <v>46</v>
      </c>
      <c r="D425" t="s">
        <v>47</v>
      </c>
      <c r="E425" t="s">
        <v>56</v>
      </c>
      <c r="F425" t="s">
        <v>33</v>
      </c>
      <c r="G425" t="s">
        <v>76</v>
      </c>
      <c r="H425">
        <v>42</v>
      </c>
      <c r="I425">
        <v>8500</v>
      </c>
      <c r="J425">
        <v>0</v>
      </c>
      <c r="K425">
        <v>357000</v>
      </c>
      <c r="L425">
        <v>178500</v>
      </c>
      <c r="M425">
        <v>178500</v>
      </c>
      <c r="N425" t="s">
        <v>30</v>
      </c>
      <c r="O425" t="s">
        <v>50</v>
      </c>
      <c r="P425" t="s">
        <v>24</v>
      </c>
    </row>
    <row r="426" spans="1:16" x14ac:dyDescent="0.3">
      <c r="A426" t="s">
        <v>498</v>
      </c>
      <c r="B426" s="1">
        <v>45334</v>
      </c>
      <c r="C426" t="s">
        <v>58</v>
      </c>
      <c r="D426" t="s">
        <v>59</v>
      </c>
      <c r="E426" t="s">
        <v>38</v>
      </c>
      <c r="F426" t="s">
        <v>20</v>
      </c>
      <c r="G426" t="s">
        <v>53</v>
      </c>
      <c r="H426">
        <v>1</v>
      </c>
      <c r="I426">
        <v>600</v>
      </c>
      <c r="J426">
        <v>0</v>
      </c>
      <c r="K426">
        <v>600</v>
      </c>
      <c r="L426">
        <v>240</v>
      </c>
      <c r="M426">
        <v>360</v>
      </c>
      <c r="N426" t="s">
        <v>22</v>
      </c>
      <c r="O426" t="s">
        <v>50</v>
      </c>
      <c r="P426" t="s">
        <v>24</v>
      </c>
    </row>
    <row r="427" spans="1:16" x14ac:dyDescent="0.3">
      <c r="A427" t="s">
        <v>499</v>
      </c>
      <c r="B427" s="1">
        <v>45645</v>
      </c>
      <c r="C427" t="s">
        <v>17</v>
      </c>
      <c r="D427" t="s">
        <v>37</v>
      </c>
      <c r="E427" t="s">
        <v>73</v>
      </c>
      <c r="F427" t="s">
        <v>20</v>
      </c>
      <c r="G427" t="s">
        <v>53</v>
      </c>
      <c r="H427">
        <v>13</v>
      </c>
      <c r="I427">
        <v>600</v>
      </c>
      <c r="J427">
        <v>15</v>
      </c>
      <c r="K427">
        <v>6630</v>
      </c>
      <c r="L427">
        <v>2652</v>
      </c>
      <c r="M427">
        <v>3978</v>
      </c>
      <c r="N427" t="s">
        <v>22</v>
      </c>
      <c r="O427" t="s">
        <v>35</v>
      </c>
      <c r="P427" t="s">
        <v>24</v>
      </c>
    </row>
    <row r="428" spans="1:16" x14ac:dyDescent="0.3">
      <c r="A428" t="s">
        <v>500</v>
      </c>
      <c r="B428" s="1">
        <v>45052</v>
      </c>
      <c r="C428" t="s">
        <v>58</v>
      </c>
      <c r="D428" t="s">
        <v>64</v>
      </c>
      <c r="E428" t="s">
        <v>52</v>
      </c>
      <c r="F428" t="s">
        <v>28</v>
      </c>
      <c r="G428" t="s">
        <v>29</v>
      </c>
      <c r="H428">
        <v>19</v>
      </c>
      <c r="I428">
        <v>15000</v>
      </c>
      <c r="J428">
        <v>10</v>
      </c>
      <c r="K428">
        <v>256500</v>
      </c>
      <c r="L428">
        <v>141075</v>
      </c>
      <c r="M428">
        <v>115425</v>
      </c>
      <c r="N428" t="s">
        <v>22</v>
      </c>
      <c r="O428" t="s">
        <v>50</v>
      </c>
      <c r="P428" t="s">
        <v>24</v>
      </c>
    </row>
    <row r="429" spans="1:16" x14ac:dyDescent="0.3">
      <c r="A429" t="s">
        <v>501</v>
      </c>
      <c r="B429" s="1">
        <v>45623</v>
      </c>
      <c r="C429" t="s">
        <v>17</v>
      </c>
      <c r="D429" t="s">
        <v>42</v>
      </c>
      <c r="E429" t="s">
        <v>60</v>
      </c>
      <c r="F429" t="s">
        <v>65</v>
      </c>
      <c r="G429" t="s">
        <v>79</v>
      </c>
      <c r="H429">
        <v>31</v>
      </c>
      <c r="I429">
        <v>900</v>
      </c>
      <c r="J429">
        <v>5</v>
      </c>
      <c r="K429">
        <v>26505</v>
      </c>
      <c r="L429">
        <v>11927.25</v>
      </c>
      <c r="M429">
        <v>14577.75</v>
      </c>
      <c r="N429" t="s">
        <v>49</v>
      </c>
      <c r="O429" t="s">
        <v>23</v>
      </c>
      <c r="P429" t="s">
        <v>24</v>
      </c>
    </row>
    <row r="430" spans="1:16" x14ac:dyDescent="0.3">
      <c r="A430" t="s">
        <v>502</v>
      </c>
      <c r="B430" s="1">
        <v>44608</v>
      </c>
      <c r="C430" t="s">
        <v>26</v>
      </c>
      <c r="D430" t="s">
        <v>69</v>
      </c>
      <c r="E430" t="s">
        <v>52</v>
      </c>
      <c r="F430" t="s">
        <v>65</v>
      </c>
      <c r="G430" t="s">
        <v>104</v>
      </c>
      <c r="H430">
        <v>44</v>
      </c>
      <c r="I430">
        <v>3000</v>
      </c>
      <c r="J430">
        <v>5</v>
      </c>
      <c r="K430">
        <v>125400</v>
      </c>
      <c r="L430">
        <v>56430</v>
      </c>
      <c r="M430">
        <v>68970</v>
      </c>
      <c r="N430" t="s">
        <v>49</v>
      </c>
      <c r="O430" t="s">
        <v>50</v>
      </c>
      <c r="P430" t="s">
        <v>24</v>
      </c>
    </row>
    <row r="431" spans="1:16" x14ac:dyDescent="0.3">
      <c r="A431" t="s">
        <v>503</v>
      </c>
      <c r="B431" s="1">
        <v>45583</v>
      </c>
      <c r="C431" t="s">
        <v>26</v>
      </c>
      <c r="D431" t="s">
        <v>69</v>
      </c>
      <c r="E431" t="s">
        <v>19</v>
      </c>
      <c r="F431" t="s">
        <v>33</v>
      </c>
      <c r="G431" t="s">
        <v>39</v>
      </c>
      <c r="H431">
        <v>26</v>
      </c>
      <c r="I431">
        <v>5000</v>
      </c>
      <c r="J431">
        <v>10</v>
      </c>
      <c r="K431">
        <v>117000</v>
      </c>
      <c r="L431">
        <v>58500</v>
      </c>
      <c r="M431">
        <v>58500</v>
      </c>
      <c r="N431" t="s">
        <v>22</v>
      </c>
      <c r="O431" t="s">
        <v>44</v>
      </c>
      <c r="P431" t="s">
        <v>24</v>
      </c>
    </row>
    <row r="432" spans="1:16" x14ac:dyDescent="0.3">
      <c r="A432" t="s">
        <v>504</v>
      </c>
      <c r="B432" s="1">
        <v>45484</v>
      </c>
      <c r="C432" t="s">
        <v>17</v>
      </c>
      <c r="D432" t="s">
        <v>18</v>
      </c>
      <c r="E432" t="s">
        <v>38</v>
      </c>
      <c r="F432" t="s">
        <v>33</v>
      </c>
      <c r="G432" t="s">
        <v>76</v>
      </c>
      <c r="H432">
        <v>48</v>
      </c>
      <c r="I432">
        <v>8500</v>
      </c>
      <c r="J432">
        <v>5</v>
      </c>
      <c r="K432">
        <v>387600</v>
      </c>
      <c r="L432">
        <v>193800</v>
      </c>
      <c r="M432">
        <v>193800</v>
      </c>
      <c r="N432" t="s">
        <v>22</v>
      </c>
      <c r="O432" t="s">
        <v>44</v>
      </c>
      <c r="P432" t="s">
        <v>24</v>
      </c>
    </row>
    <row r="433" spans="1:16" x14ac:dyDescent="0.3">
      <c r="A433" t="s">
        <v>505</v>
      </c>
      <c r="B433" s="1">
        <v>45040</v>
      </c>
      <c r="C433" t="s">
        <v>46</v>
      </c>
      <c r="D433" t="s">
        <v>55</v>
      </c>
      <c r="E433" t="s">
        <v>19</v>
      </c>
      <c r="F433" t="s">
        <v>20</v>
      </c>
      <c r="G433" t="s">
        <v>74</v>
      </c>
      <c r="H433">
        <v>16</v>
      </c>
      <c r="I433">
        <v>4200</v>
      </c>
      <c r="J433">
        <v>20</v>
      </c>
      <c r="K433">
        <v>53760</v>
      </c>
      <c r="L433">
        <v>21504</v>
      </c>
      <c r="M433">
        <v>32256</v>
      </c>
      <c r="N433" t="s">
        <v>30</v>
      </c>
      <c r="O433" t="s">
        <v>35</v>
      </c>
      <c r="P433" t="s">
        <v>24</v>
      </c>
    </row>
    <row r="434" spans="1:16" x14ac:dyDescent="0.3">
      <c r="A434" t="s">
        <v>506</v>
      </c>
      <c r="B434" s="1">
        <v>44776</v>
      </c>
      <c r="C434" t="s">
        <v>58</v>
      </c>
      <c r="D434" t="s">
        <v>64</v>
      </c>
      <c r="E434" t="s">
        <v>56</v>
      </c>
      <c r="F434" t="s">
        <v>28</v>
      </c>
      <c r="G434" t="s">
        <v>85</v>
      </c>
      <c r="H434">
        <v>24</v>
      </c>
      <c r="I434">
        <v>8000</v>
      </c>
      <c r="J434">
        <v>20</v>
      </c>
      <c r="K434">
        <v>153600</v>
      </c>
      <c r="L434">
        <v>84480</v>
      </c>
      <c r="M434">
        <v>69120</v>
      </c>
      <c r="N434" t="s">
        <v>49</v>
      </c>
      <c r="O434" t="s">
        <v>67</v>
      </c>
      <c r="P434" t="s">
        <v>24</v>
      </c>
    </row>
    <row r="435" spans="1:16" x14ac:dyDescent="0.3">
      <c r="A435" t="s">
        <v>507</v>
      </c>
      <c r="B435" s="1">
        <v>45093</v>
      </c>
      <c r="C435" t="s">
        <v>46</v>
      </c>
      <c r="D435" t="s">
        <v>55</v>
      </c>
      <c r="E435" t="s">
        <v>32</v>
      </c>
      <c r="F435" t="s">
        <v>20</v>
      </c>
      <c r="G435" t="s">
        <v>53</v>
      </c>
      <c r="H435">
        <v>9</v>
      </c>
      <c r="I435">
        <v>600</v>
      </c>
      <c r="J435">
        <v>0</v>
      </c>
      <c r="K435">
        <v>5400</v>
      </c>
      <c r="L435">
        <v>2160</v>
      </c>
      <c r="M435">
        <v>3240</v>
      </c>
      <c r="N435" t="s">
        <v>49</v>
      </c>
      <c r="O435" t="s">
        <v>23</v>
      </c>
      <c r="P435" t="s">
        <v>40</v>
      </c>
    </row>
    <row r="436" spans="1:16" x14ac:dyDescent="0.3">
      <c r="A436" t="s">
        <v>508</v>
      </c>
      <c r="B436" s="1">
        <v>45598</v>
      </c>
      <c r="C436" t="s">
        <v>17</v>
      </c>
      <c r="D436" t="s">
        <v>37</v>
      </c>
      <c r="E436" t="s">
        <v>78</v>
      </c>
      <c r="F436" t="s">
        <v>65</v>
      </c>
      <c r="G436" t="s">
        <v>117</v>
      </c>
      <c r="H436">
        <v>45</v>
      </c>
      <c r="I436">
        <v>1200</v>
      </c>
      <c r="J436">
        <v>20</v>
      </c>
      <c r="K436">
        <v>43200</v>
      </c>
      <c r="L436">
        <v>19440</v>
      </c>
      <c r="M436">
        <v>23760</v>
      </c>
      <c r="N436" t="s">
        <v>49</v>
      </c>
      <c r="O436" t="s">
        <v>35</v>
      </c>
      <c r="P436" t="s">
        <v>24</v>
      </c>
    </row>
    <row r="437" spans="1:16" x14ac:dyDescent="0.3">
      <c r="A437" t="s">
        <v>509</v>
      </c>
      <c r="B437" s="1">
        <v>44583</v>
      </c>
      <c r="C437" t="s">
        <v>46</v>
      </c>
      <c r="D437" t="s">
        <v>55</v>
      </c>
      <c r="E437" t="s">
        <v>38</v>
      </c>
      <c r="F437" t="s">
        <v>28</v>
      </c>
      <c r="G437" t="s">
        <v>71</v>
      </c>
      <c r="H437">
        <v>24</v>
      </c>
      <c r="I437">
        <v>35000</v>
      </c>
      <c r="J437">
        <v>20</v>
      </c>
      <c r="K437">
        <v>672000</v>
      </c>
      <c r="L437">
        <v>369600</v>
      </c>
      <c r="M437">
        <v>302400</v>
      </c>
      <c r="N437" t="s">
        <v>30</v>
      </c>
      <c r="O437" t="s">
        <v>67</v>
      </c>
      <c r="P437" t="s">
        <v>24</v>
      </c>
    </row>
    <row r="438" spans="1:16" x14ac:dyDescent="0.3">
      <c r="A438" t="s">
        <v>510</v>
      </c>
      <c r="B438" s="1">
        <v>45054</v>
      </c>
      <c r="C438" t="s">
        <v>17</v>
      </c>
      <c r="D438" t="s">
        <v>37</v>
      </c>
      <c r="E438" t="s">
        <v>38</v>
      </c>
      <c r="F438" t="s">
        <v>33</v>
      </c>
      <c r="G438" t="s">
        <v>34</v>
      </c>
      <c r="H438">
        <v>12</v>
      </c>
      <c r="I438">
        <v>25000</v>
      </c>
      <c r="J438">
        <v>15</v>
      </c>
      <c r="K438">
        <v>255000</v>
      </c>
      <c r="L438">
        <v>127500</v>
      </c>
      <c r="M438">
        <v>127500</v>
      </c>
      <c r="N438" t="s">
        <v>30</v>
      </c>
      <c r="O438" t="s">
        <v>23</v>
      </c>
      <c r="P438" t="s">
        <v>24</v>
      </c>
    </row>
    <row r="439" spans="1:16" x14ac:dyDescent="0.3">
      <c r="A439" t="s">
        <v>511</v>
      </c>
      <c r="B439" s="1">
        <v>45272</v>
      </c>
      <c r="C439" t="s">
        <v>58</v>
      </c>
      <c r="D439" t="s">
        <v>59</v>
      </c>
      <c r="E439" t="s">
        <v>60</v>
      </c>
      <c r="F439" t="s">
        <v>20</v>
      </c>
      <c r="G439" t="s">
        <v>53</v>
      </c>
      <c r="H439">
        <v>9</v>
      </c>
      <c r="I439">
        <v>600</v>
      </c>
      <c r="J439">
        <v>20</v>
      </c>
      <c r="K439">
        <v>4320</v>
      </c>
      <c r="L439">
        <v>1728</v>
      </c>
      <c r="M439">
        <v>2592</v>
      </c>
      <c r="N439" t="s">
        <v>30</v>
      </c>
      <c r="O439" t="s">
        <v>50</v>
      </c>
      <c r="P439" t="s">
        <v>24</v>
      </c>
    </row>
    <row r="440" spans="1:16" x14ac:dyDescent="0.3">
      <c r="A440" t="s">
        <v>512</v>
      </c>
      <c r="B440" s="1">
        <v>45034</v>
      </c>
      <c r="C440" t="s">
        <v>58</v>
      </c>
      <c r="D440" t="s">
        <v>59</v>
      </c>
      <c r="E440" t="s">
        <v>19</v>
      </c>
      <c r="F440" t="s">
        <v>20</v>
      </c>
      <c r="G440" t="s">
        <v>74</v>
      </c>
      <c r="H440">
        <v>31</v>
      </c>
      <c r="I440">
        <v>4200</v>
      </c>
      <c r="J440">
        <v>0</v>
      </c>
      <c r="K440">
        <v>130200</v>
      </c>
      <c r="L440">
        <v>52080</v>
      </c>
      <c r="M440">
        <v>78120</v>
      </c>
      <c r="N440" t="s">
        <v>49</v>
      </c>
      <c r="O440" t="s">
        <v>23</v>
      </c>
      <c r="P440" t="s">
        <v>24</v>
      </c>
    </row>
    <row r="441" spans="1:16" x14ac:dyDescent="0.3">
      <c r="A441" t="s">
        <v>513</v>
      </c>
      <c r="B441" s="1">
        <v>44832</v>
      </c>
      <c r="C441" t="s">
        <v>17</v>
      </c>
      <c r="D441" t="s">
        <v>37</v>
      </c>
      <c r="E441" t="s">
        <v>73</v>
      </c>
      <c r="F441" t="s">
        <v>33</v>
      </c>
      <c r="G441" t="s">
        <v>43</v>
      </c>
      <c r="H441">
        <v>37</v>
      </c>
      <c r="I441">
        <v>4000</v>
      </c>
      <c r="J441">
        <v>0</v>
      </c>
      <c r="K441">
        <v>148000</v>
      </c>
      <c r="L441">
        <v>74000</v>
      </c>
      <c r="M441">
        <v>74000</v>
      </c>
      <c r="N441" t="s">
        <v>30</v>
      </c>
      <c r="O441" t="s">
        <v>44</v>
      </c>
      <c r="P441" t="s">
        <v>24</v>
      </c>
    </row>
    <row r="442" spans="1:16" x14ac:dyDescent="0.3">
      <c r="A442" t="s">
        <v>514</v>
      </c>
      <c r="B442" s="1">
        <v>44658</v>
      </c>
      <c r="C442" t="s">
        <v>17</v>
      </c>
      <c r="D442" t="s">
        <v>37</v>
      </c>
      <c r="E442" t="s">
        <v>52</v>
      </c>
      <c r="F442" t="s">
        <v>65</v>
      </c>
      <c r="G442" t="s">
        <v>124</v>
      </c>
      <c r="H442">
        <v>17</v>
      </c>
      <c r="I442">
        <v>18000</v>
      </c>
      <c r="J442">
        <v>10</v>
      </c>
      <c r="K442">
        <v>275400</v>
      </c>
      <c r="L442">
        <v>123930</v>
      </c>
      <c r="M442">
        <v>151470</v>
      </c>
      <c r="N442" t="s">
        <v>22</v>
      </c>
      <c r="O442" t="s">
        <v>67</v>
      </c>
      <c r="P442" t="s">
        <v>24</v>
      </c>
    </row>
    <row r="443" spans="1:16" x14ac:dyDescent="0.3">
      <c r="A443" t="s">
        <v>515</v>
      </c>
      <c r="B443" s="1">
        <v>45058</v>
      </c>
      <c r="C443" t="s">
        <v>26</v>
      </c>
      <c r="D443" t="s">
        <v>69</v>
      </c>
      <c r="E443" t="s">
        <v>52</v>
      </c>
      <c r="F443" t="s">
        <v>33</v>
      </c>
      <c r="G443" t="s">
        <v>43</v>
      </c>
      <c r="H443">
        <v>13</v>
      </c>
      <c r="I443">
        <v>4000</v>
      </c>
      <c r="J443">
        <v>20</v>
      </c>
      <c r="K443">
        <v>41600</v>
      </c>
      <c r="L443">
        <v>20800</v>
      </c>
      <c r="M443">
        <v>20800</v>
      </c>
      <c r="N443" t="s">
        <v>22</v>
      </c>
      <c r="O443" t="s">
        <v>67</v>
      </c>
      <c r="P443" t="s">
        <v>40</v>
      </c>
    </row>
    <row r="444" spans="1:16" x14ac:dyDescent="0.3">
      <c r="A444" t="s">
        <v>516</v>
      </c>
      <c r="B444" s="1">
        <v>44920</v>
      </c>
      <c r="C444" t="s">
        <v>17</v>
      </c>
      <c r="D444" t="s">
        <v>37</v>
      </c>
      <c r="E444" t="s">
        <v>70</v>
      </c>
      <c r="F444" t="s">
        <v>65</v>
      </c>
      <c r="G444" t="s">
        <v>66</v>
      </c>
      <c r="H444">
        <v>6</v>
      </c>
      <c r="I444">
        <v>5500</v>
      </c>
      <c r="J444">
        <v>15</v>
      </c>
      <c r="K444">
        <v>28050</v>
      </c>
      <c r="L444">
        <v>12622.5</v>
      </c>
      <c r="M444">
        <v>15427.5</v>
      </c>
      <c r="N444" t="s">
        <v>49</v>
      </c>
      <c r="O444" t="s">
        <v>23</v>
      </c>
      <c r="P444" t="s">
        <v>40</v>
      </c>
    </row>
    <row r="445" spans="1:16" x14ac:dyDescent="0.3">
      <c r="A445" t="s">
        <v>517</v>
      </c>
      <c r="B445" s="1">
        <v>44862</v>
      </c>
      <c r="C445" t="s">
        <v>46</v>
      </c>
      <c r="D445" t="s">
        <v>55</v>
      </c>
      <c r="E445" t="s">
        <v>32</v>
      </c>
      <c r="F445" t="s">
        <v>65</v>
      </c>
      <c r="G445" t="s">
        <v>117</v>
      </c>
      <c r="H445">
        <v>6</v>
      </c>
      <c r="I445">
        <v>1200</v>
      </c>
      <c r="J445">
        <v>5</v>
      </c>
      <c r="K445">
        <v>6840</v>
      </c>
      <c r="L445">
        <v>3078</v>
      </c>
      <c r="M445">
        <v>3762</v>
      </c>
      <c r="N445" t="s">
        <v>30</v>
      </c>
      <c r="O445" t="s">
        <v>50</v>
      </c>
      <c r="P445" t="s">
        <v>24</v>
      </c>
    </row>
    <row r="446" spans="1:16" x14ac:dyDescent="0.3">
      <c r="A446" t="s">
        <v>518</v>
      </c>
      <c r="B446" s="1">
        <v>45190</v>
      </c>
      <c r="C446" t="s">
        <v>17</v>
      </c>
      <c r="D446" t="s">
        <v>42</v>
      </c>
      <c r="E446" t="s">
        <v>73</v>
      </c>
      <c r="F446" t="s">
        <v>65</v>
      </c>
      <c r="G446" t="s">
        <v>124</v>
      </c>
      <c r="H446">
        <v>29</v>
      </c>
      <c r="I446">
        <v>18000</v>
      </c>
      <c r="J446">
        <v>10</v>
      </c>
      <c r="K446">
        <v>469800</v>
      </c>
      <c r="L446">
        <v>211410</v>
      </c>
      <c r="M446">
        <v>258390</v>
      </c>
      <c r="N446" t="s">
        <v>22</v>
      </c>
      <c r="O446" t="s">
        <v>23</v>
      </c>
      <c r="P446" t="s">
        <v>40</v>
      </c>
    </row>
    <row r="447" spans="1:16" x14ac:dyDescent="0.3">
      <c r="A447" t="s">
        <v>519</v>
      </c>
      <c r="B447" s="1">
        <v>45357</v>
      </c>
      <c r="C447" t="s">
        <v>46</v>
      </c>
      <c r="D447" t="s">
        <v>47</v>
      </c>
      <c r="E447" t="s">
        <v>78</v>
      </c>
      <c r="F447" t="s">
        <v>20</v>
      </c>
      <c r="G447" t="s">
        <v>61</v>
      </c>
      <c r="H447">
        <v>48</v>
      </c>
      <c r="I447">
        <v>800</v>
      </c>
      <c r="J447">
        <v>0</v>
      </c>
      <c r="K447">
        <v>38400</v>
      </c>
      <c r="L447">
        <v>15360</v>
      </c>
      <c r="M447">
        <v>23040</v>
      </c>
      <c r="N447" t="s">
        <v>30</v>
      </c>
      <c r="O447" t="s">
        <v>23</v>
      </c>
      <c r="P447" t="s">
        <v>24</v>
      </c>
    </row>
    <row r="448" spans="1:16" x14ac:dyDescent="0.3">
      <c r="A448" t="s">
        <v>520</v>
      </c>
      <c r="B448" s="1">
        <v>44746</v>
      </c>
      <c r="C448" t="s">
        <v>26</v>
      </c>
      <c r="D448" t="s">
        <v>69</v>
      </c>
      <c r="E448" t="s">
        <v>111</v>
      </c>
      <c r="F448" t="s">
        <v>28</v>
      </c>
      <c r="G448" t="s">
        <v>95</v>
      </c>
      <c r="H448">
        <v>50</v>
      </c>
      <c r="I448">
        <v>75000</v>
      </c>
      <c r="J448">
        <v>15</v>
      </c>
      <c r="K448">
        <v>3187500</v>
      </c>
      <c r="L448">
        <v>1753125</v>
      </c>
      <c r="M448">
        <v>1434375</v>
      </c>
      <c r="N448" t="s">
        <v>30</v>
      </c>
      <c r="O448" t="s">
        <v>35</v>
      </c>
      <c r="P448" t="s">
        <v>40</v>
      </c>
    </row>
    <row r="449" spans="1:16" x14ac:dyDescent="0.3">
      <c r="A449" t="s">
        <v>521</v>
      </c>
      <c r="B449" s="1">
        <v>45066</v>
      </c>
      <c r="C449" t="s">
        <v>46</v>
      </c>
      <c r="D449" t="s">
        <v>47</v>
      </c>
      <c r="E449" t="s">
        <v>32</v>
      </c>
      <c r="F449" t="s">
        <v>33</v>
      </c>
      <c r="G449" t="s">
        <v>76</v>
      </c>
      <c r="H449">
        <v>16</v>
      </c>
      <c r="I449">
        <v>8500</v>
      </c>
      <c r="J449">
        <v>10</v>
      </c>
      <c r="K449">
        <v>122400</v>
      </c>
      <c r="L449">
        <v>61200</v>
      </c>
      <c r="M449">
        <v>61200</v>
      </c>
      <c r="N449" t="s">
        <v>22</v>
      </c>
      <c r="O449" t="s">
        <v>44</v>
      </c>
      <c r="P449" t="s">
        <v>24</v>
      </c>
    </row>
    <row r="450" spans="1:16" x14ac:dyDescent="0.3">
      <c r="A450" t="s">
        <v>522</v>
      </c>
      <c r="B450" s="1">
        <v>44821</v>
      </c>
      <c r="C450" t="s">
        <v>46</v>
      </c>
      <c r="D450" t="s">
        <v>47</v>
      </c>
      <c r="E450" t="s">
        <v>56</v>
      </c>
      <c r="F450" t="s">
        <v>33</v>
      </c>
      <c r="G450" t="s">
        <v>34</v>
      </c>
      <c r="H450">
        <v>31</v>
      </c>
      <c r="I450">
        <v>25000</v>
      </c>
      <c r="J450">
        <v>15</v>
      </c>
      <c r="K450">
        <v>658750</v>
      </c>
      <c r="L450">
        <v>329375</v>
      </c>
      <c r="M450">
        <v>329375</v>
      </c>
      <c r="N450" t="s">
        <v>49</v>
      </c>
      <c r="O450" t="s">
        <v>67</v>
      </c>
      <c r="P450" t="s">
        <v>40</v>
      </c>
    </row>
    <row r="451" spans="1:16" x14ac:dyDescent="0.3">
      <c r="A451" t="s">
        <v>523</v>
      </c>
      <c r="B451" s="1">
        <v>45417</v>
      </c>
      <c r="C451" t="s">
        <v>46</v>
      </c>
      <c r="D451" t="s">
        <v>55</v>
      </c>
      <c r="E451" t="s">
        <v>38</v>
      </c>
      <c r="F451" t="s">
        <v>65</v>
      </c>
      <c r="G451" t="s">
        <v>79</v>
      </c>
      <c r="H451">
        <v>41</v>
      </c>
      <c r="I451">
        <v>900</v>
      </c>
      <c r="J451">
        <v>20</v>
      </c>
      <c r="K451">
        <v>29520</v>
      </c>
      <c r="L451">
        <v>13284</v>
      </c>
      <c r="M451">
        <v>16236</v>
      </c>
      <c r="N451" t="s">
        <v>49</v>
      </c>
      <c r="O451" t="s">
        <v>23</v>
      </c>
      <c r="P451" t="s">
        <v>24</v>
      </c>
    </row>
    <row r="452" spans="1:16" x14ac:dyDescent="0.3">
      <c r="A452" t="s">
        <v>524</v>
      </c>
      <c r="B452" s="1">
        <v>45604</v>
      </c>
      <c r="C452" t="s">
        <v>26</v>
      </c>
      <c r="D452" t="s">
        <v>69</v>
      </c>
      <c r="E452" t="s">
        <v>73</v>
      </c>
      <c r="F452" t="s">
        <v>33</v>
      </c>
      <c r="G452" t="s">
        <v>48</v>
      </c>
      <c r="H452">
        <v>17</v>
      </c>
      <c r="I452">
        <v>1500</v>
      </c>
      <c r="J452">
        <v>5</v>
      </c>
      <c r="K452">
        <v>24225</v>
      </c>
      <c r="L452">
        <v>12112.5</v>
      </c>
      <c r="M452">
        <v>12112.5</v>
      </c>
      <c r="N452" t="s">
        <v>30</v>
      </c>
      <c r="O452" t="s">
        <v>35</v>
      </c>
      <c r="P452" t="s">
        <v>24</v>
      </c>
    </row>
    <row r="453" spans="1:16" x14ac:dyDescent="0.3">
      <c r="A453" t="s">
        <v>525</v>
      </c>
      <c r="B453" s="1">
        <v>45592</v>
      </c>
      <c r="C453" t="s">
        <v>46</v>
      </c>
      <c r="D453" t="s">
        <v>55</v>
      </c>
      <c r="E453" t="s">
        <v>73</v>
      </c>
      <c r="F453" t="s">
        <v>65</v>
      </c>
      <c r="G453" t="s">
        <v>79</v>
      </c>
      <c r="H453">
        <v>1</v>
      </c>
      <c r="I453">
        <v>900</v>
      </c>
      <c r="J453">
        <v>15</v>
      </c>
      <c r="K453">
        <v>765</v>
      </c>
      <c r="L453">
        <v>344.25</v>
      </c>
      <c r="M453">
        <v>420.75</v>
      </c>
      <c r="N453" t="s">
        <v>49</v>
      </c>
      <c r="O453" t="s">
        <v>35</v>
      </c>
      <c r="P453" t="s">
        <v>24</v>
      </c>
    </row>
    <row r="454" spans="1:16" x14ac:dyDescent="0.3">
      <c r="A454" t="s">
        <v>526</v>
      </c>
      <c r="B454" s="1">
        <v>45408</v>
      </c>
      <c r="C454" t="s">
        <v>17</v>
      </c>
      <c r="D454" t="s">
        <v>42</v>
      </c>
      <c r="E454" t="s">
        <v>19</v>
      </c>
      <c r="F454" t="s">
        <v>28</v>
      </c>
      <c r="G454" t="s">
        <v>29</v>
      </c>
      <c r="H454">
        <v>24</v>
      </c>
      <c r="I454">
        <v>15000</v>
      </c>
      <c r="J454">
        <v>5</v>
      </c>
      <c r="K454">
        <v>342000</v>
      </c>
      <c r="L454">
        <v>188100</v>
      </c>
      <c r="M454">
        <v>153900</v>
      </c>
      <c r="N454" t="s">
        <v>22</v>
      </c>
      <c r="O454" t="s">
        <v>23</v>
      </c>
      <c r="P454" t="s">
        <v>24</v>
      </c>
    </row>
    <row r="455" spans="1:16" x14ac:dyDescent="0.3">
      <c r="A455" t="s">
        <v>527</v>
      </c>
      <c r="B455" s="1">
        <v>45330</v>
      </c>
      <c r="C455" t="s">
        <v>46</v>
      </c>
      <c r="D455" t="s">
        <v>55</v>
      </c>
      <c r="E455" t="s">
        <v>32</v>
      </c>
      <c r="F455" t="s">
        <v>20</v>
      </c>
      <c r="G455" t="s">
        <v>61</v>
      </c>
      <c r="H455">
        <v>6</v>
      </c>
      <c r="I455">
        <v>800</v>
      </c>
      <c r="J455">
        <v>15</v>
      </c>
      <c r="K455">
        <v>4080</v>
      </c>
      <c r="L455">
        <v>1632</v>
      </c>
      <c r="M455">
        <v>2448</v>
      </c>
      <c r="N455" t="s">
        <v>22</v>
      </c>
      <c r="O455" t="s">
        <v>67</v>
      </c>
      <c r="P455" t="s">
        <v>24</v>
      </c>
    </row>
    <row r="456" spans="1:16" x14ac:dyDescent="0.3">
      <c r="A456" t="s">
        <v>528</v>
      </c>
      <c r="B456" s="1">
        <v>45087</v>
      </c>
      <c r="C456" t="s">
        <v>17</v>
      </c>
      <c r="D456" t="s">
        <v>37</v>
      </c>
      <c r="E456" t="s">
        <v>19</v>
      </c>
      <c r="F456" t="s">
        <v>28</v>
      </c>
      <c r="G456" t="s">
        <v>87</v>
      </c>
      <c r="H456">
        <v>9</v>
      </c>
      <c r="I456">
        <v>45000</v>
      </c>
      <c r="J456">
        <v>10</v>
      </c>
      <c r="K456">
        <v>364500</v>
      </c>
      <c r="L456">
        <v>200475</v>
      </c>
      <c r="M456">
        <v>164025</v>
      </c>
      <c r="N456" t="s">
        <v>22</v>
      </c>
      <c r="O456" t="s">
        <v>23</v>
      </c>
      <c r="P456" t="s">
        <v>24</v>
      </c>
    </row>
    <row r="457" spans="1:16" x14ac:dyDescent="0.3">
      <c r="A457" t="s">
        <v>529</v>
      </c>
      <c r="B457" s="1">
        <v>45421</v>
      </c>
      <c r="C457" t="s">
        <v>58</v>
      </c>
      <c r="D457" t="s">
        <v>84</v>
      </c>
      <c r="E457" t="s">
        <v>70</v>
      </c>
      <c r="F457" t="s">
        <v>28</v>
      </c>
      <c r="G457" t="s">
        <v>87</v>
      </c>
      <c r="H457">
        <v>4</v>
      </c>
      <c r="I457">
        <v>45000</v>
      </c>
      <c r="J457">
        <v>20</v>
      </c>
      <c r="K457">
        <v>144000</v>
      </c>
      <c r="L457">
        <v>79200</v>
      </c>
      <c r="M457">
        <v>64800</v>
      </c>
      <c r="N457" t="s">
        <v>30</v>
      </c>
      <c r="O457" t="s">
        <v>35</v>
      </c>
      <c r="P457" t="s">
        <v>24</v>
      </c>
    </row>
    <row r="458" spans="1:16" x14ac:dyDescent="0.3">
      <c r="A458" t="s">
        <v>530</v>
      </c>
      <c r="B458" s="1">
        <v>45116</v>
      </c>
      <c r="C458" t="s">
        <v>46</v>
      </c>
      <c r="D458" t="s">
        <v>55</v>
      </c>
      <c r="E458" t="s">
        <v>56</v>
      </c>
      <c r="F458" t="s">
        <v>20</v>
      </c>
      <c r="G458" t="s">
        <v>21</v>
      </c>
      <c r="H458">
        <v>10</v>
      </c>
      <c r="I458">
        <v>3500</v>
      </c>
      <c r="J458">
        <v>0</v>
      </c>
      <c r="K458">
        <v>35000</v>
      </c>
      <c r="L458">
        <v>14000</v>
      </c>
      <c r="M458">
        <v>21000</v>
      </c>
      <c r="N458" t="s">
        <v>30</v>
      </c>
      <c r="O458" t="s">
        <v>50</v>
      </c>
      <c r="P458" t="s">
        <v>24</v>
      </c>
    </row>
    <row r="459" spans="1:16" x14ac:dyDescent="0.3">
      <c r="A459" t="s">
        <v>531</v>
      </c>
      <c r="B459" s="1">
        <v>45361</v>
      </c>
      <c r="C459" t="s">
        <v>58</v>
      </c>
      <c r="D459" t="s">
        <v>59</v>
      </c>
      <c r="E459" t="s">
        <v>60</v>
      </c>
      <c r="F459" t="s">
        <v>28</v>
      </c>
      <c r="G459" t="s">
        <v>71</v>
      </c>
      <c r="H459">
        <v>6</v>
      </c>
      <c r="I459">
        <v>35000</v>
      </c>
      <c r="J459">
        <v>5</v>
      </c>
      <c r="K459">
        <v>199500</v>
      </c>
      <c r="L459">
        <v>109725</v>
      </c>
      <c r="M459">
        <v>89775</v>
      </c>
      <c r="N459" t="s">
        <v>49</v>
      </c>
      <c r="O459" t="s">
        <v>23</v>
      </c>
      <c r="P459" t="s">
        <v>24</v>
      </c>
    </row>
    <row r="460" spans="1:16" x14ac:dyDescent="0.3">
      <c r="A460" t="s">
        <v>532</v>
      </c>
      <c r="B460" s="1">
        <v>44699</v>
      </c>
      <c r="C460" t="s">
        <v>58</v>
      </c>
      <c r="D460" t="s">
        <v>84</v>
      </c>
      <c r="E460" t="s">
        <v>19</v>
      </c>
      <c r="F460" t="s">
        <v>33</v>
      </c>
      <c r="G460" t="s">
        <v>48</v>
      </c>
      <c r="H460">
        <v>1</v>
      </c>
      <c r="I460">
        <v>1500</v>
      </c>
      <c r="J460">
        <v>0</v>
      </c>
      <c r="K460">
        <v>1500</v>
      </c>
      <c r="L460">
        <v>750</v>
      </c>
      <c r="M460">
        <v>750</v>
      </c>
      <c r="N460" t="s">
        <v>49</v>
      </c>
      <c r="O460" t="s">
        <v>23</v>
      </c>
      <c r="P460" t="s">
        <v>24</v>
      </c>
    </row>
    <row r="461" spans="1:16" x14ac:dyDescent="0.3">
      <c r="A461" t="s">
        <v>533</v>
      </c>
      <c r="B461" s="1">
        <v>45040</v>
      </c>
      <c r="C461" t="s">
        <v>26</v>
      </c>
      <c r="D461" t="s">
        <v>27</v>
      </c>
      <c r="E461" t="s">
        <v>60</v>
      </c>
      <c r="F461" t="s">
        <v>28</v>
      </c>
      <c r="G461" t="s">
        <v>29</v>
      </c>
      <c r="H461">
        <v>43</v>
      </c>
      <c r="I461">
        <v>15000</v>
      </c>
      <c r="J461">
        <v>5</v>
      </c>
      <c r="K461">
        <v>612750</v>
      </c>
      <c r="L461">
        <v>337012.5</v>
      </c>
      <c r="M461">
        <v>275737.5</v>
      </c>
      <c r="N461" t="s">
        <v>49</v>
      </c>
      <c r="O461" t="s">
        <v>50</v>
      </c>
      <c r="P461" t="s">
        <v>24</v>
      </c>
    </row>
    <row r="462" spans="1:16" x14ac:dyDescent="0.3">
      <c r="A462" t="s">
        <v>534</v>
      </c>
      <c r="B462" s="1">
        <v>45175</v>
      </c>
      <c r="C462" t="s">
        <v>26</v>
      </c>
      <c r="D462" t="s">
        <v>27</v>
      </c>
      <c r="E462" t="s">
        <v>73</v>
      </c>
      <c r="F462" t="s">
        <v>65</v>
      </c>
      <c r="G462" t="s">
        <v>124</v>
      </c>
      <c r="H462">
        <v>13</v>
      </c>
      <c r="I462">
        <v>18000</v>
      </c>
      <c r="J462">
        <v>10</v>
      </c>
      <c r="K462">
        <v>210600</v>
      </c>
      <c r="L462">
        <v>94770</v>
      </c>
      <c r="M462">
        <v>115830</v>
      </c>
      <c r="N462" t="s">
        <v>22</v>
      </c>
      <c r="O462" t="s">
        <v>44</v>
      </c>
      <c r="P462" t="s">
        <v>24</v>
      </c>
    </row>
    <row r="463" spans="1:16" x14ac:dyDescent="0.3">
      <c r="A463" t="s">
        <v>535</v>
      </c>
      <c r="B463" s="1">
        <v>44781</v>
      </c>
      <c r="C463" t="s">
        <v>58</v>
      </c>
      <c r="D463" t="s">
        <v>59</v>
      </c>
      <c r="E463" t="s">
        <v>56</v>
      </c>
      <c r="F463" t="s">
        <v>20</v>
      </c>
      <c r="G463" t="s">
        <v>61</v>
      </c>
      <c r="H463">
        <v>38</v>
      </c>
      <c r="I463">
        <v>800</v>
      </c>
      <c r="J463">
        <v>0</v>
      </c>
      <c r="K463">
        <v>30400</v>
      </c>
      <c r="L463">
        <v>12160</v>
      </c>
      <c r="M463">
        <v>18240</v>
      </c>
      <c r="N463" t="s">
        <v>30</v>
      </c>
      <c r="O463" t="s">
        <v>35</v>
      </c>
      <c r="P463" t="s">
        <v>24</v>
      </c>
    </row>
    <row r="464" spans="1:16" x14ac:dyDescent="0.3">
      <c r="A464" t="s">
        <v>536</v>
      </c>
      <c r="B464" s="1">
        <v>44639</v>
      </c>
      <c r="C464" t="s">
        <v>58</v>
      </c>
      <c r="D464" t="s">
        <v>64</v>
      </c>
      <c r="E464" t="s">
        <v>38</v>
      </c>
      <c r="F464" t="s">
        <v>20</v>
      </c>
      <c r="G464" t="s">
        <v>61</v>
      </c>
      <c r="H464">
        <v>50</v>
      </c>
      <c r="I464">
        <v>800</v>
      </c>
      <c r="J464">
        <v>0</v>
      </c>
      <c r="K464">
        <v>40000</v>
      </c>
      <c r="L464">
        <v>16000</v>
      </c>
      <c r="M464">
        <v>24000</v>
      </c>
      <c r="N464" t="s">
        <v>30</v>
      </c>
      <c r="O464" t="s">
        <v>23</v>
      </c>
      <c r="P464" t="s">
        <v>24</v>
      </c>
    </row>
    <row r="465" spans="1:16" x14ac:dyDescent="0.3">
      <c r="A465" t="s">
        <v>537</v>
      </c>
      <c r="B465" s="1">
        <v>44734</v>
      </c>
      <c r="C465" t="s">
        <v>17</v>
      </c>
      <c r="D465" t="s">
        <v>42</v>
      </c>
      <c r="E465" t="s">
        <v>56</v>
      </c>
      <c r="F465" t="s">
        <v>28</v>
      </c>
      <c r="G465" t="s">
        <v>71</v>
      </c>
      <c r="H465">
        <v>42</v>
      </c>
      <c r="I465">
        <v>35000</v>
      </c>
      <c r="J465">
        <v>5</v>
      </c>
      <c r="K465">
        <v>1396500</v>
      </c>
      <c r="L465">
        <v>768075</v>
      </c>
      <c r="M465">
        <v>628425</v>
      </c>
      <c r="N465" t="s">
        <v>30</v>
      </c>
      <c r="O465" t="s">
        <v>44</v>
      </c>
      <c r="P465" t="s">
        <v>40</v>
      </c>
    </row>
    <row r="466" spans="1:16" x14ac:dyDescent="0.3">
      <c r="A466" t="s">
        <v>538</v>
      </c>
      <c r="B466" s="1">
        <v>45512</v>
      </c>
      <c r="C466" t="s">
        <v>17</v>
      </c>
      <c r="D466" t="s">
        <v>42</v>
      </c>
      <c r="E466" t="s">
        <v>70</v>
      </c>
      <c r="F466" t="s">
        <v>65</v>
      </c>
      <c r="G466" t="s">
        <v>104</v>
      </c>
      <c r="H466">
        <v>2</v>
      </c>
      <c r="I466">
        <v>3000</v>
      </c>
      <c r="J466">
        <v>15</v>
      </c>
      <c r="K466">
        <v>5100</v>
      </c>
      <c r="L466">
        <v>2295</v>
      </c>
      <c r="M466">
        <v>2805</v>
      </c>
      <c r="N466" t="s">
        <v>22</v>
      </c>
      <c r="O466" t="s">
        <v>44</v>
      </c>
      <c r="P466" t="s">
        <v>24</v>
      </c>
    </row>
    <row r="467" spans="1:16" x14ac:dyDescent="0.3">
      <c r="A467" t="s">
        <v>539</v>
      </c>
      <c r="B467" s="1">
        <v>45048</v>
      </c>
      <c r="C467" t="s">
        <v>58</v>
      </c>
      <c r="D467" t="s">
        <v>64</v>
      </c>
      <c r="E467" t="s">
        <v>60</v>
      </c>
      <c r="F467" t="s">
        <v>33</v>
      </c>
      <c r="G467" t="s">
        <v>43</v>
      </c>
      <c r="H467">
        <v>45</v>
      </c>
      <c r="I467">
        <v>4000</v>
      </c>
      <c r="J467">
        <v>15</v>
      </c>
      <c r="K467">
        <v>153000</v>
      </c>
      <c r="L467">
        <v>76500</v>
      </c>
      <c r="M467">
        <v>76500</v>
      </c>
      <c r="N467" t="s">
        <v>22</v>
      </c>
      <c r="O467" t="s">
        <v>44</v>
      </c>
      <c r="P467" t="s">
        <v>24</v>
      </c>
    </row>
    <row r="468" spans="1:16" x14ac:dyDescent="0.3">
      <c r="A468" t="s">
        <v>540</v>
      </c>
      <c r="B468" s="1">
        <v>45608</v>
      </c>
      <c r="C468" t="s">
        <v>17</v>
      </c>
      <c r="D468" t="s">
        <v>42</v>
      </c>
      <c r="E468" t="s">
        <v>60</v>
      </c>
      <c r="F468" t="s">
        <v>33</v>
      </c>
      <c r="G468" t="s">
        <v>43</v>
      </c>
      <c r="H468">
        <v>36</v>
      </c>
      <c r="I468">
        <v>4000</v>
      </c>
      <c r="J468">
        <v>5</v>
      </c>
      <c r="K468">
        <v>136800</v>
      </c>
      <c r="L468">
        <v>68400</v>
      </c>
      <c r="M468">
        <v>68400</v>
      </c>
      <c r="N468" t="s">
        <v>22</v>
      </c>
      <c r="O468" t="s">
        <v>44</v>
      </c>
      <c r="P468" t="s">
        <v>24</v>
      </c>
    </row>
    <row r="469" spans="1:16" x14ac:dyDescent="0.3">
      <c r="A469" t="s">
        <v>541</v>
      </c>
      <c r="B469" s="1">
        <v>45422</v>
      </c>
      <c r="C469" t="s">
        <v>17</v>
      </c>
      <c r="D469" t="s">
        <v>42</v>
      </c>
      <c r="E469" t="s">
        <v>70</v>
      </c>
      <c r="F469" t="s">
        <v>65</v>
      </c>
      <c r="G469" t="s">
        <v>117</v>
      </c>
      <c r="H469">
        <v>50</v>
      </c>
      <c r="I469">
        <v>1200</v>
      </c>
      <c r="J469">
        <v>20</v>
      </c>
      <c r="K469">
        <v>48000</v>
      </c>
      <c r="L469">
        <v>21600</v>
      </c>
      <c r="M469">
        <v>26400</v>
      </c>
      <c r="N469" t="s">
        <v>22</v>
      </c>
      <c r="O469" t="s">
        <v>44</v>
      </c>
      <c r="P469" t="s">
        <v>24</v>
      </c>
    </row>
    <row r="470" spans="1:16" x14ac:dyDescent="0.3">
      <c r="A470" t="s">
        <v>542</v>
      </c>
      <c r="B470" s="1">
        <v>44612</v>
      </c>
      <c r="C470" t="s">
        <v>17</v>
      </c>
      <c r="D470" t="s">
        <v>42</v>
      </c>
      <c r="E470" t="s">
        <v>19</v>
      </c>
      <c r="F470" t="s">
        <v>33</v>
      </c>
      <c r="G470" t="s">
        <v>39</v>
      </c>
      <c r="H470">
        <v>43</v>
      </c>
      <c r="I470">
        <v>5000</v>
      </c>
      <c r="J470">
        <v>20</v>
      </c>
      <c r="K470">
        <v>172000</v>
      </c>
      <c r="L470">
        <v>86000</v>
      </c>
      <c r="M470">
        <v>86000</v>
      </c>
      <c r="N470" t="s">
        <v>30</v>
      </c>
      <c r="O470" t="s">
        <v>67</v>
      </c>
      <c r="P470" t="s">
        <v>24</v>
      </c>
    </row>
    <row r="471" spans="1:16" x14ac:dyDescent="0.3">
      <c r="A471" t="s">
        <v>543</v>
      </c>
      <c r="B471" s="1">
        <v>45529</v>
      </c>
      <c r="C471" t="s">
        <v>46</v>
      </c>
      <c r="D471" t="s">
        <v>55</v>
      </c>
      <c r="E471" t="s">
        <v>70</v>
      </c>
      <c r="F471" t="s">
        <v>65</v>
      </c>
      <c r="G471" t="s">
        <v>124</v>
      </c>
      <c r="H471">
        <v>8</v>
      </c>
      <c r="I471">
        <v>18000</v>
      </c>
      <c r="J471">
        <v>0</v>
      </c>
      <c r="K471">
        <v>144000</v>
      </c>
      <c r="L471">
        <v>64800</v>
      </c>
      <c r="M471">
        <v>79200</v>
      </c>
      <c r="N471" t="s">
        <v>22</v>
      </c>
      <c r="O471" t="s">
        <v>35</v>
      </c>
      <c r="P471" t="s">
        <v>40</v>
      </c>
    </row>
    <row r="472" spans="1:16" x14ac:dyDescent="0.3">
      <c r="A472" t="s">
        <v>544</v>
      </c>
      <c r="B472" s="1">
        <v>44647</v>
      </c>
      <c r="C472" t="s">
        <v>46</v>
      </c>
      <c r="D472" t="s">
        <v>47</v>
      </c>
      <c r="E472" t="s">
        <v>56</v>
      </c>
      <c r="F472" t="s">
        <v>20</v>
      </c>
      <c r="G472" t="s">
        <v>21</v>
      </c>
      <c r="H472">
        <v>32</v>
      </c>
      <c r="I472">
        <v>3500</v>
      </c>
      <c r="J472">
        <v>5</v>
      </c>
      <c r="K472">
        <v>106400</v>
      </c>
      <c r="L472">
        <v>42560</v>
      </c>
      <c r="M472">
        <v>63840</v>
      </c>
      <c r="N472" t="s">
        <v>30</v>
      </c>
      <c r="O472" t="s">
        <v>67</v>
      </c>
      <c r="P472" t="s">
        <v>24</v>
      </c>
    </row>
    <row r="473" spans="1:16" x14ac:dyDescent="0.3">
      <c r="A473" t="s">
        <v>545</v>
      </c>
      <c r="B473" s="1">
        <v>45313</v>
      </c>
      <c r="C473" t="s">
        <v>58</v>
      </c>
      <c r="D473" t="s">
        <v>64</v>
      </c>
      <c r="E473" t="s">
        <v>38</v>
      </c>
      <c r="F473" t="s">
        <v>33</v>
      </c>
      <c r="G473" t="s">
        <v>39</v>
      </c>
      <c r="H473">
        <v>24</v>
      </c>
      <c r="I473">
        <v>5000</v>
      </c>
      <c r="J473">
        <v>5</v>
      </c>
      <c r="K473">
        <v>114000</v>
      </c>
      <c r="L473">
        <v>57000</v>
      </c>
      <c r="M473">
        <v>57000</v>
      </c>
      <c r="N473" t="s">
        <v>22</v>
      </c>
      <c r="O473" t="s">
        <v>35</v>
      </c>
      <c r="P473" t="s">
        <v>40</v>
      </c>
    </row>
    <row r="474" spans="1:16" x14ac:dyDescent="0.3">
      <c r="A474" t="s">
        <v>546</v>
      </c>
      <c r="B474" s="1">
        <v>44568</v>
      </c>
      <c r="C474" t="s">
        <v>58</v>
      </c>
      <c r="D474" t="s">
        <v>84</v>
      </c>
      <c r="E474" t="s">
        <v>60</v>
      </c>
      <c r="F474" t="s">
        <v>28</v>
      </c>
      <c r="G474" t="s">
        <v>71</v>
      </c>
      <c r="H474">
        <v>36</v>
      </c>
      <c r="I474">
        <v>35000</v>
      </c>
      <c r="J474">
        <v>15</v>
      </c>
      <c r="K474">
        <v>1071000</v>
      </c>
      <c r="L474">
        <v>589050</v>
      </c>
      <c r="M474">
        <v>481950</v>
      </c>
      <c r="N474" t="s">
        <v>22</v>
      </c>
      <c r="O474" t="s">
        <v>35</v>
      </c>
      <c r="P474" t="s">
        <v>24</v>
      </c>
    </row>
    <row r="475" spans="1:16" x14ac:dyDescent="0.3">
      <c r="A475" t="s">
        <v>547</v>
      </c>
      <c r="B475" s="1">
        <v>45094</v>
      </c>
      <c r="C475" t="s">
        <v>26</v>
      </c>
      <c r="D475" t="s">
        <v>27</v>
      </c>
      <c r="E475" t="s">
        <v>73</v>
      </c>
      <c r="F475" t="s">
        <v>28</v>
      </c>
      <c r="G475" t="s">
        <v>87</v>
      </c>
      <c r="H475">
        <v>34</v>
      </c>
      <c r="I475">
        <v>45000</v>
      </c>
      <c r="J475">
        <v>0</v>
      </c>
      <c r="K475">
        <v>1530000</v>
      </c>
      <c r="L475">
        <v>841500</v>
      </c>
      <c r="M475">
        <v>688500</v>
      </c>
      <c r="N475" t="s">
        <v>22</v>
      </c>
      <c r="O475" t="s">
        <v>44</v>
      </c>
      <c r="P475" t="s">
        <v>24</v>
      </c>
    </row>
    <row r="476" spans="1:16" x14ac:dyDescent="0.3">
      <c r="A476" t="s">
        <v>548</v>
      </c>
      <c r="B476" s="1">
        <v>45609</v>
      </c>
      <c r="C476" t="s">
        <v>46</v>
      </c>
      <c r="D476" t="s">
        <v>47</v>
      </c>
      <c r="E476" t="s">
        <v>111</v>
      </c>
      <c r="F476" t="s">
        <v>20</v>
      </c>
      <c r="G476" t="s">
        <v>53</v>
      </c>
      <c r="H476">
        <v>41</v>
      </c>
      <c r="I476">
        <v>600</v>
      </c>
      <c r="J476">
        <v>5</v>
      </c>
      <c r="K476">
        <v>23370</v>
      </c>
      <c r="L476">
        <v>9348</v>
      </c>
      <c r="M476">
        <v>14022</v>
      </c>
      <c r="N476" t="s">
        <v>22</v>
      </c>
      <c r="O476" t="s">
        <v>67</v>
      </c>
      <c r="P476" t="s">
        <v>40</v>
      </c>
    </row>
    <row r="477" spans="1:16" x14ac:dyDescent="0.3">
      <c r="A477" t="s">
        <v>549</v>
      </c>
      <c r="B477" s="1">
        <v>45375</v>
      </c>
      <c r="C477" t="s">
        <v>26</v>
      </c>
      <c r="D477" t="s">
        <v>69</v>
      </c>
      <c r="E477" t="s">
        <v>60</v>
      </c>
      <c r="F477" t="s">
        <v>65</v>
      </c>
      <c r="G477" t="s">
        <v>117</v>
      </c>
      <c r="H477">
        <v>11</v>
      </c>
      <c r="I477">
        <v>1200</v>
      </c>
      <c r="J477">
        <v>5</v>
      </c>
      <c r="K477">
        <v>12540</v>
      </c>
      <c r="L477">
        <v>5643</v>
      </c>
      <c r="M477">
        <v>6897</v>
      </c>
      <c r="N477" t="s">
        <v>49</v>
      </c>
      <c r="O477" t="s">
        <v>67</v>
      </c>
      <c r="P477" t="s">
        <v>40</v>
      </c>
    </row>
    <row r="478" spans="1:16" x14ac:dyDescent="0.3">
      <c r="A478" t="s">
        <v>550</v>
      </c>
      <c r="B478" s="1">
        <v>45221</v>
      </c>
      <c r="C478" t="s">
        <v>46</v>
      </c>
      <c r="D478" t="s">
        <v>55</v>
      </c>
      <c r="E478" t="s">
        <v>70</v>
      </c>
      <c r="F478" t="s">
        <v>33</v>
      </c>
      <c r="G478" t="s">
        <v>43</v>
      </c>
      <c r="H478">
        <v>21</v>
      </c>
      <c r="I478">
        <v>4000</v>
      </c>
      <c r="J478">
        <v>10</v>
      </c>
      <c r="K478">
        <v>75600</v>
      </c>
      <c r="L478">
        <v>37800</v>
      </c>
      <c r="M478">
        <v>37800</v>
      </c>
      <c r="N478" t="s">
        <v>22</v>
      </c>
      <c r="O478" t="s">
        <v>23</v>
      </c>
      <c r="P478" t="s">
        <v>24</v>
      </c>
    </row>
    <row r="479" spans="1:16" x14ac:dyDescent="0.3">
      <c r="A479" t="s">
        <v>551</v>
      </c>
      <c r="B479" s="1">
        <v>45189</v>
      </c>
      <c r="C479" t="s">
        <v>46</v>
      </c>
      <c r="D479" t="s">
        <v>47</v>
      </c>
      <c r="E479" t="s">
        <v>32</v>
      </c>
      <c r="F479" t="s">
        <v>33</v>
      </c>
      <c r="G479" t="s">
        <v>34</v>
      </c>
      <c r="H479">
        <v>29</v>
      </c>
      <c r="I479">
        <v>25000</v>
      </c>
      <c r="J479">
        <v>15</v>
      </c>
      <c r="K479">
        <v>616250</v>
      </c>
      <c r="L479">
        <v>308125</v>
      </c>
      <c r="M479">
        <v>308125</v>
      </c>
      <c r="N479" t="s">
        <v>30</v>
      </c>
      <c r="O479" t="s">
        <v>35</v>
      </c>
      <c r="P479" t="s">
        <v>24</v>
      </c>
    </row>
    <row r="480" spans="1:16" x14ac:dyDescent="0.3">
      <c r="A480" t="s">
        <v>552</v>
      </c>
      <c r="B480" s="1">
        <v>45127</v>
      </c>
      <c r="C480" t="s">
        <v>26</v>
      </c>
      <c r="D480" t="s">
        <v>27</v>
      </c>
      <c r="E480" t="s">
        <v>73</v>
      </c>
      <c r="F480" t="s">
        <v>28</v>
      </c>
      <c r="G480" t="s">
        <v>71</v>
      </c>
      <c r="H480">
        <v>15</v>
      </c>
      <c r="I480">
        <v>35000</v>
      </c>
      <c r="J480">
        <v>5</v>
      </c>
      <c r="K480">
        <v>498750</v>
      </c>
      <c r="L480">
        <v>274312.5</v>
      </c>
      <c r="M480">
        <v>224437.5</v>
      </c>
      <c r="N480" t="s">
        <v>30</v>
      </c>
      <c r="O480" t="s">
        <v>50</v>
      </c>
      <c r="P480" t="s">
        <v>24</v>
      </c>
    </row>
    <row r="481" spans="1:16" x14ac:dyDescent="0.3">
      <c r="A481" t="s">
        <v>553</v>
      </c>
      <c r="B481" s="1">
        <v>45643</v>
      </c>
      <c r="C481" t="s">
        <v>46</v>
      </c>
      <c r="D481" t="s">
        <v>47</v>
      </c>
      <c r="E481" t="s">
        <v>56</v>
      </c>
      <c r="F481" t="s">
        <v>65</v>
      </c>
      <c r="G481" t="s">
        <v>124</v>
      </c>
      <c r="H481">
        <v>10</v>
      </c>
      <c r="I481">
        <v>18000</v>
      </c>
      <c r="J481">
        <v>5</v>
      </c>
      <c r="K481">
        <v>171000</v>
      </c>
      <c r="L481">
        <v>76950</v>
      </c>
      <c r="M481">
        <v>94050</v>
      </c>
      <c r="N481" t="s">
        <v>49</v>
      </c>
      <c r="O481" t="s">
        <v>67</v>
      </c>
      <c r="P481" t="s">
        <v>24</v>
      </c>
    </row>
    <row r="482" spans="1:16" x14ac:dyDescent="0.3">
      <c r="A482" t="s">
        <v>554</v>
      </c>
      <c r="B482" s="1">
        <v>45024</v>
      </c>
      <c r="C482" t="s">
        <v>17</v>
      </c>
      <c r="D482" t="s">
        <v>37</v>
      </c>
      <c r="E482" t="s">
        <v>52</v>
      </c>
      <c r="F482" t="s">
        <v>65</v>
      </c>
      <c r="G482" t="s">
        <v>79</v>
      </c>
      <c r="H482">
        <v>14</v>
      </c>
      <c r="I482">
        <v>900</v>
      </c>
      <c r="J482">
        <v>0</v>
      </c>
      <c r="K482">
        <v>12600</v>
      </c>
      <c r="L482">
        <v>5670</v>
      </c>
      <c r="M482">
        <v>6930</v>
      </c>
      <c r="N482" t="s">
        <v>49</v>
      </c>
      <c r="O482" t="s">
        <v>44</v>
      </c>
      <c r="P482" t="s">
        <v>24</v>
      </c>
    </row>
    <row r="483" spans="1:16" x14ac:dyDescent="0.3">
      <c r="A483" t="s">
        <v>555</v>
      </c>
      <c r="B483" s="1">
        <v>45531</v>
      </c>
      <c r="C483" t="s">
        <v>26</v>
      </c>
      <c r="D483" t="s">
        <v>69</v>
      </c>
      <c r="E483" t="s">
        <v>56</v>
      </c>
      <c r="F483" t="s">
        <v>65</v>
      </c>
      <c r="G483" t="s">
        <v>117</v>
      </c>
      <c r="H483">
        <v>50</v>
      </c>
      <c r="I483">
        <v>1200</v>
      </c>
      <c r="J483">
        <v>0</v>
      </c>
      <c r="K483">
        <v>60000</v>
      </c>
      <c r="L483">
        <v>27000</v>
      </c>
      <c r="M483">
        <v>33000</v>
      </c>
      <c r="N483" t="s">
        <v>49</v>
      </c>
      <c r="O483" t="s">
        <v>23</v>
      </c>
      <c r="P483" t="s">
        <v>24</v>
      </c>
    </row>
    <row r="484" spans="1:16" x14ac:dyDescent="0.3">
      <c r="A484" t="s">
        <v>556</v>
      </c>
      <c r="B484" s="1">
        <v>45379</v>
      </c>
      <c r="C484" t="s">
        <v>26</v>
      </c>
      <c r="D484" t="s">
        <v>27</v>
      </c>
      <c r="E484" t="s">
        <v>38</v>
      </c>
      <c r="F484" t="s">
        <v>28</v>
      </c>
      <c r="G484" t="s">
        <v>85</v>
      </c>
      <c r="H484">
        <v>4</v>
      </c>
      <c r="I484">
        <v>8000</v>
      </c>
      <c r="J484">
        <v>10</v>
      </c>
      <c r="K484">
        <v>28800</v>
      </c>
      <c r="L484">
        <v>15840</v>
      </c>
      <c r="M484">
        <v>12960</v>
      </c>
      <c r="N484" t="s">
        <v>30</v>
      </c>
      <c r="O484" t="s">
        <v>50</v>
      </c>
      <c r="P484" t="s">
        <v>40</v>
      </c>
    </row>
    <row r="485" spans="1:16" x14ac:dyDescent="0.3">
      <c r="A485" t="s">
        <v>557</v>
      </c>
      <c r="B485" s="1">
        <v>45615</v>
      </c>
      <c r="C485" t="s">
        <v>46</v>
      </c>
      <c r="D485" t="s">
        <v>55</v>
      </c>
      <c r="E485" t="s">
        <v>111</v>
      </c>
      <c r="F485" t="s">
        <v>20</v>
      </c>
      <c r="G485" t="s">
        <v>74</v>
      </c>
      <c r="H485">
        <v>4</v>
      </c>
      <c r="I485">
        <v>4200</v>
      </c>
      <c r="J485">
        <v>15</v>
      </c>
      <c r="K485">
        <v>14280</v>
      </c>
      <c r="L485">
        <v>5712</v>
      </c>
      <c r="M485">
        <v>8568</v>
      </c>
      <c r="N485" t="s">
        <v>22</v>
      </c>
      <c r="O485" t="s">
        <v>67</v>
      </c>
      <c r="P485" t="s">
        <v>24</v>
      </c>
    </row>
    <row r="486" spans="1:16" x14ac:dyDescent="0.3">
      <c r="A486" t="s">
        <v>558</v>
      </c>
      <c r="B486" s="1">
        <v>45538</v>
      </c>
      <c r="C486" t="s">
        <v>46</v>
      </c>
      <c r="D486" t="s">
        <v>55</v>
      </c>
      <c r="E486" t="s">
        <v>73</v>
      </c>
      <c r="F486" t="s">
        <v>65</v>
      </c>
      <c r="G486" t="s">
        <v>104</v>
      </c>
      <c r="H486">
        <v>9</v>
      </c>
      <c r="I486">
        <v>3000</v>
      </c>
      <c r="J486">
        <v>10</v>
      </c>
      <c r="K486">
        <v>24300</v>
      </c>
      <c r="L486">
        <v>10935</v>
      </c>
      <c r="M486">
        <v>13365</v>
      </c>
      <c r="N486" t="s">
        <v>49</v>
      </c>
      <c r="O486" t="s">
        <v>67</v>
      </c>
      <c r="P486" t="s">
        <v>24</v>
      </c>
    </row>
    <row r="487" spans="1:16" x14ac:dyDescent="0.3">
      <c r="A487" t="s">
        <v>559</v>
      </c>
      <c r="B487" s="1">
        <v>44669</v>
      </c>
      <c r="C487" t="s">
        <v>58</v>
      </c>
      <c r="D487" t="s">
        <v>59</v>
      </c>
      <c r="E487" t="s">
        <v>52</v>
      </c>
      <c r="F487" t="s">
        <v>65</v>
      </c>
      <c r="G487" t="s">
        <v>79</v>
      </c>
      <c r="H487">
        <v>28</v>
      </c>
      <c r="I487">
        <v>900</v>
      </c>
      <c r="J487">
        <v>5</v>
      </c>
      <c r="K487">
        <v>23940</v>
      </c>
      <c r="L487">
        <v>10773</v>
      </c>
      <c r="M487">
        <v>13167</v>
      </c>
      <c r="N487" t="s">
        <v>49</v>
      </c>
      <c r="O487" t="s">
        <v>67</v>
      </c>
      <c r="P487" t="s">
        <v>24</v>
      </c>
    </row>
    <row r="488" spans="1:16" x14ac:dyDescent="0.3">
      <c r="A488" t="s">
        <v>560</v>
      </c>
      <c r="B488" s="1">
        <v>44942</v>
      </c>
      <c r="C488" t="s">
        <v>58</v>
      </c>
      <c r="D488" t="s">
        <v>64</v>
      </c>
      <c r="E488" t="s">
        <v>38</v>
      </c>
      <c r="F488" t="s">
        <v>20</v>
      </c>
      <c r="G488" t="s">
        <v>53</v>
      </c>
      <c r="H488">
        <v>40</v>
      </c>
      <c r="I488">
        <v>600</v>
      </c>
      <c r="J488">
        <v>20</v>
      </c>
      <c r="K488">
        <v>19200</v>
      </c>
      <c r="L488">
        <v>7680</v>
      </c>
      <c r="M488">
        <v>11520</v>
      </c>
      <c r="N488" t="s">
        <v>30</v>
      </c>
      <c r="O488" t="s">
        <v>35</v>
      </c>
      <c r="P488" t="s">
        <v>24</v>
      </c>
    </row>
    <row r="489" spans="1:16" x14ac:dyDescent="0.3">
      <c r="A489" t="s">
        <v>561</v>
      </c>
      <c r="B489" s="1">
        <v>45102</v>
      </c>
      <c r="C489" t="s">
        <v>58</v>
      </c>
      <c r="D489" t="s">
        <v>59</v>
      </c>
      <c r="E489" t="s">
        <v>38</v>
      </c>
      <c r="F489" t="s">
        <v>28</v>
      </c>
      <c r="G489" t="s">
        <v>95</v>
      </c>
      <c r="H489">
        <v>43</v>
      </c>
      <c r="I489">
        <v>75000</v>
      </c>
      <c r="J489">
        <v>15</v>
      </c>
      <c r="K489">
        <v>2741250</v>
      </c>
      <c r="L489">
        <v>1507687.5</v>
      </c>
      <c r="M489">
        <v>1233562.5</v>
      </c>
      <c r="N489" t="s">
        <v>49</v>
      </c>
      <c r="O489" t="s">
        <v>50</v>
      </c>
      <c r="P489" t="s">
        <v>24</v>
      </c>
    </row>
    <row r="490" spans="1:16" x14ac:dyDescent="0.3">
      <c r="A490" t="s">
        <v>562</v>
      </c>
      <c r="B490" s="1">
        <v>44937</v>
      </c>
      <c r="C490" t="s">
        <v>17</v>
      </c>
      <c r="D490" t="s">
        <v>42</v>
      </c>
      <c r="E490" t="s">
        <v>56</v>
      </c>
      <c r="F490" t="s">
        <v>33</v>
      </c>
      <c r="G490" t="s">
        <v>76</v>
      </c>
      <c r="H490">
        <v>23</v>
      </c>
      <c r="I490">
        <v>8500</v>
      </c>
      <c r="J490">
        <v>20</v>
      </c>
      <c r="K490">
        <v>156400</v>
      </c>
      <c r="L490">
        <v>78200</v>
      </c>
      <c r="M490">
        <v>78200</v>
      </c>
      <c r="N490" t="s">
        <v>22</v>
      </c>
      <c r="O490" t="s">
        <v>44</v>
      </c>
      <c r="P490" t="s">
        <v>24</v>
      </c>
    </row>
    <row r="491" spans="1:16" x14ac:dyDescent="0.3">
      <c r="A491" t="s">
        <v>563</v>
      </c>
      <c r="B491" s="1">
        <v>45414</v>
      </c>
      <c r="C491" t="s">
        <v>46</v>
      </c>
      <c r="D491" t="s">
        <v>47</v>
      </c>
      <c r="E491" t="s">
        <v>70</v>
      </c>
      <c r="F491" t="s">
        <v>20</v>
      </c>
      <c r="G491" t="s">
        <v>21</v>
      </c>
      <c r="H491">
        <v>8</v>
      </c>
      <c r="I491">
        <v>3500</v>
      </c>
      <c r="J491">
        <v>0</v>
      </c>
      <c r="K491">
        <v>28000</v>
      </c>
      <c r="L491">
        <v>11200</v>
      </c>
      <c r="M491">
        <v>16800</v>
      </c>
      <c r="N491" t="s">
        <v>22</v>
      </c>
      <c r="O491" t="s">
        <v>44</v>
      </c>
      <c r="P491" t="s">
        <v>24</v>
      </c>
    </row>
    <row r="492" spans="1:16" x14ac:dyDescent="0.3">
      <c r="A492" t="s">
        <v>564</v>
      </c>
      <c r="B492" s="1">
        <v>45108</v>
      </c>
      <c r="C492" t="s">
        <v>17</v>
      </c>
      <c r="D492" t="s">
        <v>42</v>
      </c>
      <c r="E492" t="s">
        <v>52</v>
      </c>
      <c r="F492" t="s">
        <v>33</v>
      </c>
      <c r="G492" t="s">
        <v>48</v>
      </c>
      <c r="H492">
        <v>31</v>
      </c>
      <c r="I492">
        <v>1500</v>
      </c>
      <c r="J492">
        <v>0</v>
      </c>
      <c r="K492">
        <v>46500</v>
      </c>
      <c r="L492">
        <v>23250</v>
      </c>
      <c r="M492">
        <v>23250</v>
      </c>
      <c r="N492" t="s">
        <v>30</v>
      </c>
      <c r="O492" t="s">
        <v>67</v>
      </c>
      <c r="P492" t="s">
        <v>24</v>
      </c>
    </row>
    <row r="493" spans="1:16" x14ac:dyDescent="0.3">
      <c r="A493" t="s">
        <v>565</v>
      </c>
      <c r="B493" s="1">
        <v>44964</v>
      </c>
      <c r="C493" t="s">
        <v>17</v>
      </c>
      <c r="D493" t="s">
        <v>42</v>
      </c>
      <c r="E493" t="s">
        <v>60</v>
      </c>
      <c r="F493" t="s">
        <v>20</v>
      </c>
      <c r="G493" t="s">
        <v>21</v>
      </c>
      <c r="H493">
        <v>25</v>
      </c>
      <c r="I493">
        <v>3500</v>
      </c>
      <c r="J493">
        <v>20</v>
      </c>
      <c r="K493">
        <v>70000</v>
      </c>
      <c r="L493">
        <v>28000</v>
      </c>
      <c r="M493">
        <v>42000</v>
      </c>
      <c r="N493" t="s">
        <v>30</v>
      </c>
      <c r="O493" t="s">
        <v>50</v>
      </c>
      <c r="P493" t="s">
        <v>40</v>
      </c>
    </row>
    <row r="494" spans="1:16" x14ac:dyDescent="0.3">
      <c r="A494" t="s">
        <v>566</v>
      </c>
      <c r="B494" s="1">
        <v>44867</v>
      </c>
      <c r="C494" t="s">
        <v>17</v>
      </c>
      <c r="D494" t="s">
        <v>18</v>
      </c>
      <c r="E494" t="s">
        <v>38</v>
      </c>
      <c r="F494" t="s">
        <v>33</v>
      </c>
      <c r="G494" t="s">
        <v>39</v>
      </c>
      <c r="H494">
        <v>30</v>
      </c>
      <c r="I494">
        <v>5000</v>
      </c>
      <c r="J494">
        <v>0</v>
      </c>
      <c r="K494">
        <v>150000</v>
      </c>
      <c r="L494">
        <v>75000</v>
      </c>
      <c r="M494">
        <v>75000</v>
      </c>
      <c r="N494" t="s">
        <v>49</v>
      </c>
      <c r="O494" t="s">
        <v>50</v>
      </c>
      <c r="P494" t="s">
        <v>24</v>
      </c>
    </row>
    <row r="495" spans="1:16" x14ac:dyDescent="0.3">
      <c r="A495" t="s">
        <v>567</v>
      </c>
      <c r="B495" s="1">
        <v>45288</v>
      </c>
      <c r="C495" t="s">
        <v>26</v>
      </c>
      <c r="D495" t="s">
        <v>27</v>
      </c>
      <c r="E495" t="s">
        <v>73</v>
      </c>
      <c r="F495" t="s">
        <v>65</v>
      </c>
      <c r="G495" t="s">
        <v>104</v>
      </c>
      <c r="H495">
        <v>25</v>
      </c>
      <c r="I495">
        <v>3000</v>
      </c>
      <c r="J495">
        <v>20</v>
      </c>
      <c r="K495">
        <v>60000</v>
      </c>
      <c r="L495">
        <v>27000</v>
      </c>
      <c r="M495">
        <v>33000</v>
      </c>
      <c r="N495" t="s">
        <v>49</v>
      </c>
      <c r="O495" t="s">
        <v>23</v>
      </c>
      <c r="P495" t="s">
        <v>24</v>
      </c>
    </row>
    <row r="496" spans="1:16" x14ac:dyDescent="0.3">
      <c r="A496" t="s">
        <v>568</v>
      </c>
      <c r="B496" s="1">
        <v>45599</v>
      </c>
      <c r="C496" t="s">
        <v>46</v>
      </c>
      <c r="D496" t="s">
        <v>47</v>
      </c>
      <c r="E496" t="s">
        <v>111</v>
      </c>
      <c r="F496" t="s">
        <v>65</v>
      </c>
      <c r="G496" t="s">
        <v>79</v>
      </c>
      <c r="H496">
        <v>46</v>
      </c>
      <c r="I496">
        <v>900</v>
      </c>
      <c r="J496">
        <v>0</v>
      </c>
      <c r="K496">
        <v>41400</v>
      </c>
      <c r="L496">
        <v>18630</v>
      </c>
      <c r="M496">
        <v>22770</v>
      </c>
      <c r="N496" t="s">
        <v>30</v>
      </c>
      <c r="O496" t="s">
        <v>67</v>
      </c>
      <c r="P496" t="s">
        <v>24</v>
      </c>
    </row>
    <row r="497" spans="1:16" x14ac:dyDescent="0.3">
      <c r="A497" t="s">
        <v>569</v>
      </c>
      <c r="B497" s="1">
        <v>45149</v>
      </c>
      <c r="C497" t="s">
        <v>58</v>
      </c>
      <c r="D497" t="s">
        <v>59</v>
      </c>
      <c r="E497" t="s">
        <v>78</v>
      </c>
      <c r="F497" t="s">
        <v>28</v>
      </c>
      <c r="G497" t="s">
        <v>71</v>
      </c>
      <c r="H497">
        <v>44</v>
      </c>
      <c r="I497">
        <v>35000</v>
      </c>
      <c r="J497">
        <v>10</v>
      </c>
      <c r="K497">
        <v>1386000</v>
      </c>
      <c r="L497">
        <v>762300</v>
      </c>
      <c r="M497">
        <v>623700</v>
      </c>
      <c r="N497" t="s">
        <v>22</v>
      </c>
      <c r="O497" t="s">
        <v>50</v>
      </c>
      <c r="P497" t="s">
        <v>24</v>
      </c>
    </row>
    <row r="498" spans="1:16" x14ac:dyDescent="0.3">
      <c r="A498" t="s">
        <v>570</v>
      </c>
      <c r="B498" s="1">
        <v>45033</v>
      </c>
      <c r="C498" t="s">
        <v>17</v>
      </c>
      <c r="D498" t="s">
        <v>18</v>
      </c>
      <c r="E498" t="s">
        <v>73</v>
      </c>
      <c r="F498" t="s">
        <v>65</v>
      </c>
      <c r="G498" t="s">
        <v>117</v>
      </c>
      <c r="H498">
        <v>36</v>
      </c>
      <c r="I498">
        <v>1200</v>
      </c>
      <c r="J498">
        <v>10</v>
      </c>
      <c r="K498">
        <v>38880</v>
      </c>
      <c r="L498">
        <v>17496</v>
      </c>
      <c r="M498">
        <v>21384</v>
      </c>
      <c r="N498" t="s">
        <v>30</v>
      </c>
      <c r="O498" t="s">
        <v>50</v>
      </c>
      <c r="P498" t="s">
        <v>24</v>
      </c>
    </row>
    <row r="499" spans="1:16" x14ac:dyDescent="0.3">
      <c r="A499" t="s">
        <v>571</v>
      </c>
      <c r="B499" s="1">
        <v>45344</v>
      </c>
      <c r="C499" t="s">
        <v>46</v>
      </c>
      <c r="D499" t="s">
        <v>47</v>
      </c>
      <c r="E499" t="s">
        <v>32</v>
      </c>
      <c r="F499" t="s">
        <v>20</v>
      </c>
      <c r="G499" t="s">
        <v>115</v>
      </c>
      <c r="H499">
        <v>16</v>
      </c>
      <c r="I499">
        <v>2500</v>
      </c>
      <c r="J499">
        <v>20</v>
      </c>
      <c r="K499">
        <v>32000</v>
      </c>
      <c r="L499">
        <v>12800</v>
      </c>
      <c r="M499">
        <v>19200</v>
      </c>
      <c r="N499" t="s">
        <v>49</v>
      </c>
      <c r="O499" t="s">
        <v>50</v>
      </c>
      <c r="P499" t="s">
        <v>24</v>
      </c>
    </row>
    <row r="500" spans="1:16" x14ac:dyDescent="0.3">
      <c r="A500" t="s">
        <v>572</v>
      </c>
      <c r="B500" s="1">
        <v>45214</v>
      </c>
      <c r="C500" t="s">
        <v>46</v>
      </c>
      <c r="D500" t="s">
        <v>47</v>
      </c>
      <c r="E500" t="s">
        <v>78</v>
      </c>
      <c r="F500" t="s">
        <v>20</v>
      </c>
      <c r="G500" t="s">
        <v>74</v>
      </c>
      <c r="H500">
        <v>20</v>
      </c>
      <c r="I500">
        <v>4200</v>
      </c>
      <c r="J500">
        <v>20</v>
      </c>
      <c r="K500">
        <v>67200</v>
      </c>
      <c r="L500">
        <v>26880</v>
      </c>
      <c r="M500">
        <v>40320</v>
      </c>
      <c r="N500" t="s">
        <v>49</v>
      </c>
      <c r="O500" t="s">
        <v>44</v>
      </c>
      <c r="P500" t="s">
        <v>24</v>
      </c>
    </row>
    <row r="501" spans="1:16" x14ac:dyDescent="0.3">
      <c r="A501" t="s">
        <v>573</v>
      </c>
      <c r="B501" s="1">
        <v>44876</v>
      </c>
      <c r="C501" t="s">
        <v>26</v>
      </c>
      <c r="D501" t="s">
        <v>27</v>
      </c>
      <c r="E501" t="s">
        <v>78</v>
      </c>
      <c r="F501" t="s">
        <v>33</v>
      </c>
      <c r="G501" t="s">
        <v>76</v>
      </c>
      <c r="H501">
        <v>47</v>
      </c>
      <c r="I501">
        <v>8500</v>
      </c>
      <c r="J501">
        <v>0</v>
      </c>
      <c r="K501">
        <v>399500</v>
      </c>
      <c r="L501">
        <v>199750</v>
      </c>
      <c r="M501">
        <v>199750</v>
      </c>
      <c r="N501" t="s">
        <v>49</v>
      </c>
      <c r="O501" t="s">
        <v>23</v>
      </c>
      <c r="P501" t="s">
        <v>24</v>
      </c>
    </row>
    <row r="502" spans="1:16" x14ac:dyDescent="0.3">
      <c r="A502" t="s">
        <v>574</v>
      </c>
      <c r="B502" s="1">
        <v>45153</v>
      </c>
      <c r="C502" t="s">
        <v>17</v>
      </c>
      <c r="D502" t="s">
        <v>18</v>
      </c>
      <c r="E502" t="s">
        <v>19</v>
      </c>
      <c r="F502" t="s">
        <v>28</v>
      </c>
      <c r="G502" t="s">
        <v>87</v>
      </c>
      <c r="H502">
        <v>12</v>
      </c>
      <c r="I502">
        <v>45000</v>
      </c>
      <c r="J502">
        <v>0</v>
      </c>
      <c r="K502">
        <v>540000</v>
      </c>
      <c r="L502">
        <v>297000</v>
      </c>
      <c r="M502">
        <v>243000</v>
      </c>
      <c r="N502" t="s">
        <v>22</v>
      </c>
      <c r="O502" t="s">
        <v>50</v>
      </c>
      <c r="P502" t="s">
        <v>40</v>
      </c>
    </row>
    <row r="503" spans="1:16" x14ac:dyDescent="0.3">
      <c r="A503" t="s">
        <v>575</v>
      </c>
      <c r="B503" s="1">
        <v>45005</v>
      </c>
      <c r="C503" t="s">
        <v>46</v>
      </c>
      <c r="D503" t="s">
        <v>47</v>
      </c>
      <c r="E503" t="s">
        <v>56</v>
      </c>
      <c r="F503" t="s">
        <v>33</v>
      </c>
      <c r="G503" t="s">
        <v>39</v>
      </c>
      <c r="H503">
        <v>45</v>
      </c>
      <c r="I503">
        <v>5000</v>
      </c>
      <c r="J503">
        <v>15</v>
      </c>
      <c r="K503">
        <v>191250</v>
      </c>
      <c r="L503">
        <v>95625</v>
      </c>
      <c r="M503">
        <v>95625</v>
      </c>
      <c r="N503" t="s">
        <v>22</v>
      </c>
      <c r="O503" t="s">
        <v>67</v>
      </c>
      <c r="P503" t="s">
        <v>24</v>
      </c>
    </row>
    <row r="504" spans="1:16" x14ac:dyDescent="0.3">
      <c r="A504" t="s">
        <v>576</v>
      </c>
      <c r="B504" s="1">
        <v>45496</v>
      </c>
      <c r="C504" t="s">
        <v>17</v>
      </c>
      <c r="D504" t="s">
        <v>18</v>
      </c>
      <c r="E504" t="s">
        <v>32</v>
      </c>
      <c r="F504" t="s">
        <v>65</v>
      </c>
      <c r="G504" t="s">
        <v>66</v>
      </c>
      <c r="H504">
        <v>9</v>
      </c>
      <c r="I504">
        <v>5500</v>
      </c>
      <c r="J504">
        <v>5</v>
      </c>
      <c r="K504">
        <v>47025</v>
      </c>
      <c r="L504">
        <v>21161.25</v>
      </c>
      <c r="M504">
        <v>25863.75</v>
      </c>
      <c r="N504" t="s">
        <v>30</v>
      </c>
      <c r="O504" t="s">
        <v>35</v>
      </c>
      <c r="P504" t="s">
        <v>24</v>
      </c>
    </row>
    <row r="505" spans="1:16" x14ac:dyDescent="0.3">
      <c r="A505" t="s">
        <v>577</v>
      </c>
      <c r="B505" s="1">
        <v>45376</v>
      </c>
      <c r="C505" t="s">
        <v>26</v>
      </c>
      <c r="D505" t="s">
        <v>69</v>
      </c>
      <c r="E505" t="s">
        <v>32</v>
      </c>
      <c r="F505" t="s">
        <v>20</v>
      </c>
      <c r="G505" t="s">
        <v>74</v>
      </c>
      <c r="H505">
        <v>49</v>
      </c>
      <c r="I505">
        <v>4200</v>
      </c>
      <c r="J505">
        <v>5</v>
      </c>
      <c r="K505">
        <v>195510</v>
      </c>
      <c r="L505">
        <v>78204</v>
      </c>
      <c r="M505">
        <v>117306</v>
      </c>
      <c r="N505" t="s">
        <v>30</v>
      </c>
      <c r="O505" t="s">
        <v>23</v>
      </c>
      <c r="P505" t="s">
        <v>24</v>
      </c>
    </row>
    <row r="506" spans="1:16" x14ac:dyDescent="0.3">
      <c r="A506" t="s">
        <v>578</v>
      </c>
      <c r="B506" s="1">
        <v>45527</v>
      </c>
      <c r="C506" t="s">
        <v>17</v>
      </c>
      <c r="D506" t="s">
        <v>37</v>
      </c>
      <c r="E506" t="s">
        <v>19</v>
      </c>
      <c r="F506" t="s">
        <v>65</v>
      </c>
      <c r="G506" t="s">
        <v>66</v>
      </c>
      <c r="H506">
        <v>50</v>
      </c>
      <c r="I506">
        <v>5500</v>
      </c>
      <c r="J506">
        <v>0</v>
      </c>
      <c r="K506">
        <v>275000</v>
      </c>
      <c r="L506">
        <v>123750</v>
      </c>
      <c r="M506">
        <v>151250</v>
      </c>
      <c r="N506" t="s">
        <v>22</v>
      </c>
      <c r="O506" t="s">
        <v>23</v>
      </c>
      <c r="P506" t="s">
        <v>40</v>
      </c>
    </row>
    <row r="507" spans="1:16" x14ac:dyDescent="0.3">
      <c r="A507" t="s">
        <v>579</v>
      </c>
      <c r="B507" s="1">
        <v>45182</v>
      </c>
      <c r="C507" t="s">
        <v>26</v>
      </c>
      <c r="D507" t="s">
        <v>27</v>
      </c>
      <c r="E507" t="s">
        <v>60</v>
      </c>
      <c r="F507" t="s">
        <v>65</v>
      </c>
      <c r="G507" t="s">
        <v>117</v>
      </c>
      <c r="H507">
        <v>16</v>
      </c>
      <c r="I507">
        <v>1200</v>
      </c>
      <c r="J507">
        <v>20</v>
      </c>
      <c r="K507">
        <v>15360</v>
      </c>
      <c r="L507">
        <v>6912</v>
      </c>
      <c r="M507">
        <v>8448</v>
      </c>
      <c r="N507" t="s">
        <v>49</v>
      </c>
      <c r="O507" t="s">
        <v>35</v>
      </c>
      <c r="P507" t="s">
        <v>40</v>
      </c>
    </row>
    <row r="508" spans="1:16" x14ac:dyDescent="0.3">
      <c r="A508" t="s">
        <v>580</v>
      </c>
      <c r="B508" s="1">
        <v>45639</v>
      </c>
      <c r="C508" t="s">
        <v>26</v>
      </c>
      <c r="D508" t="s">
        <v>27</v>
      </c>
      <c r="E508" t="s">
        <v>73</v>
      </c>
      <c r="F508" t="s">
        <v>65</v>
      </c>
      <c r="G508" t="s">
        <v>66</v>
      </c>
      <c r="H508">
        <v>20</v>
      </c>
      <c r="I508">
        <v>5500</v>
      </c>
      <c r="J508">
        <v>10</v>
      </c>
      <c r="K508">
        <v>99000</v>
      </c>
      <c r="L508">
        <v>44550</v>
      </c>
      <c r="M508">
        <v>54450</v>
      </c>
      <c r="N508" t="s">
        <v>30</v>
      </c>
      <c r="O508" t="s">
        <v>23</v>
      </c>
      <c r="P508" t="s">
        <v>24</v>
      </c>
    </row>
    <row r="509" spans="1:16" x14ac:dyDescent="0.3">
      <c r="A509" t="s">
        <v>581</v>
      </c>
      <c r="B509" s="1">
        <v>45127</v>
      </c>
      <c r="C509" t="s">
        <v>26</v>
      </c>
      <c r="D509" t="s">
        <v>27</v>
      </c>
      <c r="E509" t="s">
        <v>60</v>
      </c>
      <c r="F509" t="s">
        <v>65</v>
      </c>
      <c r="G509" t="s">
        <v>117</v>
      </c>
      <c r="H509">
        <v>47</v>
      </c>
      <c r="I509">
        <v>1200</v>
      </c>
      <c r="J509">
        <v>20</v>
      </c>
      <c r="K509">
        <v>45120</v>
      </c>
      <c r="L509">
        <v>20304</v>
      </c>
      <c r="M509">
        <v>24816</v>
      </c>
      <c r="N509" t="s">
        <v>30</v>
      </c>
      <c r="O509" t="s">
        <v>67</v>
      </c>
      <c r="P509" t="s">
        <v>24</v>
      </c>
    </row>
    <row r="510" spans="1:16" x14ac:dyDescent="0.3">
      <c r="A510" t="s">
        <v>582</v>
      </c>
      <c r="B510" s="1">
        <v>45601</v>
      </c>
      <c r="C510" t="s">
        <v>58</v>
      </c>
      <c r="D510" t="s">
        <v>59</v>
      </c>
      <c r="E510" t="s">
        <v>70</v>
      </c>
      <c r="F510" t="s">
        <v>65</v>
      </c>
      <c r="G510" t="s">
        <v>117</v>
      </c>
      <c r="H510">
        <v>12</v>
      </c>
      <c r="I510">
        <v>1200</v>
      </c>
      <c r="J510">
        <v>15</v>
      </c>
      <c r="K510">
        <v>12240</v>
      </c>
      <c r="L510">
        <v>5508</v>
      </c>
      <c r="M510">
        <v>6732</v>
      </c>
      <c r="N510" t="s">
        <v>22</v>
      </c>
      <c r="O510" t="s">
        <v>44</v>
      </c>
      <c r="P510" t="s">
        <v>40</v>
      </c>
    </row>
    <row r="511" spans="1:16" x14ac:dyDescent="0.3">
      <c r="A511" t="s">
        <v>583</v>
      </c>
      <c r="B511" s="1">
        <v>45446</v>
      </c>
      <c r="C511" t="s">
        <v>17</v>
      </c>
      <c r="D511" t="s">
        <v>37</v>
      </c>
      <c r="E511" t="s">
        <v>78</v>
      </c>
      <c r="F511" t="s">
        <v>28</v>
      </c>
      <c r="G511" t="s">
        <v>95</v>
      </c>
      <c r="H511">
        <v>8</v>
      </c>
      <c r="I511">
        <v>75000</v>
      </c>
      <c r="J511">
        <v>15</v>
      </c>
      <c r="K511">
        <v>510000</v>
      </c>
      <c r="L511">
        <v>280500</v>
      </c>
      <c r="M511">
        <v>229500</v>
      </c>
      <c r="N511" t="s">
        <v>30</v>
      </c>
      <c r="O511" t="s">
        <v>67</v>
      </c>
      <c r="P511" t="s">
        <v>24</v>
      </c>
    </row>
    <row r="512" spans="1:16" x14ac:dyDescent="0.3">
      <c r="A512" t="s">
        <v>584</v>
      </c>
      <c r="B512" s="1">
        <v>45315</v>
      </c>
      <c r="C512" t="s">
        <v>46</v>
      </c>
      <c r="D512" t="s">
        <v>55</v>
      </c>
      <c r="E512" t="s">
        <v>111</v>
      </c>
      <c r="F512" t="s">
        <v>65</v>
      </c>
      <c r="G512" t="s">
        <v>117</v>
      </c>
      <c r="H512">
        <v>50</v>
      </c>
      <c r="I512">
        <v>1200</v>
      </c>
      <c r="J512">
        <v>5</v>
      </c>
      <c r="K512">
        <v>57000</v>
      </c>
      <c r="L512">
        <v>25650</v>
      </c>
      <c r="M512">
        <v>31350</v>
      </c>
      <c r="N512" t="s">
        <v>22</v>
      </c>
      <c r="O512" t="s">
        <v>44</v>
      </c>
      <c r="P512" t="s">
        <v>24</v>
      </c>
    </row>
    <row r="513" spans="1:16" x14ac:dyDescent="0.3">
      <c r="A513" t="s">
        <v>585</v>
      </c>
      <c r="B513" s="1">
        <v>44893</v>
      </c>
      <c r="C513" t="s">
        <v>46</v>
      </c>
      <c r="D513" t="s">
        <v>47</v>
      </c>
      <c r="E513" t="s">
        <v>56</v>
      </c>
      <c r="F513" t="s">
        <v>65</v>
      </c>
      <c r="G513" t="s">
        <v>124</v>
      </c>
      <c r="H513">
        <v>20</v>
      </c>
      <c r="I513">
        <v>18000</v>
      </c>
      <c r="J513">
        <v>15</v>
      </c>
      <c r="K513">
        <v>306000</v>
      </c>
      <c r="L513">
        <v>137700</v>
      </c>
      <c r="M513">
        <v>168300</v>
      </c>
      <c r="N513" t="s">
        <v>22</v>
      </c>
      <c r="O513" t="s">
        <v>44</v>
      </c>
      <c r="P513" t="s">
        <v>24</v>
      </c>
    </row>
    <row r="514" spans="1:16" x14ac:dyDescent="0.3">
      <c r="A514" t="s">
        <v>586</v>
      </c>
      <c r="B514" s="1">
        <v>44778</v>
      </c>
      <c r="C514" t="s">
        <v>46</v>
      </c>
      <c r="D514" t="s">
        <v>47</v>
      </c>
      <c r="E514" t="s">
        <v>38</v>
      </c>
      <c r="F514" t="s">
        <v>33</v>
      </c>
      <c r="G514" t="s">
        <v>39</v>
      </c>
      <c r="H514">
        <v>30</v>
      </c>
      <c r="I514">
        <v>5000</v>
      </c>
      <c r="J514">
        <v>15</v>
      </c>
      <c r="K514">
        <v>127500</v>
      </c>
      <c r="L514">
        <v>63750</v>
      </c>
      <c r="M514">
        <v>63750</v>
      </c>
      <c r="N514" t="s">
        <v>22</v>
      </c>
      <c r="O514" t="s">
        <v>35</v>
      </c>
      <c r="P514" t="s">
        <v>24</v>
      </c>
    </row>
    <row r="515" spans="1:16" x14ac:dyDescent="0.3">
      <c r="A515" t="s">
        <v>587</v>
      </c>
      <c r="B515" s="1">
        <v>45512</v>
      </c>
      <c r="C515" t="s">
        <v>46</v>
      </c>
      <c r="D515" t="s">
        <v>55</v>
      </c>
      <c r="E515" t="s">
        <v>60</v>
      </c>
      <c r="F515" t="s">
        <v>65</v>
      </c>
      <c r="G515" t="s">
        <v>66</v>
      </c>
      <c r="H515">
        <v>6</v>
      </c>
      <c r="I515">
        <v>5500</v>
      </c>
      <c r="J515">
        <v>20</v>
      </c>
      <c r="K515">
        <v>26400</v>
      </c>
      <c r="L515">
        <v>11880</v>
      </c>
      <c r="M515">
        <v>14520</v>
      </c>
      <c r="N515" t="s">
        <v>30</v>
      </c>
      <c r="O515" t="s">
        <v>44</v>
      </c>
      <c r="P515" t="s">
        <v>40</v>
      </c>
    </row>
    <row r="516" spans="1:16" x14ac:dyDescent="0.3">
      <c r="A516" t="s">
        <v>588</v>
      </c>
      <c r="B516" s="1">
        <v>45635</v>
      </c>
      <c r="C516" t="s">
        <v>46</v>
      </c>
      <c r="D516" t="s">
        <v>47</v>
      </c>
      <c r="E516" t="s">
        <v>78</v>
      </c>
      <c r="F516" t="s">
        <v>20</v>
      </c>
      <c r="G516" t="s">
        <v>21</v>
      </c>
      <c r="H516">
        <v>42</v>
      </c>
      <c r="I516">
        <v>3500</v>
      </c>
      <c r="J516">
        <v>10</v>
      </c>
      <c r="K516">
        <v>132300</v>
      </c>
      <c r="L516">
        <v>52920</v>
      </c>
      <c r="M516">
        <v>79380</v>
      </c>
      <c r="N516" t="s">
        <v>30</v>
      </c>
      <c r="O516" t="s">
        <v>35</v>
      </c>
      <c r="P516" t="s">
        <v>24</v>
      </c>
    </row>
    <row r="517" spans="1:16" x14ac:dyDescent="0.3">
      <c r="A517" t="s">
        <v>589</v>
      </c>
      <c r="B517" s="1">
        <v>45149</v>
      </c>
      <c r="C517" t="s">
        <v>26</v>
      </c>
      <c r="D517" t="s">
        <v>27</v>
      </c>
      <c r="E517" t="s">
        <v>52</v>
      </c>
      <c r="F517" t="s">
        <v>65</v>
      </c>
      <c r="G517" t="s">
        <v>104</v>
      </c>
      <c r="H517">
        <v>11</v>
      </c>
      <c r="I517">
        <v>3000</v>
      </c>
      <c r="J517">
        <v>10</v>
      </c>
      <c r="K517">
        <v>29700</v>
      </c>
      <c r="L517">
        <v>13365</v>
      </c>
      <c r="M517">
        <v>16335</v>
      </c>
      <c r="N517" t="s">
        <v>22</v>
      </c>
      <c r="O517" t="s">
        <v>67</v>
      </c>
      <c r="P517" t="s">
        <v>40</v>
      </c>
    </row>
    <row r="518" spans="1:16" x14ac:dyDescent="0.3">
      <c r="A518" t="s">
        <v>590</v>
      </c>
      <c r="B518" s="1">
        <v>45632</v>
      </c>
      <c r="C518" t="s">
        <v>58</v>
      </c>
      <c r="D518" t="s">
        <v>64</v>
      </c>
      <c r="E518" t="s">
        <v>38</v>
      </c>
      <c r="F518" t="s">
        <v>33</v>
      </c>
      <c r="G518" t="s">
        <v>39</v>
      </c>
      <c r="H518">
        <v>6</v>
      </c>
      <c r="I518">
        <v>5000</v>
      </c>
      <c r="J518">
        <v>10</v>
      </c>
      <c r="K518">
        <v>27000</v>
      </c>
      <c r="L518">
        <v>13500</v>
      </c>
      <c r="M518">
        <v>13500</v>
      </c>
      <c r="N518" t="s">
        <v>49</v>
      </c>
      <c r="O518" t="s">
        <v>23</v>
      </c>
      <c r="P518" t="s">
        <v>24</v>
      </c>
    </row>
    <row r="519" spans="1:16" x14ac:dyDescent="0.3">
      <c r="A519" t="s">
        <v>591</v>
      </c>
      <c r="B519" s="1">
        <v>44706</v>
      </c>
      <c r="C519" t="s">
        <v>58</v>
      </c>
      <c r="D519" t="s">
        <v>64</v>
      </c>
      <c r="E519" t="s">
        <v>52</v>
      </c>
      <c r="F519" t="s">
        <v>33</v>
      </c>
      <c r="G519" t="s">
        <v>48</v>
      </c>
      <c r="H519">
        <v>9</v>
      </c>
      <c r="I519">
        <v>1500</v>
      </c>
      <c r="J519">
        <v>0</v>
      </c>
      <c r="K519">
        <v>13500</v>
      </c>
      <c r="L519">
        <v>6750</v>
      </c>
      <c r="M519">
        <v>6750</v>
      </c>
      <c r="N519" t="s">
        <v>49</v>
      </c>
      <c r="O519" t="s">
        <v>67</v>
      </c>
      <c r="P519" t="s">
        <v>24</v>
      </c>
    </row>
    <row r="520" spans="1:16" x14ac:dyDescent="0.3">
      <c r="A520" t="s">
        <v>592</v>
      </c>
      <c r="B520" s="1">
        <v>45368</v>
      </c>
      <c r="C520" t="s">
        <v>46</v>
      </c>
      <c r="D520" t="s">
        <v>47</v>
      </c>
      <c r="E520" t="s">
        <v>38</v>
      </c>
      <c r="F520" t="s">
        <v>28</v>
      </c>
      <c r="G520" t="s">
        <v>95</v>
      </c>
      <c r="H520">
        <v>37</v>
      </c>
      <c r="I520">
        <v>75000</v>
      </c>
      <c r="J520">
        <v>20</v>
      </c>
      <c r="K520">
        <v>2220000</v>
      </c>
      <c r="L520">
        <v>1221000</v>
      </c>
      <c r="M520">
        <v>999000</v>
      </c>
      <c r="N520" t="s">
        <v>49</v>
      </c>
      <c r="O520" t="s">
        <v>67</v>
      </c>
      <c r="P520" t="s">
        <v>24</v>
      </c>
    </row>
    <row r="521" spans="1:16" x14ac:dyDescent="0.3">
      <c r="A521" t="s">
        <v>593</v>
      </c>
      <c r="B521" s="1">
        <v>45121</v>
      </c>
      <c r="C521" t="s">
        <v>17</v>
      </c>
      <c r="D521" t="s">
        <v>37</v>
      </c>
      <c r="E521" t="s">
        <v>111</v>
      </c>
      <c r="F521" t="s">
        <v>33</v>
      </c>
      <c r="G521" t="s">
        <v>76</v>
      </c>
      <c r="H521">
        <v>40</v>
      </c>
      <c r="I521">
        <v>8500</v>
      </c>
      <c r="J521">
        <v>20</v>
      </c>
      <c r="K521">
        <v>272000</v>
      </c>
      <c r="L521">
        <v>136000</v>
      </c>
      <c r="M521">
        <v>136000</v>
      </c>
      <c r="N521" t="s">
        <v>22</v>
      </c>
      <c r="O521" t="s">
        <v>23</v>
      </c>
      <c r="P521" t="s">
        <v>24</v>
      </c>
    </row>
    <row r="522" spans="1:16" x14ac:dyDescent="0.3">
      <c r="A522" t="s">
        <v>594</v>
      </c>
      <c r="B522" s="1">
        <v>45530</v>
      </c>
      <c r="C522" t="s">
        <v>46</v>
      </c>
      <c r="D522" t="s">
        <v>47</v>
      </c>
      <c r="E522" t="s">
        <v>73</v>
      </c>
      <c r="F522" t="s">
        <v>20</v>
      </c>
      <c r="G522" t="s">
        <v>21</v>
      </c>
      <c r="H522">
        <v>8</v>
      </c>
      <c r="I522">
        <v>3500</v>
      </c>
      <c r="J522">
        <v>0</v>
      </c>
      <c r="K522">
        <v>28000</v>
      </c>
      <c r="L522">
        <v>11200</v>
      </c>
      <c r="M522">
        <v>16800</v>
      </c>
      <c r="N522" t="s">
        <v>22</v>
      </c>
      <c r="O522" t="s">
        <v>35</v>
      </c>
      <c r="P522" t="s">
        <v>24</v>
      </c>
    </row>
    <row r="523" spans="1:16" x14ac:dyDescent="0.3">
      <c r="A523" t="s">
        <v>595</v>
      </c>
      <c r="B523" s="1">
        <v>44983</v>
      </c>
      <c r="C523" t="s">
        <v>58</v>
      </c>
      <c r="D523" t="s">
        <v>59</v>
      </c>
      <c r="E523" t="s">
        <v>56</v>
      </c>
      <c r="F523" t="s">
        <v>33</v>
      </c>
      <c r="G523" t="s">
        <v>34</v>
      </c>
      <c r="H523">
        <v>36</v>
      </c>
      <c r="I523">
        <v>25000</v>
      </c>
      <c r="J523">
        <v>5</v>
      </c>
      <c r="K523">
        <v>855000</v>
      </c>
      <c r="L523">
        <v>427500</v>
      </c>
      <c r="M523">
        <v>427500</v>
      </c>
      <c r="N523" t="s">
        <v>22</v>
      </c>
      <c r="O523" t="s">
        <v>44</v>
      </c>
      <c r="P523" t="s">
        <v>24</v>
      </c>
    </row>
    <row r="524" spans="1:16" x14ac:dyDescent="0.3">
      <c r="A524" t="s">
        <v>596</v>
      </c>
      <c r="B524" s="1">
        <v>45116</v>
      </c>
      <c r="C524" t="s">
        <v>26</v>
      </c>
      <c r="D524" t="s">
        <v>69</v>
      </c>
      <c r="E524" t="s">
        <v>73</v>
      </c>
      <c r="F524" t="s">
        <v>33</v>
      </c>
      <c r="G524" t="s">
        <v>39</v>
      </c>
      <c r="H524">
        <v>8</v>
      </c>
      <c r="I524">
        <v>5000</v>
      </c>
      <c r="J524">
        <v>10</v>
      </c>
      <c r="K524">
        <v>36000</v>
      </c>
      <c r="L524">
        <v>18000</v>
      </c>
      <c r="M524">
        <v>18000</v>
      </c>
      <c r="N524" t="s">
        <v>49</v>
      </c>
      <c r="O524" t="s">
        <v>67</v>
      </c>
      <c r="P524" t="s">
        <v>24</v>
      </c>
    </row>
    <row r="525" spans="1:16" x14ac:dyDescent="0.3">
      <c r="A525" t="s">
        <v>597</v>
      </c>
      <c r="B525" s="1">
        <v>44619</v>
      </c>
      <c r="C525" t="s">
        <v>46</v>
      </c>
      <c r="D525" t="s">
        <v>47</v>
      </c>
      <c r="E525" t="s">
        <v>70</v>
      </c>
      <c r="F525" t="s">
        <v>33</v>
      </c>
      <c r="G525" t="s">
        <v>48</v>
      </c>
      <c r="H525">
        <v>31</v>
      </c>
      <c r="I525">
        <v>1500</v>
      </c>
      <c r="J525">
        <v>0</v>
      </c>
      <c r="K525">
        <v>46500</v>
      </c>
      <c r="L525">
        <v>23250</v>
      </c>
      <c r="M525">
        <v>23250</v>
      </c>
      <c r="N525" t="s">
        <v>49</v>
      </c>
      <c r="O525" t="s">
        <v>44</v>
      </c>
      <c r="P525" t="s">
        <v>24</v>
      </c>
    </row>
    <row r="526" spans="1:16" x14ac:dyDescent="0.3">
      <c r="A526" t="s">
        <v>598</v>
      </c>
      <c r="B526" s="1">
        <v>45471</v>
      </c>
      <c r="C526" t="s">
        <v>17</v>
      </c>
      <c r="D526" t="s">
        <v>37</v>
      </c>
      <c r="E526" t="s">
        <v>32</v>
      </c>
      <c r="F526" t="s">
        <v>28</v>
      </c>
      <c r="G526" t="s">
        <v>29</v>
      </c>
      <c r="H526">
        <v>20</v>
      </c>
      <c r="I526">
        <v>15000</v>
      </c>
      <c r="J526">
        <v>20</v>
      </c>
      <c r="K526">
        <v>240000</v>
      </c>
      <c r="L526">
        <v>132000</v>
      </c>
      <c r="M526">
        <v>108000</v>
      </c>
      <c r="N526" t="s">
        <v>22</v>
      </c>
      <c r="O526" t="s">
        <v>67</v>
      </c>
      <c r="P526" t="s">
        <v>24</v>
      </c>
    </row>
    <row r="527" spans="1:16" x14ac:dyDescent="0.3">
      <c r="A527" t="s">
        <v>599</v>
      </c>
      <c r="B527" s="1">
        <v>44599</v>
      </c>
      <c r="C527" t="s">
        <v>17</v>
      </c>
      <c r="D527" t="s">
        <v>37</v>
      </c>
      <c r="E527" t="s">
        <v>52</v>
      </c>
      <c r="F527" t="s">
        <v>20</v>
      </c>
      <c r="G527" t="s">
        <v>61</v>
      </c>
      <c r="H527">
        <v>2</v>
      </c>
      <c r="I527">
        <v>800</v>
      </c>
      <c r="J527">
        <v>10</v>
      </c>
      <c r="K527">
        <v>1440</v>
      </c>
      <c r="L527">
        <v>576</v>
      </c>
      <c r="M527">
        <v>864</v>
      </c>
      <c r="N527" t="s">
        <v>22</v>
      </c>
      <c r="O527" t="s">
        <v>67</v>
      </c>
      <c r="P527" t="s">
        <v>24</v>
      </c>
    </row>
    <row r="528" spans="1:16" x14ac:dyDescent="0.3">
      <c r="A528" t="s">
        <v>600</v>
      </c>
      <c r="B528" s="1">
        <v>44884</v>
      </c>
      <c r="C528" t="s">
        <v>58</v>
      </c>
      <c r="D528" t="s">
        <v>84</v>
      </c>
      <c r="E528" t="s">
        <v>38</v>
      </c>
      <c r="F528" t="s">
        <v>28</v>
      </c>
      <c r="G528" t="s">
        <v>71</v>
      </c>
      <c r="H528">
        <v>46</v>
      </c>
      <c r="I528">
        <v>35000</v>
      </c>
      <c r="J528">
        <v>10</v>
      </c>
      <c r="K528">
        <v>1449000</v>
      </c>
      <c r="L528">
        <v>796950</v>
      </c>
      <c r="M528">
        <v>652050</v>
      </c>
      <c r="N528" t="s">
        <v>49</v>
      </c>
      <c r="O528" t="s">
        <v>23</v>
      </c>
      <c r="P528" t="s">
        <v>24</v>
      </c>
    </row>
    <row r="529" spans="1:16" x14ac:dyDescent="0.3">
      <c r="A529" t="s">
        <v>601</v>
      </c>
      <c r="B529" s="1">
        <v>44728</v>
      </c>
      <c r="C529" t="s">
        <v>46</v>
      </c>
      <c r="D529" t="s">
        <v>55</v>
      </c>
      <c r="E529" t="s">
        <v>60</v>
      </c>
      <c r="F529" t="s">
        <v>33</v>
      </c>
      <c r="G529" t="s">
        <v>76</v>
      </c>
      <c r="H529">
        <v>34</v>
      </c>
      <c r="I529">
        <v>8500</v>
      </c>
      <c r="J529">
        <v>10</v>
      </c>
      <c r="K529">
        <v>260100</v>
      </c>
      <c r="L529">
        <v>130050</v>
      </c>
      <c r="M529">
        <v>130050</v>
      </c>
      <c r="N529" t="s">
        <v>30</v>
      </c>
      <c r="O529" t="s">
        <v>50</v>
      </c>
      <c r="P529" t="s">
        <v>24</v>
      </c>
    </row>
    <row r="530" spans="1:16" x14ac:dyDescent="0.3">
      <c r="A530" t="s">
        <v>602</v>
      </c>
      <c r="B530" s="1">
        <v>44645</v>
      </c>
      <c r="C530" t="s">
        <v>46</v>
      </c>
      <c r="D530" t="s">
        <v>47</v>
      </c>
      <c r="E530" t="s">
        <v>60</v>
      </c>
      <c r="F530" t="s">
        <v>28</v>
      </c>
      <c r="G530" t="s">
        <v>85</v>
      </c>
      <c r="H530">
        <v>33</v>
      </c>
      <c r="I530">
        <v>8000</v>
      </c>
      <c r="J530">
        <v>5</v>
      </c>
      <c r="K530">
        <v>250800</v>
      </c>
      <c r="L530">
        <v>137940</v>
      </c>
      <c r="M530">
        <v>112860</v>
      </c>
      <c r="N530" t="s">
        <v>49</v>
      </c>
      <c r="O530" t="s">
        <v>23</v>
      </c>
      <c r="P530" t="s">
        <v>24</v>
      </c>
    </row>
    <row r="531" spans="1:16" x14ac:dyDescent="0.3">
      <c r="A531" t="s">
        <v>603</v>
      </c>
      <c r="B531" s="1">
        <v>45575</v>
      </c>
      <c r="C531" t="s">
        <v>17</v>
      </c>
      <c r="D531" t="s">
        <v>18</v>
      </c>
      <c r="E531" t="s">
        <v>52</v>
      </c>
      <c r="F531" t="s">
        <v>20</v>
      </c>
      <c r="G531" t="s">
        <v>74</v>
      </c>
      <c r="H531">
        <v>47</v>
      </c>
      <c r="I531">
        <v>4200</v>
      </c>
      <c r="J531">
        <v>0</v>
      </c>
      <c r="K531">
        <v>197400</v>
      </c>
      <c r="L531">
        <v>78960</v>
      </c>
      <c r="M531">
        <v>118440</v>
      </c>
      <c r="N531" t="s">
        <v>49</v>
      </c>
      <c r="O531" t="s">
        <v>67</v>
      </c>
      <c r="P531" t="s">
        <v>24</v>
      </c>
    </row>
    <row r="532" spans="1:16" x14ac:dyDescent="0.3">
      <c r="A532" t="s">
        <v>604</v>
      </c>
      <c r="B532" s="1">
        <v>44774</v>
      </c>
      <c r="C532" t="s">
        <v>17</v>
      </c>
      <c r="D532" t="s">
        <v>18</v>
      </c>
      <c r="E532" t="s">
        <v>38</v>
      </c>
      <c r="F532" t="s">
        <v>28</v>
      </c>
      <c r="G532" t="s">
        <v>71</v>
      </c>
      <c r="H532">
        <v>30</v>
      </c>
      <c r="I532">
        <v>35000</v>
      </c>
      <c r="J532">
        <v>0</v>
      </c>
      <c r="K532">
        <v>1050000</v>
      </c>
      <c r="L532">
        <v>577500</v>
      </c>
      <c r="M532">
        <v>472500</v>
      </c>
      <c r="N532" t="s">
        <v>22</v>
      </c>
      <c r="O532" t="s">
        <v>50</v>
      </c>
      <c r="P532" t="s">
        <v>24</v>
      </c>
    </row>
    <row r="533" spans="1:16" x14ac:dyDescent="0.3">
      <c r="A533" t="s">
        <v>605</v>
      </c>
      <c r="B533" s="1">
        <v>44611</v>
      </c>
      <c r="C533" t="s">
        <v>17</v>
      </c>
      <c r="D533" t="s">
        <v>42</v>
      </c>
      <c r="E533" t="s">
        <v>19</v>
      </c>
      <c r="F533" t="s">
        <v>33</v>
      </c>
      <c r="G533" t="s">
        <v>76</v>
      </c>
      <c r="H533">
        <v>13</v>
      </c>
      <c r="I533">
        <v>8500</v>
      </c>
      <c r="J533">
        <v>10</v>
      </c>
      <c r="K533">
        <v>99450</v>
      </c>
      <c r="L533">
        <v>49725</v>
      </c>
      <c r="M533">
        <v>49725</v>
      </c>
      <c r="N533" t="s">
        <v>22</v>
      </c>
      <c r="O533" t="s">
        <v>50</v>
      </c>
      <c r="P533" t="s">
        <v>24</v>
      </c>
    </row>
    <row r="534" spans="1:16" x14ac:dyDescent="0.3">
      <c r="A534" t="s">
        <v>606</v>
      </c>
      <c r="B534" s="1">
        <v>45434</v>
      </c>
      <c r="C534" t="s">
        <v>26</v>
      </c>
      <c r="D534" t="s">
        <v>69</v>
      </c>
      <c r="E534" t="s">
        <v>78</v>
      </c>
      <c r="F534" t="s">
        <v>20</v>
      </c>
      <c r="G534" t="s">
        <v>61</v>
      </c>
      <c r="H534">
        <v>8</v>
      </c>
      <c r="I534">
        <v>800</v>
      </c>
      <c r="J534">
        <v>0</v>
      </c>
      <c r="K534">
        <v>6400</v>
      </c>
      <c r="L534">
        <v>2560</v>
      </c>
      <c r="M534">
        <v>3840</v>
      </c>
      <c r="N534" t="s">
        <v>22</v>
      </c>
      <c r="O534" t="s">
        <v>67</v>
      </c>
      <c r="P534" t="s">
        <v>40</v>
      </c>
    </row>
    <row r="535" spans="1:16" x14ac:dyDescent="0.3">
      <c r="A535" t="s">
        <v>607</v>
      </c>
      <c r="B535" s="1">
        <v>44749</v>
      </c>
      <c r="C535" t="s">
        <v>17</v>
      </c>
      <c r="D535" t="s">
        <v>42</v>
      </c>
      <c r="E535" t="s">
        <v>70</v>
      </c>
      <c r="F535" t="s">
        <v>33</v>
      </c>
      <c r="G535" t="s">
        <v>76</v>
      </c>
      <c r="H535">
        <v>46</v>
      </c>
      <c r="I535">
        <v>8500</v>
      </c>
      <c r="J535">
        <v>10</v>
      </c>
      <c r="K535">
        <v>351900</v>
      </c>
      <c r="L535">
        <v>175950</v>
      </c>
      <c r="M535">
        <v>175950</v>
      </c>
      <c r="N535" t="s">
        <v>30</v>
      </c>
      <c r="O535" t="s">
        <v>44</v>
      </c>
      <c r="P535" t="s">
        <v>40</v>
      </c>
    </row>
    <row r="536" spans="1:16" x14ac:dyDescent="0.3">
      <c r="A536" t="s">
        <v>608</v>
      </c>
      <c r="B536" s="1">
        <v>44691</v>
      </c>
      <c r="C536" t="s">
        <v>17</v>
      </c>
      <c r="D536" t="s">
        <v>42</v>
      </c>
      <c r="E536" t="s">
        <v>60</v>
      </c>
      <c r="F536" t="s">
        <v>28</v>
      </c>
      <c r="G536" t="s">
        <v>87</v>
      </c>
      <c r="H536">
        <v>2</v>
      </c>
      <c r="I536">
        <v>45000</v>
      </c>
      <c r="J536">
        <v>15</v>
      </c>
      <c r="K536">
        <v>76500</v>
      </c>
      <c r="L536">
        <v>42075</v>
      </c>
      <c r="M536">
        <v>34425</v>
      </c>
      <c r="N536" t="s">
        <v>30</v>
      </c>
      <c r="O536" t="s">
        <v>23</v>
      </c>
      <c r="P536" t="s">
        <v>24</v>
      </c>
    </row>
    <row r="537" spans="1:16" x14ac:dyDescent="0.3">
      <c r="A537" t="s">
        <v>609</v>
      </c>
      <c r="B537" s="1">
        <v>44654</v>
      </c>
      <c r="C537" t="s">
        <v>58</v>
      </c>
      <c r="D537" t="s">
        <v>59</v>
      </c>
      <c r="E537" t="s">
        <v>78</v>
      </c>
      <c r="F537" t="s">
        <v>65</v>
      </c>
      <c r="G537" t="s">
        <v>79</v>
      </c>
      <c r="H537">
        <v>23</v>
      </c>
      <c r="I537">
        <v>900</v>
      </c>
      <c r="J537">
        <v>10</v>
      </c>
      <c r="K537">
        <v>18630</v>
      </c>
      <c r="L537">
        <v>8383.5</v>
      </c>
      <c r="M537">
        <v>10246.5</v>
      </c>
      <c r="N537" t="s">
        <v>30</v>
      </c>
      <c r="O537" t="s">
        <v>67</v>
      </c>
      <c r="P537" t="s">
        <v>24</v>
      </c>
    </row>
    <row r="538" spans="1:16" x14ac:dyDescent="0.3">
      <c r="A538" t="s">
        <v>610</v>
      </c>
      <c r="B538" s="1">
        <v>44737</v>
      </c>
      <c r="C538" t="s">
        <v>58</v>
      </c>
      <c r="D538" t="s">
        <v>64</v>
      </c>
      <c r="E538" t="s">
        <v>78</v>
      </c>
      <c r="F538" t="s">
        <v>28</v>
      </c>
      <c r="G538" t="s">
        <v>85</v>
      </c>
      <c r="H538">
        <v>7</v>
      </c>
      <c r="I538">
        <v>8000</v>
      </c>
      <c r="J538">
        <v>15</v>
      </c>
      <c r="K538">
        <v>47600</v>
      </c>
      <c r="L538">
        <v>26180</v>
      </c>
      <c r="M538">
        <v>21420</v>
      </c>
      <c r="N538" t="s">
        <v>22</v>
      </c>
      <c r="O538" t="s">
        <v>23</v>
      </c>
      <c r="P538" t="s">
        <v>24</v>
      </c>
    </row>
    <row r="539" spans="1:16" x14ac:dyDescent="0.3">
      <c r="A539" t="s">
        <v>611</v>
      </c>
      <c r="B539" s="1">
        <v>45481</v>
      </c>
      <c r="C539" t="s">
        <v>46</v>
      </c>
      <c r="D539" t="s">
        <v>47</v>
      </c>
      <c r="E539" t="s">
        <v>38</v>
      </c>
      <c r="F539" t="s">
        <v>33</v>
      </c>
      <c r="G539" t="s">
        <v>34</v>
      </c>
      <c r="H539">
        <v>26</v>
      </c>
      <c r="I539">
        <v>25000</v>
      </c>
      <c r="J539">
        <v>5</v>
      </c>
      <c r="K539">
        <v>617500</v>
      </c>
      <c r="L539">
        <v>308750</v>
      </c>
      <c r="M539">
        <v>308750</v>
      </c>
      <c r="N539" t="s">
        <v>49</v>
      </c>
      <c r="O539" t="s">
        <v>23</v>
      </c>
      <c r="P539" t="s">
        <v>24</v>
      </c>
    </row>
    <row r="540" spans="1:16" x14ac:dyDescent="0.3">
      <c r="A540" t="s">
        <v>612</v>
      </c>
      <c r="B540" s="1">
        <v>45505</v>
      </c>
      <c r="C540" t="s">
        <v>26</v>
      </c>
      <c r="D540" t="s">
        <v>69</v>
      </c>
      <c r="E540" t="s">
        <v>52</v>
      </c>
      <c r="F540" t="s">
        <v>33</v>
      </c>
      <c r="G540" t="s">
        <v>48</v>
      </c>
      <c r="H540">
        <v>30</v>
      </c>
      <c r="I540">
        <v>1500</v>
      </c>
      <c r="J540">
        <v>5</v>
      </c>
      <c r="K540">
        <v>42750</v>
      </c>
      <c r="L540">
        <v>21375</v>
      </c>
      <c r="M540">
        <v>21375</v>
      </c>
      <c r="N540" t="s">
        <v>49</v>
      </c>
      <c r="O540" t="s">
        <v>67</v>
      </c>
      <c r="P540" t="s">
        <v>24</v>
      </c>
    </row>
    <row r="541" spans="1:16" x14ac:dyDescent="0.3">
      <c r="A541" t="s">
        <v>613</v>
      </c>
      <c r="B541" s="1">
        <v>44821</v>
      </c>
      <c r="C541" t="s">
        <v>26</v>
      </c>
      <c r="D541" t="s">
        <v>69</v>
      </c>
      <c r="E541" t="s">
        <v>52</v>
      </c>
      <c r="F541" t="s">
        <v>33</v>
      </c>
      <c r="G541" t="s">
        <v>43</v>
      </c>
      <c r="H541">
        <v>42</v>
      </c>
      <c r="I541">
        <v>4000</v>
      </c>
      <c r="J541">
        <v>0</v>
      </c>
      <c r="K541">
        <v>168000</v>
      </c>
      <c r="L541">
        <v>84000</v>
      </c>
      <c r="M541">
        <v>84000</v>
      </c>
      <c r="N541" t="s">
        <v>22</v>
      </c>
      <c r="O541" t="s">
        <v>23</v>
      </c>
      <c r="P541" t="s">
        <v>24</v>
      </c>
    </row>
    <row r="542" spans="1:16" x14ac:dyDescent="0.3">
      <c r="A542" t="s">
        <v>614</v>
      </c>
      <c r="B542" s="1">
        <v>45341</v>
      </c>
      <c r="C542" t="s">
        <v>58</v>
      </c>
      <c r="D542" t="s">
        <v>84</v>
      </c>
      <c r="E542" t="s">
        <v>38</v>
      </c>
      <c r="F542" t="s">
        <v>20</v>
      </c>
      <c r="G542" t="s">
        <v>53</v>
      </c>
      <c r="H542">
        <v>11</v>
      </c>
      <c r="I542">
        <v>600</v>
      </c>
      <c r="J542">
        <v>15</v>
      </c>
      <c r="K542">
        <v>5610</v>
      </c>
      <c r="L542">
        <v>2244</v>
      </c>
      <c r="M542">
        <v>3366</v>
      </c>
      <c r="N542" t="s">
        <v>30</v>
      </c>
      <c r="O542" t="s">
        <v>50</v>
      </c>
      <c r="P542" t="s">
        <v>24</v>
      </c>
    </row>
    <row r="543" spans="1:16" x14ac:dyDescent="0.3">
      <c r="A543" t="s">
        <v>615</v>
      </c>
      <c r="B543" s="1">
        <v>44984</v>
      </c>
      <c r="C543" t="s">
        <v>58</v>
      </c>
      <c r="D543" t="s">
        <v>59</v>
      </c>
      <c r="E543" t="s">
        <v>38</v>
      </c>
      <c r="F543" t="s">
        <v>33</v>
      </c>
      <c r="G543" t="s">
        <v>43</v>
      </c>
      <c r="H543">
        <v>45</v>
      </c>
      <c r="I543">
        <v>4000</v>
      </c>
      <c r="J543">
        <v>5</v>
      </c>
      <c r="K543">
        <v>171000</v>
      </c>
      <c r="L543">
        <v>85500</v>
      </c>
      <c r="M543">
        <v>85500</v>
      </c>
      <c r="N543" t="s">
        <v>22</v>
      </c>
      <c r="O543" t="s">
        <v>35</v>
      </c>
      <c r="P543" t="s">
        <v>24</v>
      </c>
    </row>
    <row r="544" spans="1:16" x14ac:dyDescent="0.3">
      <c r="A544" t="s">
        <v>616</v>
      </c>
      <c r="B544" s="1">
        <v>45508</v>
      </c>
      <c r="C544" t="s">
        <v>58</v>
      </c>
      <c r="D544" t="s">
        <v>59</v>
      </c>
      <c r="E544" t="s">
        <v>111</v>
      </c>
      <c r="F544" t="s">
        <v>28</v>
      </c>
      <c r="G544" t="s">
        <v>85</v>
      </c>
      <c r="H544">
        <v>12</v>
      </c>
      <c r="I544">
        <v>8000</v>
      </c>
      <c r="J544">
        <v>10</v>
      </c>
      <c r="K544">
        <v>86400</v>
      </c>
      <c r="L544">
        <v>47520</v>
      </c>
      <c r="M544">
        <v>38880</v>
      </c>
      <c r="N544" t="s">
        <v>30</v>
      </c>
      <c r="O544" t="s">
        <v>67</v>
      </c>
      <c r="P544" t="s">
        <v>24</v>
      </c>
    </row>
    <row r="545" spans="1:16" x14ac:dyDescent="0.3">
      <c r="A545" t="s">
        <v>617</v>
      </c>
      <c r="B545" s="1">
        <v>44764</v>
      </c>
      <c r="C545" t="s">
        <v>58</v>
      </c>
      <c r="D545" t="s">
        <v>59</v>
      </c>
      <c r="E545" t="s">
        <v>60</v>
      </c>
      <c r="F545" t="s">
        <v>28</v>
      </c>
      <c r="G545" t="s">
        <v>95</v>
      </c>
      <c r="H545">
        <v>14</v>
      </c>
      <c r="I545">
        <v>75000</v>
      </c>
      <c r="J545">
        <v>5</v>
      </c>
      <c r="K545">
        <v>997500</v>
      </c>
      <c r="L545">
        <v>548625</v>
      </c>
      <c r="M545">
        <v>448875</v>
      </c>
      <c r="N545" t="s">
        <v>22</v>
      </c>
      <c r="O545" t="s">
        <v>35</v>
      </c>
      <c r="P545" t="s">
        <v>40</v>
      </c>
    </row>
    <row r="546" spans="1:16" x14ac:dyDescent="0.3">
      <c r="A546" t="s">
        <v>618</v>
      </c>
      <c r="B546" s="1">
        <v>44856</v>
      </c>
      <c r="C546" t="s">
        <v>46</v>
      </c>
      <c r="D546" t="s">
        <v>55</v>
      </c>
      <c r="E546" t="s">
        <v>111</v>
      </c>
      <c r="F546" t="s">
        <v>33</v>
      </c>
      <c r="G546" t="s">
        <v>48</v>
      </c>
      <c r="H546">
        <v>40</v>
      </c>
      <c r="I546">
        <v>1500</v>
      </c>
      <c r="J546">
        <v>20</v>
      </c>
      <c r="K546">
        <v>48000</v>
      </c>
      <c r="L546">
        <v>24000</v>
      </c>
      <c r="M546">
        <v>24000</v>
      </c>
      <c r="N546" t="s">
        <v>30</v>
      </c>
      <c r="O546" t="s">
        <v>44</v>
      </c>
      <c r="P546" t="s">
        <v>24</v>
      </c>
    </row>
    <row r="547" spans="1:16" x14ac:dyDescent="0.3">
      <c r="A547" t="s">
        <v>619</v>
      </c>
      <c r="B547" s="1">
        <v>45179</v>
      </c>
      <c r="C547" t="s">
        <v>17</v>
      </c>
      <c r="D547" t="s">
        <v>37</v>
      </c>
      <c r="E547" t="s">
        <v>70</v>
      </c>
      <c r="F547" t="s">
        <v>28</v>
      </c>
      <c r="G547" t="s">
        <v>29</v>
      </c>
      <c r="H547">
        <v>1</v>
      </c>
      <c r="I547">
        <v>15000</v>
      </c>
      <c r="J547">
        <v>20</v>
      </c>
      <c r="K547">
        <v>12000</v>
      </c>
      <c r="L547">
        <v>6600</v>
      </c>
      <c r="M547">
        <v>5400</v>
      </c>
      <c r="N547" t="s">
        <v>49</v>
      </c>
      <c r="O547" t="s">
        <v>44</v>
      </c>
      <c r="P547" t="s">
        <v>40</v>
      </c>
    </row>
    <row r="548" spans="1:16" x14ac:dyDescent="0.3">
      <c r="A548" t="s">
        <v>620</v>
      </c>
      <c r="B548" s="1">
        <v>45109</v>
      </c>
      <c r="C548" t="s">
        <v>17</v>
      </c>
      <c r="D548" t="s">
        <v>42</v>
      </c>
      <c r="E548" t="s">
        <v>56</v>
      </c>
      <c r="F548" t="s">
        <v>28</v>
      </c>
      <c r="G548" t="s">
        <v>29</v>
      </c>
      <c r="H548">
        <v>23</v>
      </c>
      <c r="I548">
        <v>15000</v>
      </c>
      <c r="J548">
        <v>0</v>
      </c>
      <c r="K548">
        <v>345000</v>
      </c>
      <c r="L548">
        <v>189750</v>
      </c>
      <c r="M548">
        <v>155250</v>
      </c>
      <c r="N548" t="s">
        <v>30</v>
      </c>
      <c r="O548" t="s">
        <v>44</v>
      </c>
      <c r="P548" t="s">
        <v>24</v>
      </c>
    </row>
    <row r="549" spans="1:16" x14ac:dyDescent="0.3">
      <c r="A549" t="s">
        <v>621</v>
      </c>
      <c r="B549" s="1">
        <v>45405</v>
      </c>
      <c r="C549" t="s">
        <v>58</v>
      </c>
      <c r="D549" t="s">
        <v>64</v>
      </c>
      <c r="E549" t="s">
        <v>70</v>
      </c>
      <c r="F549" t="s">
        <v>65</v>
      </c>
      <c r="G549" t="s">
        <v>66</v>
      </c>
      <c r="H549">
        <v>25</v>
      </c>
      <c r="I549">
        <v>5500</v>
      </c>
      <c r="J549">
        <v>15</v>
      </c>
      <c r="K549">
        <v>116875</v>
      </c>
      <c r="L549">
        <v>52593.75</v>
      </c>
      <c r="M549">
        <v>64281.25</v>
      </c>
      <c r="N549" t="s">
        <v>30</v>
      </c>
      <c r="O549" t="s">
        <v>44</v>
      </c>
      <c r="P549" t="s">
        <v>40</v>
      </c>
    </row>
    <row r="550" spans="1:16" x14ac:dyDescent="0.3">
      <c r="A550" t="s">
        <v>622</v>
      </c>
      <c r="B550" s="1">
        <v>45478</v>
      </c>
      <c r="C550" t="s">
        <v>46</v>
      </c>
      <c r="D550" t="s">
        <v>55</v>
      </c>
      <c r="E550" t="s">
        <v>70</v>
      </c>
      <c r="F550" t="s">
        <v>65</v>
      </c>
      <c r="G550" t="s">
        <v>104</v>
      </c>
      <c r="H550">
        <v>19</v>
      </c>
      <c r="I550">
        <v>3000</v>
      </c>
      <c r="J550">
        <v>5</v>
      </c>
      <c r="K550">
        <v>54150</v>
      </c>
      <c r="L550">
        <v>24367.5</v>
      </c>
      <c r="M550">
        <v>29782.5</v>
      </c>
      <c r="N550" t="s">
        <v>30</v>
      </c>
      <c r="O550" t="s">
        <v>35</v>
      </c>
      <c r="P550" t="s">
        <v>24</v>
      </c>
    </row>
    <row r="551" spans="1:16" x14ac:dyDescent="0.3">
      <c r="A551" t="s">
        <v>623</v>
      </c>
      <c r="B551" s="1">
        <v>44597</v>
      </c>
      <c r="C551" t="s">
        <v>58</v>
      </c>
      <c r="D551" t="s">
        <v>64</v>
      </c>
      <c r="E551" t="s">
        <v>32</v>
      </c>
      <c r="F551" t="s">
        <v>20</v>
      </c>
      <c r="G551" t="s">
        <v>21</v>
      </c>
      <c r="H551">
        <v>9</v>
      </c>
      <c r="I551">
        <v>3500</v>
      </c>
      <c r="J551">
        <v>15</v>
      </c>
      <c r="K551">
        <v>26775</v>
      </c>
      <c r="L551">
        <v>10710</v>
      </c>
      <c r="M551">
        <v>16065</v>
      </c>
      <c r="N551" t="s">
        <v>22</v>
      </c>
      <c r="O551" t="s">
        <v>67</v>
      </c>
      <c r="P551" t="s">
        <v>24</v>
      </c>
    </row>
    <row r="552" spans="1:16" x14ac:dyDescent="0.3">
      <c r="A552" t="s">
        <v>624</v>
      </c>
      <c r="B552" s="1">
        <v>45402</v>
      </c>
      <c r="C552" t="s">
        <v>46</v>
      </c>
      <c r="D552" t="s">
        <v>55</v>
      </c>
      <c r="E552" t="s">
        <v>111</v>
      </c>
      <c r="F552" t="s">
        <v>65</v>
      </c>
      <c r="G552" t="s">
        <v>79</v>
      </c>
      <c r="H552">
        <v>29</v>
      </c>
      <c r="I552">
        <v>900</v>
      </c>
      <c r="J552">
        <v>15</v>
      </c>
      <c r="K552">
        <v>22185</v>
      </c>
      <c r="L552">
        <v>9983.25</v>
      </c>
      <c r="M552">
        <v>12201.75</v>
      </c>
      <c r="N552" t="s">
        <v>30</v>
      </c>
      <c r="O552" t="s">
        <v>44</v>
      </c>
      <c r="P552" t="s">
        <v>24</v>
      </c>
    </row>
    <row r="553" spans="1:16" x14ac:dyDescent="0.3">
      <c r="A553" t="s">
        <v>625</v>
      </c>
      <c r="B553" s="1">
        <v>45402</v>
      </c>
      <c r="C553" t="s">
        <v>26</v>
      </c>
      <c r="D553" t="s">
        <v>69</v>
      </c>
      <c r="E553" t="s">
        <v>19</v>
      </c>
      <c r="F553" t="s">
        <v>33</v>
      </c>
      <c r="G553" t="s">
        <v>48</v>
      </c>
      <c r="H553">
        <v>35</v>
      </c>
      <c r="I553">
        <v>1500</v>
      </c>
      <c r="J553">
        <v>20</v>
      </c>
      <c r="K553">
        <v>42000</v>
      </c>
      <c r="L553">
        <v>21000</v>
      </c>
      <c r="M553">
        <v>21000</v>
      </c>
      <c r="N553" t="s">
        <v>30</v>
      </c>
      <c r="O553" t="s">
        <v>35</v>
      </c>
      <c r="P553" t="s">
        <v>24</v>
      </c>
    </row>
    <row r="554" spans="1:16" x14ac:dyDescent="0.3">
      <c r="A554" t="s">
        <v>626</v>
      </c>
      <c r="B554" s="1">
        <v>45496</v>
      </c>
      <c r="C554" t="s">
        <v>17</v>
      </c>
      <c r="D554" t="s">
        <v>18</v>
      </c>
      <c r="E554" t="s">
        <v>38</v>
      </c>
      <c r="F554" t="s">
        <v>65</v>
      </c>
      <c r="G554" t="s">
        <v>117</v>
      </c>
      <c r="H554">
        <v>10</v>
      </c>
      <c r="I554">
        <v>1200</v>
      </c>
      <c r="J554">
        <v>20</v>
      </c>
      <c r="K554">
        <v>9600</v>
      </c>
      <c r="L554">
        <v>4320</v>
      </c>
      <c r="M554">
        <v>5280</v>
      </c>
      <c r="N554" t="s">
        <v>49</v>
      </c>
      <c r="O554" t="s">
        <v>67</v>
      </c>
      <c r="P554" t="s">
        <v>24</v>
      </c>
    </row>
    <row r="555" spans="1:16" x14ac:dyDescent="0.3">
      <c r="A555" t="s">
        <v>627</v>
      </c>
      <c r="B555" s="1">
        <v>44729</v>
      </c>
      <c r="C555" t="s">
        <v>26</v>
      </c>
      <c r="D555" t="s">
        <v>27</v>
      </c>
      <c r="E555" t="s">
        <v>60</v>
      </c>
      <c r="F555" t="s">
        <v>28</v>
      </c>
      <c r="G555" t="s">
        <v>29</v>
      </c>
      <c r="H555">
        <v>38</v>
      </c>
      <c r="I555">
        <v>15000</v>
      </c>
      <c r="J555">
        <v>10</v>
      </c>
      <c r="K555">
        <v>513000</v>
      </c>
      <c r="L555">
        <v>282150</v>
      </c>
      <c r="M555">
        <v>230850</v>
      </c>
      <c r="N555" t="s">
        <v>30</v>
      </c>
      <c r="O555" t="s">
        <v>50</v>
      </c>
      <c r="P555" t="s">
        <v>40</v>
      </c>
    </row>
    <row r="556" spans="1:16" x14ac:dyDescent="0.3">
      <c r="A556" t="s">
        <v>628</v>
      </c>
      <c r="B556" s="1">
        <v>45621</v>
      </c>
      <c r="C556" t="s">
        <v>26</v>
      </c>
      <c r="D556" t="s">
        <v>69</v>
      </c>
      <c r="E556" t="s">
        <v>60</v>
      </c>
      <c r="F556" t="s">
        <v>65</v>
      </c>
      <c r="G556" t="s">
        <v>79</v>
      </c>
      <c r="H556">
        <v>47</v>
      </c>
      <c r="I556">
        <v>900</v>
      </c>
      <c r="J556">
        <v>10</v>
      </c>
      <c r="K556">
        <v>38070</v>
      </c>
      <c r="L556">
        <v>17131.5</v>
      </c>
      <c r="M556">
        <v>20938.5</v>
      </c>
      <c r="N556" t="s">
        <v>49</v>
      </c>
      <c r="O556" t="s">
        <v>50</v>
      </c>
      <c r="P556" t="s">
        <v>24</v>
      </c>
    </row>
    <row r="557" spans="1:16" x14ac:dyDescent="0.3">
      <c r="A557" t="s">
        <v>629</v>
      </c>
      <c r="B557" s="1">
        <v>45113</v>
      </c>
      <c r="C557" t="s">
        <v>26</v>
      </c>
      <c r="D557" t="s">
        <v>69</v>
      </c>
      <c r="E557" t="s">
        <v>38</v>
      </c>
      <c r="F557" t="s">
        <v>33</v>
      </c>
      <c r="G557" t="s">
        <v>39</v>
      </c>
      <c r="H557">
        <v>41</v>
      </c>
      <c r="I557">
        <v>5000</v>
      </c>
      <c r="J557">
        <v>15</v>
      </c>
      <c r="K557">
        <v>174250</v>
      </c>
      <c r="L557">
        <v>87125</v>
      </c>
      <c r="M557">
        <v>87125</v>
      </c>
      <c r="N557" t="s">
        <v>30</v>
      </c>
      <c r="O557" t="s">
        <v>67</v>
      </c>
      <c r="P557" t="s">
        <v>40</v>
      </c>
    </row>
    <row r="558" spans="1:16" x14ac:dyDescent="0.3">
      <c r="A558" t="s">
        <v>630</v>
      </c>
      <c r="B558" s="1">
        <v>44673</v>
      </c>
      <c r="C558" t="s">
        <v>17</v>
      </c>
      <c r="D558" t="s">
        <v>42</v>
      </c>
      <c r="E558" t="s">
        <v>38</v>
      </c>
      <c r="F558" t="s">
        <v>28</v>
      </c>
      <c r="G558" t="s">
        <v>71</v>
      </c>
      <c r="H558">
        <v>32</v>
      </c>
      <c r="I558">
        <v>35000</v>
      </c>
      <c r="J558">
        <v>0</v>
      </c>
      <c r="K558">
        <v>1120000</v>
      </c>
      <c r="L558">
        <v>616000</v>
      </c>
      <c r="M558">
        <v>504000</v>
      </c>
      <c r="N558" t="s">
        <v>22</v>
      </c>
      <c r="O558" t="s">
        <v>35</v>
      </c>
      <c r="P558" t="s">
        <v>24</v>
      </c>
    </row>
    <row r="559" spans="1:16" x14ac:dyDescent="0.3">
      <c r="A559" t="s">
        <v>631</v>
      </c>
      <c r="B559" s="1">
        <v>45086</v>
      </c>
      <c r="C559" t="s">
        <v>46</v>
      </c>
      <c r="D559" t="s">
        <v>55</v>
      </c>
      <c r="E559" t="s">
        <v>73</v>
      </c>
      <c r="F559" t="s">
        <v>33</v>
      </c>
      <c r="G559" t="s">
        <v>39</v>
      </c>
      <c r="H559">
        <v>48</v>
      </c>
      <c r="I559">
        <v>5000</v>
      </c>
      <c r="J559">
        <v>0</v>
      </c>
      <c r="K559">
        <v>240000</v>
      </c>
      <c r="L559">
        <v>120000</v>
      </c>
      <c r="M559">
        <v>120000</v>
      </c>
      <c r="N559" t="s">
        <v>30</v>
      </c>
      <c r="O559" t="s">
        <v>67</v>
      </c>
      <c r="P559" t="s">
        <v>40</v>
      </c>
    </row>
    <row r="560" spans="1:16" x14ac:dyDescent="0.3">
      <c r="A560" t="s">
        <v>632</v>
      </c>
      <c r="B560" s="1">
        <v>44856</v>
      </c>
      <c r="C560" t="s">
        <v>58</v>
      </c>
      <c r="D560" t="s">
        <v>59</v>
      </c>
      <c r="E560" t="s">
        <v>78</v>
      </c>
      <c r="F560" t="s">
        <v>33</v>
      </c>
      <c r="G560" t="s">
        <v>76</v>
      </c>
      <c r="H560">
        <v>32</v>
      </c>
      <c r="I560">
        <v>8500</v>
      </c>
      <c r="J560">
        <v>5</v>
      </c>
      <c r="K560">
        <v>258400</v>
      </c>
      <c r="L560">
        <v>129200</v>
      </c>
      <c r="M560">
        <v>129200</v>
      </c>
      <c r="N560" t="s">
        <v>30</v>
      </c>
      <c r="O560" t="s">
        <v>50</v>
      </c>
      <c r="P560" t="s">
        <v>40</v>
      </c>
    </row>
    <row r="561" spans="1:16" x14ac:dyDescent="0.3">
      <c r="A561" t="s">
        <v>633</v>
      </c>
      <c r="B561" s="1">
        <v>44717</v>
      </c>
      <c r="C561" t="s">
        <v>46</v>
      </c>
      <c r="D561" t="s">
        <v>55</v>
      </c>
      <c r="E561" t="s">
        <v>32</v>
      </c>
      <c r="F561" t="s">
        <v>65</v>
      </c>
      <c r="G561" t="s">
        <v>104</v>
      </c>
      <c r="H561">
        <v>43</v>
      </c>
      <c r="I561">
        <v>3000</v>
      </c>
      <c r="J561">
        <v>15</v>
      </c>
      <c r="K561">
        <v>109650</v>
      </c>
      <c r="L561">
        <v>49342.5</v>
      </c>
      <c r="M561">
        <v>60307.5</v>
      </c>
      <c r="N561" t="s">
        <v>30</v>
      </c>
      <c r="O561" t="s">
        <v>67</v>
      </c>
      <c r="P561" t="s">
        <v>24</v>
      </c>
    </row>
    <row r="562" spans="1:16" x14ac:dyDescent="0.3">
      <c r="A562" t="s">
        <v>634</v>
      </c>
      <c r="B562" s="1">
        <v>45232</v>
      </c>
      <c r="C562" t="s">
        <v>17</v>
      </c>
      <c r="D562" t="s">
        <v>18</v>
      </c>
      <c r="E562" t="s">
        <v>56</v>
      </c>
      <c r="F562" t="s">
        <v>20</v>
      </c>
      <c r="G562" t="s">
        <v>115</v>
      </c>
      <c r="H562">
        <v>26</v>
      </c>
      <c r="I562">
        <v>2500</v>
      </c>
      <c r="J562">
        <v>15</v>
      </c>
      <c r="K562">
        <v>55250</v>
      </c>
      <c r="L562">
        <v>22100</v>
      </c>
      <c r="M562">
        <v>33150</v>
      </c>
      <c r="N562" t="s">
        <v>49</v>
      </c>
      <c r="O562" t="s">
        <v>67</v>
      </c>
      <c r="P562" t="s">
        <v>24</v>
      </c>
    </row>
    <row r="563" spans="1:16" x14ac:dyDescent="0.3">
      <c r="A563" t="s">
        <v>635</v>
      </c>
      <c r="B563" s="1">
        <v>44998</v>
      </c>
      <c r="C563" t="s">
        <v>58</v>
      </c>
      <c r="D563" t="s">
        <v>59</v>
      </c>
      <c r="E563" t="s">
        <v>73</v>
      </c>
      <c r="F563" t="s">
        <v>20</v>
      </c>
      <c r="G563" t="s">
        <v>53</v>
      </c>
      <c r="H563">
        <v>28</v>
      </c>
      <c r="I563">
        <v>600</v>
      </c>
      <c r="J563">
        <v>0</v>
      </c>
      <c r="K563">
        <v>16800</v>
      </c>
      <c r="L563">
        <v>6720</v>
      </c>
      <c r="M563">
        <v>10080</v>
      </c>
      <c r="N563" t="s">
        <v>49</v>
      </c>
      <c r="O563" t="s">
        <v>23</v>
      </c>
      <c r="P563" t="s">
        <v>24</v>
      </c>
    </row>
    <row r="564" spans="1:16" x14ac:dyDescent="0.3">
      <c r="A564" t="s">
        <v>636</v>
      </c>
      <c r="B564" s="1">
        <v>45186</v>
      </c>
      <c r="C564" t="s">
        <v>26</v>
      </c>
      <c r="D564" t="s">
        <v>27</v>
      </c>
      <c r="E564" t="s">
        <v>111</v>
      </c>
      <c r="F564" t="s">
        <v>33</v>
      </c>
      <c r="G564" t="s">
        <v>48</v>
      </c>
      <c r="H564">
        <v>40</v>
      </c>
      <c r="I564">
        <v>1500</v>
      </c>
      <c r="J564">
        <v>10</v>
      </c>
      <c r="K564">
        <v>54000</v>
      </c>
      <c r="L564">
        <v>27000</v>
      </c>
      <c r="M564">
        <v>27000</v>
      </c>
      <c r="N564" t="s">
        <v>49</v>
      </c>
      <c r="O564" t="s">
        <v>50</v>
      </c>
      <c r="P564" t="s">
        <v>24</v>
      </c>
    </row>
    <row r="565" spans="1:16" x14ac:dyDescent="0.3">
      <c r="A565" t="s">
        <v>637</v>
      </c>
      <c r="B565" s="1">
        <v>44751</v>
      </c>
      <c r="C565" t="s">
        <v>58</v>
      </c>
      <c r="D565" t="s">
        <v>59</v>
      </c>
      <c r="E565" t="s">
        <v>19</v>
      </c>
      <c r="F565" t="s">
        <v>20</v>
      </c>
      <c r="G565" t="s">
        <v>53</v>
      </c>
      <c r="H565">
        <v>22</v>
      </c>
      <c r="I565">
        <v>600</v>
      </c>
      <c r="J565">
        <v>5</v>
      </c>
      <c r="K565">
        <v>12540</v>
      </c>
      <c r="L565">
        <v>5016</v>
      </c>
      <c r="M565">
        <v>7524</v>
      </c>
      <c r="N565" t="s">
        <v>22</v>
      </c>
      <c r="O565" t="s">
        <v>35</v>
      </c>
      <c r="P565" t="s">
        <v>24</v>
      </c>
    </row>
    <row r="566" spans="1:16" x14ac:dyDescent="0.3">
      <c r="A566" t="s">
        <v>638</v>
      </c>
      <c r="B566" s="1">
        <v>44588</v>
      </c>
      <c r="C566" t="s">
        <v>26</v>
      </c>
      <c r="D566" t="s">
        <v>27</v>
      </c>
      <c r="E566" t="s">
        <v>32</v>
      </c>
      <c r="F566" t="s">
        <v>28</v>
      </c>
      <c r="G566" t="s">
        <v>29</v>
      </c>
      <c r="H566">
        <v>7</v>
      </c>
      <c r="I566">
        <v>15000</v>
      </c>
      <c r="J566">
        <v>15</v>
      </c>
      <c r="K566">
        <v>89250</v>
      </c>
      <c r="L566">
        <v>49087.5</v>
      </c>
      <c r="M566">
        <v>40162.5</v>
      </c>
      <c r="N566" t="s">
        <v>30</v>
      </c>
      <c r="O566" t="s">
        <v>50</v>
      </c>
      <c r="P566" t="s">
        <v>24</v>
      </c>
    </row>
    <row r="567" spans="1:16" x14ac:dyDescent="0.3">
      <c r="A567" t="s">
        <v>639</v>
      </c>
      <c r="B567" s="1">
        <v>45053</v>
      </c>
      <c r="C567" t="s">
        <v>26</v>
      </c>
      <c r="D567" t="s">
        <v>27</v>
      </c>
      <c r="E567" t="s">
        <v>38</v>
      </c>
      <c r="F567" t="s">
        <v>28</v>
      </c>
      <c r="G567" t="s">
        <v>95</v>
      </c>
      <c r="H567">
        <v>39</v>
      </c>
      <c r="I567">
        <v>75000</v>
      </c>
      <c r="J567">
        <v>5</v>
      </c>
      <c r="K567">
        <v>2778750</v>
      </c>
      <c r="L567">
        <v>1528312.5</v>
      </c>
      <c r="M567">
        <v>1250437.5</v>
      </c>
      <c r="N567" t="s">
        <v>22</v>
      </c>
      <c r="O567" t="s">
        <v>35</v>
      </c>
      <c r="P567" t="s">
        <v>40</v>
      </c>
    </row>
    <row r="568" spans="1:16" x14ac:dyDescent="0.3">
      <c r="A568" t="s">
        <v>640</v>
      </c>
      <c r="B568" s="1">
        <v>44776</v>
      </c>
      <c r="C568" t="s">
        <v>46</v>
      </c>
      <c r="D568" t="s">
        <v>55</v>
      </c>
      <c r="E568" t="s">
        <v>38</v>
      </c>
      <c r="F568" t="s">
        <v>20</v>
      </c>
      <c r="G568" t="s">
        <v>21</v>
      </c>
      <c r="H568">
        <v>45</v>
      </c>
      <c r="I568">
        <v>3500</v>
      </c>
      <c r="J568">
        <v>5</v>
      </c>
      <c r="K568">
        <v>149625</v>
      </c>
      <c r="L568">
        <v>59850</v>
      </c>
      <c r="M568">
        <v>89775</v>
      </c>
      <c r="N568" t="s">
        <v>49</v>
      </c>
      <c r="O568" t="s">
        <v>23</v>
      </c>
      <c r="P568" t="s">
        <v>24</v>
      </c>
    </row>
    <row r="569" spans="1:16" x14ac:dyDescent="0.3">
      <c r="A569" t="s">
        <v>641</v>
      </c>
      <c r="B569" s="1">
        <v>44702</v>
      </c>
      <c r="C569" t="s">
        <v>58</v>
      </c>
      <c r="D569" t="s">
        <v>59</v>
      </c>
      <c r="E569" t="s">
        <v>32</v>
      </c>
      <c r="F569" t="s">
        <v>33</v>
      </c>
      <c r="G569" t="s">
        <v>34</v>
      </c>
      <c r="H569">
        <v>11</v>
      </c>
      <c r="I569">
        <v>25000</v>
      </c>
      <c r="J569">
        <v>0</v>
      </c>
      <c r="K569">
        <v>275000</v>
      </c>
      <c r="L569">
        <v>137500</v>
      </c>
      <c r="M569">
        <v>137500</v>
      </c>
      <c r="N569" t="s">
        <v>30</v>
      </c>
      <c r="O569" t="s">
        <v>23</v>
      </c>
      <c r="P569" t="s">
        <v>24</v>
      </c>
    </row>
    <row r="570" spans="1:16" x14ac:dyDescent="0.3">
      <c r="A570" t="s">
        <v>642</v>
      </c>
      <c r="B570" s="1">
        <v>45302</v>
      </c>
      <c r="C570" t="s">
        <v>26</v>
      </c>
      <c r="D570" t="s">
        <v>69</v>
      </c>
      <c r="E570" t="s">
        <v>73</v>
      </c>
      <c r="F570" t="s">
        <v>20</v>
      </c>
      <c r="G570" t="s">
        <v>115</v>
      </c>
      <c r="H570">
        <v>5</v>
      </c>
      <c r="I570">
        <v>2500</v>
      </c>
      <c r="J570">
        <v>15</v>
      </c>
      <c r="K570">
        <v>10625</v>
      </c>
      <c r="L570">
        <v>4250</v>
      </c>
      <c r="M570">
        <v>6375</v>
      </c>
      <c r="N570" t="s">
        <v>22</v>
      </c>
      <c r="O570" t="s">
        <v>23</v>
      </c>
      <c r="P570" t="s">
        <v>24</v>
      </c>
    </row>
    <row r="571" spans="1:16" x14ac:dyDescent="0.3">
      <c r="A571" t="s">
        <v>643</v>
      </c>
      <c r="B571" s="1">
        <v>44916</v>
      </c>
      <c r="C571" t="s">
        <v>58</v>
      </c>
      <c r="D571" t="s">
        <v>84</v>
      </c>
      <c r="E571" t="s">
        <v>78</v>
      </c>
      <c r="F571" t="s">
        <v>65</v>
      </c>
      <c r="G571" t="s">
        <v>104</v>
      </c>
      <c r="H571">
        <v>40</v>
      </c>
      <c r="I571">
        <v>3000</v>
      </c>
      <c r="J571">
        <v>0</v>
      </c>
      <c r="K571">
        <v>120000</v>
      </c>
      <c r="L571">
        <v>54000</v>
      </c>
      <c r="M571">
        <v>66000</v>
      </c>
      <c r="N571" t="s">
        <v>22</v>
      </c>
      <c r="O571" t="s">
        <v>50</v>
      </c>
      <c r="P571" t="s">
        <v>24</v>
      </c>
    </row>
    <row r="572" spans="1:16" x14ac:dyDescent="0.3">
      <c r="A572" t="s">
        <v>644</v>
      </c>
      <c r="B572" s="1">
        <v>44744</v>
      </c>
      <c r="C572" t="s">
        <v>26</v>
      </c>
      <c r="D572" t="s">
        <v>27</v>
      </c>
      <c r="E572" t="s">
        <v>38</v>
      </c>
      <c r="F572" t="s">
        <v>33</v>
      </c>
      <c r="G572" t="s">
        <v>48</v>
      </c>
      <c r="H572">
        <v>2</v>
      </c>
      <c r="I572">
        <v>1500</v>
      </c>
      <c r="J572">
        <v>15</v>
      </c>
      <c r="K572">
        <v>2550</v>
      </c>
      <c r="L572">
        <v>1275</v>
      </c>
      <c r="M572">
        <v>1275</v>
      </c>
      <c r="N572" t="s">
        <v>22</v>
      </c>
      <c r="O572" t="s">
        <v>35</v>
      </c>
      <c r="P572" t="s">
        <v>24</v>
      </c>
    </row>
    <row r="573" spans="1:16" x14ac:dyDescent="0.3">
      <c r="A573" t="s">
        <v>645</v>
      </c>
      <c r="B573" s="1">
        <v>44642</v>
      </c>
      <c r="C573" t="s">
        <v>58</v>
      </c>
      <c r="D573" t="s">
        <v>59</v>
      </c>
      <c r="E573" t="s">
        <v>78</v>
      </c>
      <c r="F573" t="s">
        <v>33</v>
      </c>
      <c r="G573" t="s">
        <v>48</v>
      </c>
      <c r="H573">
        <v>37</v>
      </c>
      <c r="I573">
        <v>1500</v>
      </c>
      <c r="J573">
        <v>0</v>
      </c>
      <c r="K573">
        <v>55500</v>
      </c>
      <c r="L573">
        <v>27750</v>
      </c>
      <c r="M573">
        <v>27750</v>
      </c>
      <c r="N573" t="s">
        <v>22</v>
      </c>
      <c r="O573" t="s">
        <v>23</v>
      </c>
      <c r="P573" t="s">
        <v>40</v>
      </c>
    </row>
    <row r="574" spans="1:16" x14ac:dyDescent="0.3">
      <c r="A574" t="s">
        <v>646</v>
      </c>
      <c r="B574" s="1">
        <v>45487</v>
      </c>
      <c r="C574" t="s">
        <v>58</v>
      </c>
      <c r="D574" t="s">
        <v>64</v>
      </c>
      <c r="E574" t="s">
        <v>52</v>
      </c>
      <c r="F574" t="s">
        <v>20</v>
      </c>
      <c r="G574" t="s">
        <v>21</v>
      </c>
      <c r="H574">
        <v>25</v>
      </c>
      <c r="I574">
        <v>3500</v>
      </c>
      <c r="J574">
        <v>15</v>
      </c>
      <c r="K574">
        <v>74375</v>
      </c>
      <c r="L574">
        <v>29750</v>
      </c>
      <c r="M574">
        <v>44625</v>
      </c>
      <c r="N574" t="s">
        <v>22</v>
      </c>
      <c r="O574" t="s">
        <v>67</v>
      </c>
      <c r="P574" t="s">
        <v>24</v>
      </c>
    </row>
    <row r="575" spans="1:16" x14ac:dyDescent="0.3">
      <c r="A575" t="s">
        <v>647</v>
      </c>
      <c r="B575" s="1">
        <v>45241</v>
      </c>
      <c r="C575" t="s">
        <v>17</v>
      </c>
      <c r="D575" t="s">
        <v>37</v>
      </c>
      <c r="E575" t="s">
        <v>56</v>
      </c>
      <c r="F575" t="s">
        <v>28</v>
      </c>
      <c r="G575" t="s">
        <v>71</v>
      </c>
      <c r="H575">
        <v>35</v>
      </c>
      <c r="I575">
        <v>35000</v>
      </c>
      <c r="J575">
        <v>10</v>
      </c>
      <c r="K575">
        <v>1102500</v>
      </c>
      <c r="L575">
        <v>606375</v>
      </c>
      <c r="M575">
        <v>496125</v>
      </c>
      <c r="N575" t="s">
        <v>49</v>
      </c>
      <c r="O575" t="s">
        <v>50</v>
      </c>
      <c r="P575" t="s">
        <v>24</v>
      </c>
    </row>
    <row r="576" spans="1:16" x14ac:dyDescent="0.3">
      <c r="A576" t="s">
        <v>648</v>
      </c>
      <c r="B576" s="1">
        <v>44932</v>
      </c>
      <c r="C576" t="s">
        <v>26</v>
      </c>
      <c r="D576" t="s">
        <v>69</v>
      </c>
      <c r="E576" t="s">
        <v>19</v>
      </c>
      <c r="F576" t="s">
        <v>33</v>
      </c>
      <c r="G576" t="s">
        <v>48</v>
      </c>
      <c r="H576">
        <v>7</v>
      </c>
      <c r="I576">
        <v>1500</v>
      </c>
      <c r="J576">
        <v>10</v>
      </c>
      <c r="K576">
        <v>9450</v>
      </c>
      <c r="L576">
        <v>4725</v>
      </c>
      <c r="M576">
        <v>4725</v>
      </c>
      <c r="N576" t="s">
        <v>30</v>
      </c>
      <c r="O576" t="s">
        <v>23</v>
      </c>
      <c r="P576" t="s">
        <v>24</v>
      </c>
    </row>
    <row r="577" spans="1:16" x14ac:dyDescent="0.3">
      <c r="A577" t="s">
        <v>649</v>
      </c>
      <c r="B577" s="1">
        <v>44931</v>
      </c>
      <c r="C577" t="s">
        <v>26</v>
      </c>
      <c r="D577" t="s">
        <v>27</v>
      </c>
      <c r="E577" t="s">
        <v>56</v>
      </c>
      <c r="F577" t="s">
        <v>20</v>
      </c>
      <c r="G577" t="s">
        <v>115</v>
      </c>
      <c r="H577">
        <v>25</v>
      </c>
      <c r="I577">
        <v>2500</v>
      </c>
      <c r="J577">
        <v>0</v>
      </c>
      <c r="K577">
        <v>62500</v>
      </c>
      <c r="L577">
        <v>25000</v>
      </c>
      <c r="M577">
        <v>37500</v>
      </c>
      <c r="N577" t="s">
        <v>22</v>
      </c>
      <c r="O577" t="s">
        <v>50</v>
      </c>
      <c r="P577" t="s">
        <v>40</v>
      </c>
    </row>
    <row r="578" spans="1:16" x14ac:dyDescent="0.3">
      <c r="A578" t="s">
        <v>650</v>
      </c>
      <c r="B578" s="1">
        <v>45522</v>
      </c>
      <c r="C578" t="s">
        <v>58</v>
      </c>
      <c r="D578" t="s">
        <v>84</v>
      </c>
      <c r="E578" t="s">
        <v>56</v>
      </c>
      <c r="F578" t="s">
        <v>33</v>
      </c>
      <c r="G578" t="s">
        <v>39</v>
      </c>
      <c r="H578">
        <v>22</v>
      </c>
      <c r="I578">
        <v>5000</v>
      </c>
      <c r="J578">
        <v>0</v>
      </c>
      <c r="K578">
        <v>110000</v>
      </c>
      <c r="L578">
        <v>55000</v>
      </c>
      <c r="M578">
        <v>55000</v>
      </c>
      <c r="N578" t="s">
        <v>30</v>
      </c>
      <c r="O578" t="s">
        <v>44</v>
      </c>
      <c r="P578" t="s">
        <v>24</v>
      </c>
    </row>
    <row r="579" spans="1:16" x14ac:dyDescent="0.3">
      <c r="A579" t="s">
        <v>651</v>
      </c>
      <c r="B579" s="1">
        <v>45580</v>
      </c>
      <c r="C579" t="s">
        <v>46</v>
      </c>
      <c r="D579" t="s">
        <v>47</v>
      </c>
      <c r="E579" t="s">
        <v>52</v>
      </c>
      <c r="F579" t="s">
        <v>28</v>
      </c>
      <c r="G579" t="s">
        <v>87</v>
      </c>
      <c r="H579">
        <v>32</v>
      </c>
      <c r="I579">
        <v>45000</v>
      </c>
      <c r="J579">
        <v>0</v>
      </c>
      <c r="K579">
        <v>1440000</v>
      </c>
      <c r="L579">
        <v>792000</v>
      </c>
      <c r="M579">
        <v>648000</v>
      </c>
      <c r="N579" t="s">
        <v>22</v>
      </c>
      <c r="O579" t="s">
        <v>35</v>
      </c>
      <c r="P579" t="s">
        <v>24</v>
      </c>
    </row>
    <row r="580" spans="1:16" x14ac:dyDescent="0.3">
      <c r="A580" t="s">
        <v>652</v>
      </c>
      <c r="B580" s="1">
        <v>45039</v>
      </c>
      <c r="C580" t="s">
        <v>46</v>
      </c>
      <c r="D580" t="s">
        <v>47</v>
      </c>
      <c r="E580" t="s">
        <v>78</v>
      </c>
      <c r="F580" t="s">
        <v>28</v>
      </c>
      <c r="G580" t="s">
        <v>71</v>
      </c>
      <c r="H580">
        <v>7</v>
      </c>
      <c r="I580">
        <v>35000</v>
      </c>
      <c r="J580">
        <v>15</v>
      </c>
      <c r="K580">
        <v>208250</v>
      </c>
      <c r="L580">
        <v>114537.5</v>
      </c>
      <c r="M580">
        <v>93712.5</v>
      </c>
      <c r="N580" t="s">
        <v>30</v>
      </c>
      <c r="O580" t="s">
        <v>67</v>
      </c>
      <c r="P580" t="s">
        <v>40</v>
      </c>
    </row>
    <row r="581" spans="1:16" x14ac:dyDescent="0.3">
      <c r="A581" t="s">
        <v>653</v>
      </c>
      <c r="B581" s="1">
        <v>44708</v>
      </c>
      <c r="C581" t="s">
        <v>26</v>
      </c>
      <c r="D581" t="s">
        <v>27</v>
      </c>
      <c r="E581" t="s">
        <v>60</v>
      </c>
      <c r="F581" t="s">
        <v>20</v>
      </c>
      <c r="G581" t="s">
        <v>21</v>
      </c>
      <c r="H581">
        <v>13</v>
      </c>
      <c r="I581">
        <v>3500</v>
      </c>
      <c r="J581">
        <v>15</v>
      </c>
      <c r="K581">
        <v>38675</v>
      </c>
      <c r="L581">
        <v>15470</v>
      </c>
      <c r="M581">
        <v>23205</v>
      </c>
      <c r="N581" t="s">
        <v>22</v>
      </c>
      <c r="O581" t="s">
        <v>23</v>
      </c>
      <c r="P581" t="s">
        <v>24</v>
      </c>
    </row>
    <row r="582" spans="1:16" x14ac:dyDescent="0.3">
      <c r="A582" t="s">
        <v>654</v>
      </c>
      <c r="B582" s="1">
        <v>45173</v>
      </c>
      <c r="C582" t="s">
        <v>46</v>
      </c>
      <c r="D582" t="s">
        <v>55</v>
      </c>
      <c r="E582" t="s">
        <v>19</v>
      </c>
      <c r="F582" t="s">
        <v>28</v>
      </c>
      <c r="G582" t="s">
        <v>29</v>
      </c>
      <c r="H582">
        <v>12</v>
      </c>
      <c r="I582">
        <v>15000</v>
      </c>
      <c r="J582">
        <v>10</v>
      </c>
      <c r="K582">
        <v>162000</v>
      </c>
      <c r="L582">
        <v>89100</v>
      </c>
      <c r="M582">
        <v>72900</v>
      </c>
      <c r="N582" t="s">
        <v>30</v>
      </c>
      <c r="O582" t="s">
        <v>50</v>
      </c>
      <c r="P582" t="s">
        <v>24</v>
      </c>
    </row>
    <row r="583" spans="1:16" x14ac:dyDescent="0.3">
      <c r="A583" t="s">
        <v>655</v>
      </c>
      <c r="B583" s="1">
        <v>44859</v>
      </c>
      <c r="C583" t="s">
        <v>58</v>
      </c>
      <c r="D583" t="s">
        <v>84</v>
      </c>
      <c r="E583" t="s">
        <v>70</v>
      </c>
      <c r="F583" t="s">
        <v>20</v>
      </c>
      <c r="G583" t="s">
        <v>115</v>
      </c>
      <c r="H583">
        <v>16</v>
      </c>
      <c r="I583">
        <v>2500</v>
      </c>
      <c r="J583">
        <v>20</v>
      </c>
      <c r="K583">
        <v>32000</v>
      </c>
      <c r="L583">
        <v>12800</v>
      </c>
      <c r="M583">
        <v>19200</v>
      </c>
      <c r="N583" t="s">
        <v>30</v>
      </c>
      <c r="O583" t="s">
        <v>35</v>
      </c>
      <c r="P583" t="s">
        <v>24</v>
      </c>
    </row>
    <row r="584" spans="1:16" x14ac:dyDescent="0.3">
      <c r="A584" t="s">
        <v>656</v>
      </c>
      <c r="B584" s="1">
        <v>45316</v>
      </c>
      <c r="C584" t="s">
        <v>46</v>
      </c>
      <c r="D584" t="s">
        <v>47</v>
      </c>
      <c r="E584" t="s">
        <v>60</v>
      </c>
      <c r="F584" t="s">
        <v>28</v>
      </c>
      <c r="G584" t="s">
        <v>95</v>
      </c>
      <c r="H584">
        <v>1</v>
      </c>
      <c r="I584">
        <v>75000</v>
      </c>
      <c r="J584">
        <v>5</v>
      </c>
      <c r="K584">
        <v>71250</v>
      </c>
      <c r="L584">
        <v>39187.5</v>
      </c>
      <c r="M584">
        <v>32062.5</v>
      </c>
      <c r="N584" t="s">
        <v>22</v>
      </c>
      <c r="O584" t="s">
        <v>67</v>
      </c>
      <c r="P584" t="s">
        <v>24</v>
      </c>
    </row>
    <row r="585" spans="1:16" x14ac:dyDescent="0.3">
      <c r="A585" t="s">
        <v>657</v>
      </c>
      <c r="B585" s="1">
        <v>45121</v>
      </c>
      <c r="C585" t="s">
        <v>58</v>
      </c>
      <c r="D585" t="s">
        <v>64</v>
      </c>
      <c r="E585" t="s">
        <v>78</v>
      </c>
      <c r="F585" t="s">
        <v>20</v>
      </c>
      <c r="G585" t="s">
        <v>74</v>
      </c>
      <c r="H585">
        <v>41</v>
      </c>
      <c r="I585">
        <v>4200</v>
      </c>
      <c r="J585">
        <v>10</v>
      </c>
      <c r="K585">
        <v>154980</v>
      </c>
      <c r="L585">
        <v>61992</v>
      </c>
      <c r="M585">
        <v>92988</v>
      </c>
      <c r="N585" t="s">
        <v>49</v>
      </c>
      <c r="O585" t="s">
        <v>23</v>
      </c>
      <c r="P585" t="s">
        <v>40</v>
      </c>
    </row>
    <row r="586" spans="1:16" x14ac:dyDescent="0.3">
      <c r="A586" t="s">
        <v>658</v>
      </c>
      <c r="B586" s="1">
        <v>45022</v>
      </c>
      <c r="C586" t="s">
        <v>26</v>
      </c>
      <c r="D586" t="s">
        <v>27</v>
      </c>
      <c r="E586" t="s">
        <v>60</v>
      </c>
      <c r="F586" t="s">
        <v>28</v>
      </c>
      <c r="G586" t="s">
        <v>71</v>
      </c>
      <c r="H586">
        <v>23</v>
      </c>
      <c r="I586">
        <v>35000</v>
      </c>
      <c r="J586">
        <v>15</v>
      </c>
      <c r="K586">
        <v>684250</v>
      </c>
      <c r="L586">
        <v>376337.5</v>
      </c>
      <c r="M586">
        <v>307912.5</v>
      </c>
      <c r="N586" t="s">
        <v>22</v>
      </c>
      <c r="O586" t="s">
        <v>44</v>
      </c>
      <c r="P586" t="s">
        <v>24</v>
      </c>
    </row>
    <row r="587" spans="1:16" x14ac:dyDescent="0.3">
      <c r="A587" t="s">
        <v>659</v>
      </c>
      <c r="B587" s="1">
        <v>44930</v>
      </c>
      <c r="C587" t="s">
        <v>26</v>
      </c>
      <c r="D587" t="s">
        <v>69</v>
      </c>
      <c r="E587" t="s">
        <v>111</v>
      </c>
      <c r="F587" t="s">
        <v>20</v>
      </c>
      <c r="G587" t="s">
        <v>115</v>
      </c>
      <c r="H587">
        <v>50</v>
      </c>
      <c r="I587">
        <v>2500</v>
      </c>
      <c r="J587">
        <v>5</v>
      </c>
      <c r="K587">
        <v>118750</v>
      </c>
      <c r="L587">
        <v>47500</v>
      </c>
      <c r="M587">
        <v>71250</v>
      </c>
      <c r="N587" t="s">
        <v>30</v>
      </c>
      <c r="O587" t="s">
        <v>44</v>
      </c>
      <c r="P587" t="s">
        <v>24</v>
      </c>
    </row>
    <row r="588" spans="1:16" x14ac:dyDescent="0.3">
      <c r="A588" t="s">
        <v>660</v>
      </c>
      <c r="B588" s="1">
        <v>44799</v>
      </c>
      <c r="C588" t="s">
        <v>46</v>
      </c>
      <c r="D588" t="s">
        <v>55</v>
      </c>
      <c r="E588" t="s">
        <v>60</v>
      </c>
      <c r="F588" t="s">
        <v>20</v>
      </c>
      <c r="G588" t="s">
        <v>74</v>
      </c>
      <c r="H588">
        <v>43</v>
      </c>
      <c r="I588">
        <v>4200</v>
      </c>
      <c r="J588">
        <v>0</v>
      </c>
      <c r="K588">
        <v>180600</v>
      </c>
      <c r="L588">
        <v>72240</v>
      </c>
      <c r="M588">
        <v>108360</v>
      </c>
      <c r="N588" t="s">
        <v>22</v>
      </c>
      <c r="O588" t="s">
        <v>50</v>
      </c>
      <c r="P588" t="s">
        <v>24</v>
      </c>
    </row>
    <row r="589" spans="1:16" x14ac:dyDescent="0.3">
      <c r="A589" t="s">
        <v>661</v>
      </c>
      <c r="B589" s="1">
        <v>45114</v>
      </c>
      <c r="C589" t="s">
        <v>58</v>
      </c>
      <c r="D589" t="s">
        <v>59</v>
      </c>
      <c r="E589" t="s">
        <v>70</v>
      </c>
      <c r="F589" t="s">
        <v>65</v>
      </c>
      <c r="G589" t="s">
        <v>117</v>
      </c>
      <c r="H589">
        <v>7</v>
      </c>
      <c r="I589">
        <v>1200</v>
      </c>
      <c r="J589">
        <v>0</v>
      </c>
      <c r="K589">
        <v>8400</v>
      </c>
      <c r="L589">
        <v>3780</v>
      </c>
      <c r="M589">
        <v>4620</v>
      </c>
      <c r="N589" t="s">
        <v>30</v>
      </c>
      <c r="O589" t="s">
        <v>44</v>
      </c>
      <c r="P589" t="s">
        <v>40</v>
      </c>
    </row>
    <row r="590" spans="1:16" x14ac:dyDescent="0.3">
      <c r="A590" t="s">
        <v>662</v>
      </c>
      <c r="B590" s="1">
        <v>44608</v>
      </c>
      <c r="C590" t="s">
        <v>26</v>
      </c>
      <c r="D590" t="s">
        <v>27</v>
      </c>
      <c r="E590" t="s">
        <v>19</v>
      </c>
      <c r="F590" t="s">
        <v>65</v>
      </c>
      <c r="G590" t="s">
        <v>79</v>
      </c>
      <c r="H590">
        <v>38</v>
      </c>
      <c r="I590">
        <v>900</v>
      </c>
      <c r="J590">
        <v>10</v>
      </c>
      <c r="K590">
        <v>30780</v>
      </c>
      <c r="L590">
        <v>13851</v>
      </c>
      <c r="M590">
        <v>16929</v>
      </c>
      <c r="N590" t="s">
        <v>30</v>
      </c>
      <c r="O590" t="s">
        <v>50</v>
      </c>
      <c r="P590" t="s">
        <v>24</v>
      </c>
    </row>
    <row r="591" spans="1:16" x14ac:dyDescent="0.3">
      <c r="A591" t="s">
        <v>663</v>
      </c>
      <c r="B591" s="1">
        <v>45010</v>
      </c>
      <c r="C591" t="s">
        <v>26</v>
      </c>
      <c r="D591" t="s">
        <v>69</v>
      </c>
      <c r="E591" t="s">
        <v>19</v>
      </c>
      <c r="F591" t="s">
        <v>28</v>
      </c>
      <c r="G591" t="s">
        <v>87</v>
      </c>
      <c r="H591">
        <v>48</v>
      </c>
      <c r="I591">
        <v>45000</v>
      </c>
      <c r="J591">
        <v>15</v>
      </c>
      <c r="K591">
        <v>1836000</v>
      </c>
      <c r="L591">
        <v>1009800</v>
      </c>
      <c r="M591">
        <v>826200</v>
      </c>
      <c r="N591" t="s">
        <v>49</v>
      </c>
      <c r="O591" t="s">
        <v>44</v>
      </c>
      <c r="P591" t="s">
        <v>24</v>
      </c>
    </row>
    <row r="592" spans="1:16" x14ac:dyDescent="0.3">
      <c r="A592" t="s">
        <v>664</v>
      </c>
      <c r="B592" s="1">
        <v>44697</v>
      </c>
      <c r="C592" t="s">
        <v>58</v>
      </c>
      <c r="D592" t="s">
        <v>84</v>
      </c>
      <c r="E592" t="s">
        <v>32</v>
      </c>
      <c r="F592" t="s">
        <v>20</v>
      </c>
      <c r="G592" t="s">
        <v>74</v>
      </c>
      <c r="H592">
        <v>40</v>
      </c>
      <c r="I592">
        <v>4200</v>
      </c>
      <c r="J592">
        <v>15</v>
      </c>
      <c r="K592">
        <v>142800</v>
      </c>
      <c r="L592">
        <v>57120</v>
      </c>
      <c r="M592">
        <v>85680</v>
      </c>
      <c r="N592" t="s">
        <v>49</v>
      </c>
      <c r="O592" t="s">
        <v>50</v>
      </c>
      <c r="P592" t="s">
        <v>24</v>
      </c>
    </row>
    <row r="593" spans="1:16" x14ac:dyDescent="0.3">
      <c r="A593" t="s">
        <v>665</v>
      </c>
      <c r="B593" s="1">
        <v>44819</v>
      </c>
      <c r="C593" t="s">
        <v>46</v>
      </c>
      <c r="D593" t="s">
        <v>55</v>
      </c>
      <c r="E593" t="s">
        <v>73</v>
      </c>
      <c r="F593" t="s">
        <v>20</v>
      </c>
      <c r="G593" t="s">
        <v>61</v>
      </c>
      <c r="H593">
        <v>9</v>
      </c>
      <c r="I593">
        <v>800</v>
      </c>
      <c r="J593">
        <v>0</v>
      </c>
      <c r="K593">
        <v>7200</v>
      </c>
      <c r="L593">
        <v>2880</v>
      </c>
      <c r="M593">
        <v>4320</v>
      </c>
      <c r="N593" t="s">
        <v>30</v>
      </c>
      <c r="O593" t="s">
        <v>50</v>
      </c>
      <c r="P593" t="s">
        <v>40</v>
      </c>
    </row>
    <row r="594" spans="1:16" x14ac:dyDescent="0.3">
      <c r="A594" t="s">
        <v>666</v>
      </c>
      <c r="B594" s="1">
        <v>44808</v>
      </c>
      <c r="C594" t="s">
        <v>58</v>
      </c>
      <c r="D594" t="s">
        <v>59</v>
      </c>
      <c r="E594" t="s">
        <v>32</v>
      </c>
      <c r="F594" t="s">
        <v>20</v>
      </c>
      <c r="G594" t="s">
        <v>61</v>
      </c>
      <c r="H594">
        <v>15</v>
      </c>
      <c r="I594">
        <v>800</v>
      </c>
      <c r="J594">
        <v>10</v>
      </c>
      <c r="K594">
        <v>10800</v>
      </c>
      <c r="L594">
        <v>4320</v>
      </c>
      <c r="M594">
        <v>6480</v>
      </c>
      <c r="N594" t="s">
        <v>30</v>
      </c>
      <c r="O594" t="s">
        <v>67</v>
      </c>
      <c r="P594" t="s">
        <v>40</v>
      </c>
    </row>
    <row r="595" spans="1:16" x14ac:dyDescent="0.3">
      <c r="A595" t="s">
        <v>667</v>
      </c>
      <c r="B595" s="1">
        <v>44884</v>
      </c>
      <c r="C595" t="s">
        <v>46</v>
      </c>
      <c r="D595" t="s">
        <v>47</v>
      </c>
      <c r="E595" t="s">
        <v>32</v>
      </c>
      <c r="F595" t="s">
        <v>65</v>
      </c>
      <c r="G595" t="s">
        <v>104</v>
      </c>
      <c r="H595">
        <v>38</v>
      </c>
      <c r="I595">
        <v>3000</v>
      </c>
      <c r="J595">
        <v>15</v>
      </c>
      <c r="K595">
        <v>96900</v>
      </c>
      <c r="L595">
        <v>43605</v>
      </c>
      <c r="M595">
        <v>53295</v>
      </c>
      <c r="N595" t="s">
        <v>49</v>
      </c>
      <c r="O595" t="s">
        <v>35</v>
      </c>
      <c r="P595" t="s">
        <v>24</v>
      </c>
    </row>
    <row r="596" spans="1:16" x14ac:dyDescent="0.3">
      <c r="A596" t="s">
        <v>668</v>
      </c>
      <c r="B596" s="1">
        <v>45406</v>
      </c>
      <c r="C596" t="s">
        <v>46</v>
      </c>
      <c r="D596" t="s">
        <v>47</v>
      </c>
      <c r="E596" t="s">
        <v>70</v>
      </c>
      <c r="F596" t="s">
        <v>65</v>
      </c>
      <c r="G596" t="s">
        <v>79</v>
      </c>
      <c r="H596">
        <v>15</v>
      </c>
      <c r="I596">
        <v>900</v>
      </c>
      <c r="J596">
        <v>20</v>
      </c>
      <c r="K596">
        <v>10800</v>
      </c>
      <c r="L596">
        <v>4860</v>
      </c>
      <c r="M596">
        <v>5940</v>
      </c>
      <c r="N596" t="s">
        <v>22</v>
      </c>
      <c r="O596" t="s">
        <v>35</v>
      </c>
      <c r="P596" t="s">
        <v>24</v>
      </c>
    </row>
    <row r="597" spans="1:16" x14ac:dyDescent="0.3">
      <c r="A597" t="s">
        <v>669</v>
      </c>
      <c r="B597" s="1">
        <v>45353</v>
      </c>
      <c r="C597" t="s">
        <v>26</v>
      </c>
      <c r="D597" t="s">
        <v>69</v>
      </c>
      <c r="E597" t="s">
        <v>111</v>
      </c>
      <c r="F597" t="s">
        <v>28</v>
      </c>
      <c r="G597" t="s">
        <v>85</v>
      </c>
      <c r="H597">
        <v>34</v>
      </c>
      <c r="I597">
        <v>8000</v>
      </c>
      <c r="J597">
        <v>15</v>
      </c>
      <c r="K597">
        <v>231200</v>
      </c>
      <c r="L597">
        <v>127160</v>
      </c>
      <c r="M597">
        <v>104040</v>
      </c>
      <c r="N597" t="s">
        <v>22</v>
      </c>
      <c r="O597" t="s">
        <v>35</v>
      </c>
      <c r="P597" t="s">
        <v>24</v>
      </c>
    </row>
    <row r="598" spans="1:16" x14ac:dyDescent="0.3">
      <c r="A598" t="s">
        <v>670</v>
      </c>
      <c r="B598" s="1">
        <v>45428</v>
      </c>
      <c r="C598" t="s">
        <v>46</v>
      </c>
      <c r="D598" t="s">
        <v>47</v>
      </c>
      <c r="E598" t="s">
        <v>111</v>
      </c>
      <c r="F598" t="s">
        <v>28</v>
      </c>
      <c r="G598" t="s">
        <v>85</v>
      </c>
      <c r="H598">
        <v>14</v>
      </c>
      <c r="I598">
        <v>8000</v>
      </c>
      <c r="J598">
        <v>5</v>
      </c>
      <c r="K598">
        <v>106400</v>
      </c>
      <c r="L598">
        <v>58520</v>
      </c>
      <c r="M598">
        <v>47880</v>
      </c>
      <c r="N598" t="s">
        <v>49</v>
      </c>
      <c r="O598" t="s">
        <v>44</v>
      </c>
      <c r="P598" t="s">
        <v>24</v>
      </c>
    </row>
    <row r="599" spans="1:16" x14ac:dyDescent="0.3">
      <c r="A599" t="s">
        <v>671</v>
      </c>
      <c r="B599" s="1">
        <v>44713</v>
      </c>
      <c r="C599" t="s">
        <v>58</v>
      </c>
      <c r="D599" t="s">
        <v>64</v>
      </c>
      <c r="E599" t="s">
        <v>73</v>
      </c>
      <c r="F599" t="s">
        <v>20</v>
      </c>
      <c r="G599" t="s">
        <v>115</v>
      </c>
      <c r="H599">
        <v>37</v>
      </c>
      <c r="I599">
        <v>2500</v>
      </c>
      <c r="J599">
        <v>20</v>
      </c>
      <c r="K599">
        <v>74000</v>
      </c>
      <c r="L599">
        <v>29600</v>
      </c>
      <c r="M599">
        <v>44400</v>
      </c>
      <c r="N599" t="s">
        <v>49</v>
      </c>
      <c r="O599" t="s">
        <v>23</v>
      </c>
      <c r="P599" t="s">
        <v>24</v>
      </c>
    </row>
    <row r="600" spans="1:16" x14ac:dyDescent="0.3">
      <c r="A600" t="s">
        <v>672</v>
      </c>
      <c r="B600" s="1">
        <v>44832</v>
      </c>
      <c r="C600" t="s">
        <v>58</v>
      </c>
      <c r="D600" t="s">
        <v>84</v>
      </c>
      <c r="E600" t="s">
        <v>70</v>
      </c>
      <c r="F600" t="s">
        <v>65</v>
      </c>
      <c r="G600" t="s">
        <v>117</v>
      </c>
      <c r="H600">
        <v>41</v>
      </c>
      <c r="I600">
        <v>1200</v>
      </c>
      <c r="J600">
        <v>0</v>
      </c>
      <c r="K600">
        <v>49200</v>
      </c>
      <c r="L600">
        <v>22140</v>
      </c>
      <c r="M600">
        <v>27060</v>
      </c>
      <c r="N600" t="s">
        <v>22</v>
      </c>
      <c r="O600" t="s">
        <v>50</v>
      </c>
      <c r="P600" t="s">
        <v>24</v>
      </c>
    </row>
    <row r="601" spans="1:16" x14ac:dyDescent="0.3">
      <c r="A601" t="s">
        <v>673</v>
      </c>
      <c r="B601" s="1">
        <v>45567</v>
      </c>
      <c r="C601" t="s">
        <v>17</v>
      </c>
      <c r="D601" t="s">
        <v>37</v>
      </c>
      <c r="E601" t="s">
        <v>73</v>
      </c>
      <c r="F601" t="s">
        <v>20</v>
      </c>
      <c r="G601" t="s">
        <v>21</v>
      </c>
      <c r="H601">
        <v>40</v>
      </c>
      <c r="I601">
        <v>3500</v>
      </c>
      <c r="J601">
        <v>10</v>
      </c>
      <c r="K601">
        <v>126000</v>
      </c>
      <c r="L601">
        <v>50400</v>
      </c>
      <c r="M601">
        <v>75600</v>
      </c>
      <c r="N601" t="s">
        <v>22</v>
      </c>
      <c r="O601" t="s">
        <v>50</v>
      </c>
      <c r="P601" t="s">
        <v>24</v>
      </c>
    </row>
    <row r="602" spans="1:16" x14ac:dyDescent="0.3">
      <c r="A602" t="s">
        <v>674</v>
      </c>
      <c r="B602" s="1">
        <v>44655</v>
      </c>
      <c r="C602" t="s">
        <v>58</v>
      </c>
      <c r="D602" t="s">
        <v>59</v>
      </c>
      <c r="E602" t="s">
        <v>60</v>
      </c>
      <c r="F602" t="s">
        <v>28</v>
      </c>
      <c r="G602" t="s">
        <v>71</v>
      </c>
      <c r="H602">
        <v>24</v>
      </c>
      <c r="I602">
        <v>35000</v>
      </c>
      <c r="J602">
        <v>5</v>
      </c>
      <c r="K602">
        <v>798000</v>
      </c>
      <c r="L602">
        <v>438900</v>
      </c>
      <c r="M602">
        <v>359100</v>
      </c>
      <c r="N602" t="s">
        <v>22</v>
      </c>
      <c r="O602" t="s">
        <v>35</v>
      </c>
      <c r="P602" t="s">
        <v>40</v>
      </c>
    </row>
    <row r="603" spans="1:16" x14ac:dyDescent="0.3">
      <c r="A603" t="s">
        <v>675</v>
      </c>
      <c r="B603" s="1">
        <v>45649</v>
      </c>
      <c r="C603" t="s">
        <v>46</v>
      </c>
      <c r="D603" t="s">
        <v>47</v>
      </c>
      <c r="E603" t="s">
        <v>70</v>
      </c>
      <c r="F603" t="s">
        <v>20</v>
      </c>
      <c r="G603" t="s">
        <v>53</v>
      </c>
      <c r="H603">
        <v>8</v>
      </c>
      <c r="I603">
        <v>600</v>
      </c>
      <c r="J603">
        <v>15</v>
      </c>
      <c r="K603">
        <v>4080</v>
      </c>
      <c r="L603">
        <v>1632</v>
      </c>
      <c r="M603">
        <v>2448</v>
      </c>
      <c r="N603" t="s">
        <v>22</v>
      </c>
      <c r="O603" t="s">
        <v>44</v>
      </c>
      <c r="P603" t="s">
        <v>40</v>
      </c>
    </row>
    <row r="604" spans="1:16" x14ac:dyDescent="0.3">
      <c r="A604" t="s">
        <v>676</v>
      </c>
      <c r="B604" s="1">
        <v>44996</v>
      </c>
      <c r="C604" t="s">
        <v>17</v>
      </c>
      <c r="D604" t="s">
        <v>37</v>
      </c>
      <c r="E604" t="s">
        <v>111</v>
      </c>
      <c r="F604" t="s">
        <v>65</v>
      </c>
      <c r="G604" t="s">
        <v>124</v>
      </c>
      <c r="H604">
        <v>4</v>
      </c>
      <c r="I604">
        <v>18000</v>
      </c>
      <c r="J604">
        <v>0</v>
      </c>
      <c r="K604">
        <v>72000</v>
      </c>
      <c r="L604">
        <v>32400</v>
      </c>
      <c r="M604">
        <v>39600</v>
      </c>
      <c r="N604" t="s">
        <v>49</v>
      </c>
      <c r="O604" t="s">
        <v>23</v>
      </c>
      <c r="P604" t="s">
        <v>24</v>
      </c>
    </row>
    <row r="605" spans="1:16" x14ac:dyDescent="0.3">
      <c r="A605" t="s">
        <v>677</v>
      </c>
      <c r="B605" s="1">
        <v>45521</v>
      </c>
      <c r="C605" t="s">
        <v>26</v>
      </c>
      <c r="D605" t="s">
        <v>69</v>
      </c>
      <c r="E605" t="s">
        <v>111</v>
      </c>
      <c r="F605" t="s">
        <v>33</v>
      </c>
      <c r="G605" t="s">
        <v>48</v>
      </c>
      <c r="H605">
        <v>40</v>
      </c>
      <c r="I605">
        <v>1500</v>
      </c>
      <c r="J605">
        <v>10</v>
      </c>
      <c r="K605">
        <v>54000</v>
      </c>
      <c r="L605">
        <v>27000</v>
      </c>
      <c r="M605">
        <v>27000</v>
      </c>
      <c r="N605" t="s">
        <v>30</v>
      </c>
      <c r="O605" t="s">
        <v>23</v>
      </c>
      <c r="P605" t="s">
        <v>24</v>
      </c>
    </row>
    <row r="606" spans="1:16" x14ac:dyDescent="0.3">
      <c r="A606" t="s">
        <v>678</v>
      </c>
      <c r="B606" s="1">
        <v>44715</v>
      </c>
      <c r="C606" t="s">
        <v>58</v>
      </c>
      <c r="D606" t="s">
        <v>84</v>
      </c>
      <c r="E606" t="s">
        <v>73</v>
      </c>
      <c r="F606" t="s">
        <v>28</v>
      </c>
      <c r="G606" t="s">
        <v>95</v>
      </c>
      <c r="H606">
        <v>11</v>
      </c>
      <c r="I606">
        <v>75000</v>
      </c>
      <c r="J606">
        <v>10</v>
      </c>
      <c r="K606">
        <v>742500</v>
      </c>
      <c r="L606">
        <v>408375</v>
      </c>
      <c r="M606">
        <v>334125</v>
      </c>
      <c r="N606" t="s">
        <v>22</v>
      </c>
      <c r="O606" t="s">
        <v>44</v>
      </c>
      <c r="P606" t="s">
        <v>24</v>
      </c>
    </row>
    <row r="607" spans="1:16" x14ac:dyDescent="0.3">
      <c r="A607" t="s">
        <v>679</v>
      </c>
      <c r="B607" s="1">
        <v>45509</v>
      </c>
      <c r="C607" t="s">
        <v>46</v>
      </c>
      <c r="D607" t="s">
        <v>47</v>
      </c>
      <c r="E607" t="s">
        <v>73</v>
      </c>
      <c r="F607" t="s">
        <v>65</v>
      </c>
      <c r="G607" t="s">
        <v>79</v>
      </c>
      <c r="H607">
        <v>9</v>
      </c>
      <c r="I607">
        <v>900</v>
      </c>
      <c r="J607">
        <v>15</v>
      </c>
      <c r="K607">
        <v>6885</v>
      </c>
      <c r="L607">
        <v>3098.25</v>
      </c>
      <c r="M607">
        <v>3786.75</v>
      </c>
      <c r="N607" t="s">
        <v>49</v>
      </c>
      <c r="O607" t="s">
        <v>23</v>
      </c>
      <c r="P607" t="s">
        <v>24</v>
      </c>
    </row>
    <row r="608" spans="1:16" x14ac:dyDescent="0.3">
      <c r="A608" t="s">
        <v>680</v>
      </c>
      <c r="B608" s="1">
        <v>44602</v>
      </c>
      <c r="C608" t="s">
        <v>46</v>
      </c>
      <c r="D608" t="s">
        <v>47</v>
      </c>
      <c r="E608" t="s">
        <v>56</v>
      </c>
      <c r="F608" t="s">
        <v>20</v>
      </c>
      <c r="G608" t="s">
        <v>53</v>
      </c>
      <c r="H608">
        <v>42</v>
      </c>
      <c r="I608">
        <v>600</v>
      </c>
      <c r="J608">
        <v>10</v>
      </c>
      <c r="K608">
        <v>22680</v>
      </c>
      <c r="L608">
        <v>9072</v>
      </c>
      <c r="M608">
        <v>13608</v>
      </c>
      <c r="N608" t="s">
        <v>22</v>
      </c>
      <c r="O608" t="s">
        <v>50</v>
      </c>
      <c r="P608" t="s">
        <v>24</v>
      </c>
    </row>
    <row r="609" spans="1:16" x14ac:dyDescent="0.3">
      <c r="A609" t="s">
        <v>681</v>
      </c>
      <c r="B609" s="1">
        <v>45185</v>
      </c>
      <c r="C609" t="s">
        <v>58</v>
      </c>
      <c r="D609" t="s">
        <v>59</v>
      </c>
      <c r="E609" t="s">
        <v>73</v>
      </c>
      <c r="F609" t="s">
        <v>20</v>
      </c>
      <c r="G609" t="s">
        <v>61</v>
      </c>
      <c r="H609">
        <v>11</v>
      </c>
      <c r="I609">
        <v>800</v>
      </c>
      <c r="J609">
        <v>10</v>
      </c>
      <c r="K609">
        <v>7920</v>
      </c>
      <c r="L609">
        <v>3168</v>
      </c>
      <c r="M609">
        <v>4752</v>
      </c>
      <c r="N609" t="s">
        <v>49</v>
      </c>
      <c r="O609" t="s">
        <v>50</v>
      </c>
      <c r="P609" t="s">
        <v>24</v>
      </c>
    </row>
    <row r="610" spans="1:16" x14ac:dyDescent="0.3">
      <c r="A610" t="s">
        <v>682</v>
      </c>
      <c r="B610" s="1">
        <v>45132</v>
      </c>
      <c r="C610" t="s">
        <v>26</v>
      </c>
      <c r="D610" t="s">
        <v>27</v>
      </c>
      <c r="E610" t="s">
        <v>70</v>
      </c>
      <c r="F610" t="s">
        <v>33</v>
      </c>
      <c r="G610" t="s">
        <v>48</v>
      </c>
      <c r="H610">
        <v>11</v>
      </c>
      <c r="I610">
        <v>1500</v>
      </c>
      <c r="J610">
        <v>20</v>
      </c>
      <c r="K610">
        <v>13200</v>
      </c>
      <c r="L610">
        <v>6600</v>
      </c>
      <c r="M610">
        <v>6600</v>
      </c>
      <c r="N610" t="s">
        <v>22</v>
      </c>
      <c r="O610" t="s">
        <v>67</v>
      </c>
      <c r="P610" t="s">
        <v>24</v>
      </c>
    </row>
    <row r="611" spans="1:16" x14ac:dyDescent="0.3">
      <c r="A611" t="s">
        <v>683</v>
      </c>
      <c r="B611" s="1">
        <v>45113</v>
      </c>
      <c r="C611" t="s">
        <v>46</v>
      </c>
      <c r="D611" t="s">
        <v>47</v>
      </c>
      <c r="E611" t="s">
        <v>78</v>
      </c>
      <c r="F611" t="s">
        <v>20</v>
      </c>
      <c r="G611" t="s">
        <v>21</v>
      </c>
      <c r="H611">
        <v>3</v>
      </c>
      <c r="I611">
        <v>3500</v>
      </c>
      <c r="J611">
        <v>10</v>
      </c>
      <c r="K611">
        <v>9450</v>
      </c>
      <c r="L611">
        <v>3780</v>
      </c>
      <c r="M611">
        <v>5670</v>
      </c>
      <c r="N611" t="s">
        <v>30</v>
      </c>
      <c r="O611" t="s">
        <v>23</v>
      </c>
      <c r="P611" t="s">
        <v>40</v>
      </c>
    </row>
    <row r="612" spans="1:16" x14ac:dyDescent="0.3">
      <c r="A612" t="s">
        <v>684</v>
      </c>
      <c r="B612" s="1">
        <v>45058</v>
      </c>
      <c r="C612" t="s">
        <v>46</v>
      </c>
      <c r="D612" t="s">
        <v>47</v>
      </c>
      <c r="E612" t="s">
        <v>111</v>
      </c>
      <c r="F612" t="s">
        <v>28</v>
      </c>
      <c r="G612" t="s">
        <v>71</v>
      </c>
      <c r="H612">
        <v>23</v>
      </c>
      <c r="I612">
        <v>35000</v>
      </c>
      <c r="J612">
        <v>5</v>
      </c>
      <c r="K612">
        <v>764750</v>
      </c>
      <c r="L612">
        <v>420612.5</v>
      </c>
      <c r="M612">
        <v>344137.5</v>
      </c>
      <c r="N612" t="s">
        <v>49</v>
      </c>
      <c r="O612" t="s">
        <v>67</v>
      </c>
      <c r="P612" t="s">
        <v>24</v>
      </c>
    </row>
    <row r="613" spans="1:16" x14ac:dyDescent="0.3">
      <c r="A613" t="s">
        <v>685</v>
      </c>
      <c r="B613" s="1">
        <v>44883</v>
      </c>
      <c r="C613" t="s">
        <v>17</v>
      </c>
      <c r="D613" t="s">
        <v>18</v>
      </c>
      <c r="E613" t="s">
        <v>56</v>
      </c>
      <c r="F613" t="s">
        <v>65</v>
      </c>
      <c r="G613" t="s">
        <v>66</v>
      </c>
      <c r="H613">
        <v>50</v>
      </c>
      <c r="I613">
        <v>5500</v>
      </c>
      <c r="J613">
        <v>5</v>
      </c>
      <c r="K613">
        <v>261250</v>
      </c>
      <c r="L613">
        <v>117562.5</v>
      </c>
      <c r="M613">
        <v>143687.5</v>
      </c>
      <c r="N613" t="s">
        <v>49</v>
      </c>
      <c r="O613" t="s">
        <v>44</v>
      </c>
      <c r="P613" t="s">
        <v>24</v>
      </c>
    </row>
    <row r="614" spans="1:16" x14ac:dyDescent="0.3">
      <c r="A614" t="s">
        <v>686</v>
      </c>
      <c r="B614" s="1">
        <v>44585</v>
      </c>
      <c r="C614" t="s">
        <v>17</v>
      </c>
      <c r="D614" t="s">
        <v>42</v>
      </c>
      <c r="E614" t="s">
        <v>73</v>
      </c>
      <c r="F614" t="s">
        <v>65</v>
      </c>
      <c r="G614" t="s">
        <v>124</v>
      </c>
      <c r="H614">
        <v>49</v>
      </c>
      <c r="I614">
        <v>18000</v>
      </c>
      <c r="J614">
        <v>20</v>
      </c>
      <c r="K614">
        <v>705600</v>
      </c>
      <c r="L614">
        <v>317520</v>
      </c>
      <c r="M614">
        <v>388080</v>
      </c>
      <c r="N614" t="s">
        <v>22</v>
      </c>
      <c r="O614" t="s">
        <v>23</v>
      </c>
      <c r="P614" t="s">
        <v>24</v>
      </c>
    </row>
    <row r="615" spans="1:16" x14ac:dyDescent="0.3">
      <c r="A615" t="s">
        <v>687</v>
      </c>
      <c r="B615" s="1">
        <v>45222</v>
      </c>
      <c r="C615" t="s">
        <v>26</v>
      </c>
      <c r="D615" t="s">
        <v>69</v>
      </c>
      <c r="E615" t="s">
        <v>56</v>
      </c>
      <c r="F615" t="s">
        <v>20</v>
      </c>
      <c r="G615" t="s">
        <v>53</v>
      </c>
      <c r="H615">
        <v>8</v>
      </c>
      <c r="I615">
        <v>600</v>
      </c>
      <c r="J615">
        <v>10</v>
      </c>
      <c r="K615">
        <v>4320</v>
      </c>
      <c r="L615">
        <v>1728</v>
      </c>
      <c r="M615">
        <v>2592</v>
      </c>
      <c r="N615" t="s">
        <v>49</v>
      </c>
      <c r="O615" t="s">
        <v>67</v>
      </c>
      <c r="P615" t="s">
        <v>24</v>
      </c>
    </row>
    <row r="616" spans="1:16" x14ac:dyDescent="0.3">
      <c r="A616" t="s">
        <v>688</v>
      </c>
      <c r="B616" s="1">
        <v>45000</v>
      </c>
      <c r="C616" t="s">
        <v>17</v>
      </c>
      <c r="D616" t="s">
        <v>18</v>
      </c>
      <c r="E616" t="s">
        <v>70</v>
      </c>
      <c r="F616" t="s">
        <v>28</v>
      </c>
      <c r="G616" t="s">
        <v>29</v>
      </c>
      <c r="H616">
        <v>42</v>
      </c>
      <c r="I616">
        <v>15000</v>
      </c>
      <c r="J616">
        <v>5</v>
      </c>
      <c r="K616">
        <v>598500</v>
      </c>
      <c r="L616">
        <v>329175</v>
      </c>
      <c r="M616">
        <v>269325</v>
      </c>
      <c r="N616" t="s">
        <v>22</v>
      </c>
      <c r="O616" t="s">
        <v>44</v>
      </c>
      <c r="P616" t="s">
        <v>40</v>
      </c>
    </row>
    <row r="617" spans="1:16" x14ac:dyDescent="0.3">
      <c r="A617" t="s">
        <v>689</v>
      </c>
      <c r="B617" s="1">
        <v>45084</v>
      </c>
      <c r="C617" t="s">
        <v>26</v>
      </c>
      <c r="D617" t="s">
        <v>27</v>
      </c>
      <c r="E617" t="s">
        <v>111</v>
      </c>
      <c r="F617" t="s">
        <v>65</v>
      </c>
      <c r="G617" t="s">
        <v>117</v>
      </c>
      <c r="H617">
        <v>33</v>
      </c>
      <c r="I617">
        <v>1200</v>
      </c>
      <c r="J617">
        <v>15</v>
      </c>
      <c r="K617">
        <v>33660</v>
      </c>
      <c r="L617">
        <v>15147</v>
      </c>
      <c r="M617">
        <v>18513</v>
      </c>
      <c r="N617" t="s">
        <v>49</v>
      </c>
      <c r="O617" t="s">
        <v>50</v>
      </c>
      <c r="P617" t="s">
        <v>24</v>
      </c>
    </row>
    <row r="618" spans="1:16" x14ac:dyDescent="0.3">
      <c r="A618" t="s">
        <v>690</v>
      </c>
      <c r="B618" s="1">
        <v>45537</v>
      </c>
      <c r="C618" t="s">
        <v>17</v>
      </c>
      <c r="D618" t="s">
        <v>37</v>
      </c>
      <c r="E618" t="s">
        <v>78</v>
      </c>
      <c r="F618" t="s">
        <v>65</v>
      </c>
      <c r="G618" t="s">
        <v>124</v>
      </c>
      <c r="H618">
        <v>25</v>
      </c>
      <c r="I618">
        <v>18000</v>
      </c>
      <c r="J618">
        <v>10</v>
      </c>
      <c r="K618">
        <v>405000</v>
      </c>
      <c r="L618">
        <v>182250</v>
      </c>
      <c r="M618">
        <v>222750</v>
      </c>
      <c r="N618" t="s">
        <v>49</v>
      </c>
      <c r="O618" t="s">
        <v>50</v>
      </c>
      <c r="P618" t="s">
        <v>24</v>
      </c>
    </row>
    <row r="619" spans="1:16" x14ac:dyDescent="0.3">
      <c r="A619" t="s">
        <v>691</v>
      </c>
      <c r="B619" s="1">
        <v>45240</v>
      </c>
      <c r="C619" t="s">
        <v>58</v>
      </c>
      <c r="D619" t="s">
        <v>64</v>
      </c>
      <c r="E619" t="s">
        <v>52</v>
      </c>
      <c r="F619" t="s">
        <v>20</v>
      </c>
      <c r="G619" t="s">
        <v>115</v>
      </c>
      <c r="H619">
        <v>48</v>
      </c>
      <c r="I619">
        <v>2500</v>
      </c>
      <c r="J619">
        <v>15</v>
      </c>
      <c r="K619">
        <v>102000</v>
      </c>
      <c r="L619">
        <v>40800</v>
      </c>
      <c r="M619">
        <v>61200</v>
      </c>
      <c r="N619" t="s">
        <v>49</v>
      </c>
      <c r="O619" t="s">
        <v>44</v>
      </c>
      <c r="P619" t="s">
        <v>24</v>
      </c>
    </row>
    <row r="620" spans="1:16" x14ac:dyDescent="0.3">
      <c r="A620" t="s">
        <v>692</v>
      </c>
      <c r="B620" s="1">
        <v>45406</v>
      </c>
      <c r="C620" t="s">
        <v>58</v>
      </c>
      <c r="D620" t="s">
        <v>84</v>
      </c>
      <c r="E620" t="s">
        <v>38</v>
      </c>
      <c r="F620" t="s">
        <v>28</v>
      </c>
      <c r="G620" t="s">
        <v>87</v>
      </c>
      <c r="H620">
        <v>14</v>
      </c>
      <c r="I620">
        <v>45000</v>
      </c>
      <c r="J620">
        <v>10</v>
      </c>
      <c r="K620">
        <v>567000</v>
      </c>
      <c r="L620">
        <v>311850</v>
      </c>
      <c r="M620">
        <v>255150</v>
      </c>
      <c r="N620" t="s">
        <v>22</v>
      </c>
      <c r="O620" t="s">
        <v>50</v>
      </c>
      <c r="P620" t="s">
        <v>24</v>
      </c>
    </row>
    <row r="621" spans="1:16" x14ac:dyDescent="0.3">
      <c r="A621" t="s">
        <v>693</v>
      </c>
      <c r="B621" s="1">
        <v>44700</v>
      </c>
      <c r="C621" t="s">
        <v>58</v>
      </c>
      <c r="D621" t="s">
        <v>84</v>
      </c>
      <c r="E621" t="s">
        <v>56</v>
      </c>
      <c r="F621" t="s">
        <v>65</v>
      </c>
      <c r="G621" t="s">
        <v>124</v>
      </c>
      <c r="H621">
        <v>27</v>
      </c>
      <c r="I621">
        <v>18000</v>
      </c>
      <c r="J621">
        <v>5</v>
      </c>
      <c r="K621">
        <v>461700</v>
      </c>
      <c r="L621">
        <v>207765</v>
      </c>
      <c r="M621">
        <v>253935</v>
      </c>
      <c r="N621" t="s">
        <v>49</v>
      </c>
      <c r="O621" t="s">
        <v>67</v>
      </c>
      <c r="P621" t="s">
        <v>40</v>
      </c>
    </row>
    <row r="622" spans="1:16" x14ac:dyDescent="0.3">
      <c r="A622" t="s">
        <v>694</v>
      </c>
      <c r="B622" s="1">
        <v>44811</v>
      </c>
      <c r="C622" t="s">
        <v>46</v>
      </c>
      <c r="D622" t="s">
        <v>55</v>
      </c>
      <c r="E622" t="s">
        <v>73</v>
      </c>
      <c r="F622" t="s">
        <v>65</v>
      </c>
      <c r="G622" t="s">
        <v>117</v>
      </c>
      <c r="H622">
        <v>20</v>
      </c>
      <c r="I622">
        <v>1200</v>
      </c>
      <c r="J622">
        <v>20</v>
      </c>
      <c r="K622">
        <v>19200</v>
      </c>
      <c r="L622">
        <v>8640</v>
      </c>
      <c r="M622">
        <v>10560</v>
      </c>
      <c r="N622" t="s">
        <v>49</v>
      </c>
      <c r="O622" t="s">
        <v>67</v>
      </c>
      <c r="P622" t="s">
        <v>24</v>
      </c>
    </row>
    <row r="623" spans="1:16" x14ac:dyDescent="0.3">
      <c r="A623" t="s">
        <v>695</v>
      </c>
      <c r="B623" s="1">
        <v>45451</v>
      </c>
      <c r="C623" t="s">
        <v>26</v>
      </c>
      <c r="D623" t="s">
        <v>27</v>
      </c>
      <c r="E623" t="s">
        <v>78</v>
      </c>
      <c r="F623" t="s">
        <v>33</v>
      </c>
      <c r="G623" t="s">
        <v>34</v>
      </c>
      <c r="H623">
        <v>41</v>
      </c>
      <c r="I623">
        <v>25000</v>
      </c>
      <c r="J623">
        <v>15</v>
      </c>
      <c r="K623">
        <v>871250</v>
      </c>
      <c r="L623">
        <v>435625</v>
      </c>
      <c r="M623">
        <v>435625</v>
      </c>
      <c r="N623" t="s">
        <v>22</v>
      </c>
      <c r="O623" t="s">
        <v>50</v>
      </c>
      <c r="P623" t="s">
        <v>24</v>
      </c>
    </row>
    <row r="624" spans="1:16" x14ac:dyDescent="0.3">
      <c r="A624" t="s">
        <v>696</v>
      </c>
      <c r="B624" s="1">
        <v>45357</v>
      </c>
      <c r="C624" t="s">
        <v>58</v>
      </c>
      <c r="D624" t="s">
        <v>64</v>
      </c>
      <c r="E624" t="s">
        <v>19</v>
      </c>
      <c r="F624" t="s">
        <v>28</v>
      </c>
      <c r="G624" t="s">
        <v>95</v>
      </c>
      <c r="H624">
        <v>49</v>
      </c>
      <c r="I624">
        <v>75000</v>
      </c>
      <c r="J624">
        <v>10</v>
      </c>
      <c r="K624">
        <v>3307500</v>
      </c>
      <c r="L624">
        <v>1819125</v>
      </c>
      <c r="M624">
        <v>1488375</v>
      </c>
      <c r="N624" t="s">
        <v>30</v>
      </c>
      <c r="O624" t="s">
        <v>67</v>
      </c>
      <c r="P624" t="s">
        <v>24</v>
      </c>
    </row>
    <row r="625" spans="1:16" x14ac:dyDescent="0.3">
      <c r="A625" t="s">
        <v>697</v>
      </c>
      <c r="B625" s="1">
        <v>45279</v>
      </c>
      <c r="C625" t="s">
        <v>58</v>
      </c>
      <c r="D625" t="s">
        <v>64</v>
      </c>
      <c r="E625" t="s">
        <v>32</v>
      </c>
      <c r="F625" t="s">
        <v>33</v>
      </c>
      <c r="G625" t="s">
        <v>48</v>
      </c>
      <c r="H625">
        <v>45</v>
      </c>
      <c r="I625">
        <v>1500</v>
      </c>
      <c r="J625">
        <v>0</v>
      </c>
      <c r="K625">
        <v>67500</v>
      </c>
      <c r="L625">
        <v>33750</v>
      </c>
      <c r="M625">
        <v>33750</v>
      </c>
      <c r="N625" t="s">
        <v>22</v>
      </c>
      <c r="O625" t="s">
        <v>67</v>
      </c>
      <c r="P625" t="s">
        <v>24</v>
      </c>
    </row>
    <row r="626" spans="1:16" x14ac:dyDescent="0.3">
      <c r="A626" t="s">
        <v>698</v>
      </c>
      <c r="B626" s="1">
        <v>44620</v>
      </c>
      <c r="C626" t="s">
        <v>17</v>
      </c>
      <c r="D626" t="s">
        <v>18</v>
      </c>
      <c r="E626" t="s">
        <v>38</v>
      </c>
      <c r="F626" t="s">
        <v>28</v>
      </c>
      <c r="G626" t="s">
        <v>87</v>
      </c>
      <c r="H626">
        <v>21</v>
      </c>
      <c r="I626">
        <v>45000</v>
      </c>
      <c r="J626">
        <v>15</v>
      </c>
      <c r="K626">
        <v>803250</v>
      </c>
      <c r="L626">
        <v>441787.5</v>
      </c>
      <c r="M626">
        <v>361462.5</v>
      </c>
      <c r="N626" t="s">
        <v>49</v>
      </c>
      <c r="O626" t="s">
        <v>44</v>
      </c>
      <c r="P626" t="s">
        <v>24</v>
      </c>
    </row>
    <row r="627" spans="1:16" x14ac:dyDescent="0.3">
      <c r="A627" t="s">
        <v>699</v>
      </c>
      <c r="B627" s="1">
        <v>44660</v>
      </c>
      <c r="C627" t="s">
        <v>17</v>
      </c>
      <c r="D627" t="s">
        <v>37</v>
      </c>
      <c r="E627" t="s">
        <v>70</v>
      </c>
      <c r="F627" t="s">
        <v>28</v>
      </c>
      <c r="G627" t="s">
        <v>71</v>
      </c>
      <c r="H627">
        <v>19</v>
      </c>
      <c r="I627">
        <v>35000</v>
      </c>
      <c r="J627">
        <v>20</v>
      </c>
      <c r="K627">
        <v>532000</v>
      </c>
      <c r="L627">
        <v>292600</v>
      </c>
      <c r="M627">
        <v>239400</v>
      </c>
      <c r="N627" t="s">
        <v>22</v>
      </c>
      <c r="O627" t="s">
        <v>44</v>
      </c>
      <c r="P627" t="s">
        <v>24</v>
      </c>
    </row>
    <row r="628" spans="1:16" x14ac:dyDescent="0.3">
      <c r="A628" t="s">
        <v>700</v>
      </c>
      <c r="B628" s="1">
        <v>44920</v>
      </c>
      <c r="C628" t="s">
        <v>26</v>
      </c>
      <c r="D628" t="s">
        <v>27</v>
      </c>
      <c r="E628" t="s">
        <v>111</v>
      </c>
      <c r="F628" t="s">
        <v>33</v>
      </c>
      <c r="G628" t="s">
        <v>34</v>
      </c>
      <c r="H628">
        <v>44</v>
      </c>
      <c r="I628">
        <v>25000</v>
      </c>
      <c r="J628">
        <v>10</v>
      </c>
      <c r="K628">
        <v>990000</v>
      </c>
      <c r="L628">
        <v>495000</v>
      </c>
      <c r="M628">
        <v>495000</v>
      </c>
      <c r="N628" t="s">
        <v>22</v>
      </c>
      <c r="O628" t="s">
        <v>50</v>
      </c>
      <c r="P628" t="s">
        <v>24</v>
      </c>
    </row>
    <row r="629" spans="1:16" x14ac:dyDescent="0.3">
      <c r="A629" t="s">
        <v>701</v>
      </c>
      <c r="B629" s="1">
        <v>44760</v>
      </c>
      <c r="C629" t="s">
        <v>17</v>
      </c>
      <c r="D629" t="s">
        <v>18</v>
      </c>
      <c r="E629" t="s">
        <v>56</v>
      </c>
      <c r="F629" t="s">
        <v>20</v>
      </c>
      <c r="G629" t="s">
        <v>53</v>
      </c>
      <c r="H629">
        <v>19</v>
      </c>
      <c r="I629">
        <v>600</v>
      </c>
      <c r="J629">
        <v>10</v>
      </c>
      <c r="K629">
        <v>10260</v>
      </c>
      <c r="L629">
        <v>4104</v>
      </c>
      <c r="M629">
        <v>6156</v>
      </c>
      <c r="N629" t="s">
        <v>49</v>
      </c>
      <c r="O629" t="s">
        <v>50</v>
      </c>
      <c r="P629" t="s">
        <v>24</v>
      </c>
    </row>
    <row r="630" spans="1:16" x14ac:dyDescent="0.3">
      <c r="A630" t="s">
        <v>702</v>
      </c>
      <c r="B630" s="1">
        <v>44869</v>
      </c>
      <c r="C630" t="s">
        <v>46</v>
      </c>
      <c r="D630" t="s">
        <v>47</v>
      </c>
      <c r="E630" t="s">
        <v>111</v>
      </c>
      <c r="F630" t="s">
        <v>20</v>
      </c>
      <c r="G630" t="s">
        <v>74</v>
      </c>
      <c r="H630">
        <v>36</v>
      </c>
      <c r="I630">
        <v>4200</v>
      </c>
      <c r="J630">
        <v>20</v>
      </c>
      <c r="K630">
        <v>120960</v>
      </c>
      <c r="L630">
        <v>48384</v>
      </c>
      <c r="M630">
        <v>72576</v>
      </c>
      <c r="N630" t="s">
        <v>22</v>
      </c>
      <c r="O630" t="s">
        <v>67</v>
      </c>
      <c r="P630" t="s">
        <v>40</v>
      </c>
    </row>
    <row r="631" spans="1:16" x14ac:dyDescent="0.3">
      <c r="A631" t="s">
        <v>703</v>
      </c>
      <c r="B631" s="1">
        <v>44787</v>
      </c>
      <c r="C631" t="s">
        <v>58</v>
      </c>
      <c r="D631" t="s">
        <v>84</v>
      </c>
      <c r="E631" t="s">
        <v>52</v>
      </c>
      <c r="F631" t="s">
        <v>20</v>
      </c>
      <c r="G631" t="s">
        <v>21</v>
      </c>
      <c r="H631">
        <v>31</v>
      </c>
      <c r="I631">
        <v>3500</v>
      </c>
      <c r="J631">
        <v>10</v>
      </c>
      <c r="K631">
        <v>97650</v>
      </c>
      <c r="L631">
        <v>39060</v>
      </c>
      <c r="M631">
        <v>58590</v>
      </c>
      <c r="N631" t="s">
        <v>22</v>
      </c>
      <c r="O631" t="s">
        <v>50</v>
      </c>
      <c r="P631" t="s">
        <v>24</v>
      </c>
    </row>
    <row r="632" spans="1:16" x14ac:dyDescent="0.3">
      <c r="A632" t="s">
        <v>704</v>
      </c>
      <c r="B632" s="1">
        <v>44831</v>
      </c>
      <c r="C632" t="s">
        <v>58</v>
      </c>
      <c r="D632" t="s">
        <v>64</v>
      </c>
      <c r="E632" t="s">
        <v>111</v>
      </c>
      <c r="F632" t="s">
        <v>33</v>
      </c>
      <c r="G632" t="s">
        <v>76</v>
      </c>
      <c r="H632">
        <v>46</v>
      </c>
      <c r="I632">
        <v>8500</v>
      </c>
      <c r="J632">
        <v>10</v>
      </c>
      <c r="K632">
        <v>351900</v>
      </c>
      <c r="L632">
        <v>175950</v>
      </c>
      <c r="M632">
        <v>175950</v>
      </c>
      <c r="N632" t="s">
        <v>22</v>
      </c>
      <c r="O632" t="s">
        <v>35</v>
      </c>
      <c r="P632" t="s">
        <v>24</v>
      </c>
    </row>
    <row r="633" spans="1:16" x14ac:dyDescent="0.3">
      <c r="A633" t="s">
        <v>705</v>
      </c>
      <c r="B633" s="1">
        <v>44990</v>
      </c>
      <c r="C633" t="s">
        <v>46</v>
      </c>
      <c r="D633" t="s">
        <v>47</v>
      </c>
      <c r="E633" t="s">
        <v>73</v>
      </c>
      <c r="F633" t="s">
        <v>20</v>
      </c>
      <c r="G633" t="s">
        <v>74</v>
      </c>
      <c r="H633">
        <v>9</v>
      </c>
      <c r="I633">
        <v>4200</v>
      </c>
      <c r="J633">
        <v>0</v>
      </c>
      <c r="K633">
        <v>37800</v>
      </c>
      <c r="L633">
        <v>15120</v>
      </c>
      <c r="M633">
        <v>22680</v>
      </c>
      <c r="N633" t="s">
        <v>22</v>
      </c>
      <c r="O633" t="s">
        <v>35</v>
      </c>
      <c r="P633" t="s">
        <v>24</v>
      </c>
    </row>
    <row r="634" spans="1:16" x14ac:dyDescent="0.3">
      <c r="A634" t="s">
        <v>706</v>
      </c>
      <c r="B634" s="1">
        <v>44682</v>
      </c>
      <c r="C634" t="s">
        <v>58</v>
      </c>
      <c r="D634" t="s">
        <v>59</v>
      </c>
      <c r="E634" t="s">
        <v>56</v>
      </c>
      <c r="F634" t="s">
        <v>20</v>
      </c>
      <c r="G634" t="s">
        <v>21</v>
      </c>
      <c r="H634">
        <v>3</v>
      </c>
      <c r="I634">
        <v>3500</v>
      </c>
      <c r="J634">
        <v>20</v>
      </c>
      <c r="K634">
        <v>8400</v>
      </c>
      <c r="L634">
        <v>3360</v>
      </c>
      <c r="M634">
        <v>5040</v>
      </c>
      <c r="N634" t="s">
        <v>30</v>
      </c>
      <c r="O634" t="s">
        <v>23</v>
      </c>
      <c r="P634" t="s">
        <v>40</v>
      </c>
    </row>
    <row r="635" spans="1:16" x14ac:dyDescent="0.3">
      <c r="A635" t="s">
        <v>707</v>
      </c>
      <c r="B635" s="1">
        <v>44782</v>
      </c>
      <c r="C635" t="s">
        <v>26</v>
      </c>
      <c r="D635" t="s">
        <v>27</v>
      </c>
      <c r="E635" t="s">
        <v>73</v>
      </c>
      <c r="F635" t="s">
        <v>28</v>
      </c>
      <c r="G635" t="s">
        <v>95</v>
      </c>
      <c r="H635">
        <v>8</v>
      </c>
      <c r="I635">
        <v>75000</v>
      </c>
      <c r="J635">
        <v>20</v>
      </c>
      <c r="K635">
        <v>480000</v>
      </c>
      <c r="L635">
        <v>264000</v>
      </c>
      <c r="M635">
        <v>216000</v>
      </c>
      <c r="N635" t="s">
        <v>22</v>
      </c>
      <c r="O635" t="s">
        <v>44</v>
      </c>
      <c r="P635" t="s">
        <v>24</v>
      </c>
    </row>
    <row r="636" spans="1:16" x14ac:dyDescent="0.3">
      <c r="A636" t="s">
        <v>708</v>
      </c>
      <c r="B636" s="1">
        <v>44917</v>
      </c>
      <c r="C636" t="s">
        <v>17</v>
      </c>
      <c r="D636" t="s">
        <v>18</v>
      </c>
      <c r="E636" t="s">
        <v>52</v>
      </c>
      <c r="F636" t="s">
        <v>20</v>
      </c>
      <c r="G636" t="s">
        <v>61</v>
      </c>
      <c r="H636">
        <v>38</v>
      </c>
      <c r="I636">
        <v>800</v>
      </c>
      <c r="J636">
        <v>10</v>
      </c>
      <c r="K636">
        <v>27360</v>
      </c>
      <c r="L636">
        <v>10944</v>
      </c>
      <c r="M636">
        <v>16416</v>
      </c>
      <c r="N636" t="s">
        <v>30</v>
      </c>
      <c r="O636" t="s">
        <v>67</v>
      </c>
      <c r="P636" t="s">
        <v>24</v>
      </c>
    </row>
    <row r="637" spans="1:16" x14ac:dyDescent="0.3">
      <c r="A637" t="s">
        <v>709</v>
      </c>
      <c r="B637" s="1">
        <v>45033</v>
      </c>
      <c r="C637" t="s">
        <v>26</v>
      </c>
      <c r="D637" t="s">
        <v>27</v>
      </c>
      <c r="E637" t="s">
        <v>38</v>
      </c>
      <c r="F637" t="s">
        <v>28</v>
      </c>
      <c r="G637" t="s">
        <v>29</v>
      </c>
      <c r="H637">
        <v>14</v>
      </c>
      <c r="I637">
        <v>15000</v>
      </c>
      <c r="J637">
        <v>5</v>
      </c>
      <c r="K637">
        <v>199500</v>
      </c>
      <c r="L637">
        <v>109725</v>
      </c>
      <c r="M637">
        <v>89775</v>
      </c>
      <c r="N637" t="s">
        <v>30</v>
      </c>
      <c r="O637" t="s">
        <v>67</v>
      </c>
      <c r="P637" t="s">
        <v>24</v>
      </c>
    </row>
    <row r="638" spans="1:16" x14ac:dyDescent="0.3">
      <c r="A638" t="s">
        <v>710</v>
      </c>
      <c r="B638" s="1">
        <v>44585</v>
      </c>
      <c r="C638" t="s">
        <v>26</v>
      </c>
      <c r="D638" t="s">
        <v>27</v>
      </c>
      <c r="E638" t="s">
        <v>111</v>
      </c>
      <c r="F638" t="s">
        <v>65</v>
      </c>
      <c r="G638" t="s">
        <v>124</v>
      </c>
      <c r="H638">
        <v>45</v>
      </c>
      <c r="I638">
        <v>18000</v>
      </c>
      <c r="J638">
        <v>20</v>
      </c>
      <c r="K638">
        <v>648000</v>
      </c>
      <c r="L638">
        <v>291600</v>
      </c>
      <c r="M638">
        <v>356400</v>
      </c>
      <c r="N638" t="s">
        <v>49</v>
      </c>
      <c r="O638" t="s">
        <v>35</v>
      </c>
      <c r="P638" t="s">
        <v>24</v>
      </c>
    </row>
    <row r="639" spans="1:16" x14ac:dyDescent="0.3">
      <c r="A639" t="s">
        <v>711</v>
      </c>
      <c r="B639" s="1">
        <v>44922</v>
      </c>
      <c r="C639" t="s">
        <v>17</v>
      </c>
      <c r="D639" t="s">
        <v>37</v>
      </c>
      <c r="E639" t="s">
        <v>32</v>
      </c>
      <c r="F639" t="s">
        <v>20</v>
      </c>
      <c r="G639" t="s">
        <v>53</v>
      </c>
      <c r="H639">
        <v>15</v>
      </c>
      <c r="I639">
        <v>600</v>
      </c>
      <c r="J639">
        <v>15</v>
      </c>
      <c r="K639">
        <v>7650</v>
      </c>
      <c r="L639">
        <v>3060</v>
      </c>
      <c r="M639">
        <v>4590</v>
      </c>
      <c r="N639" t="s">
        <v>49</v>
      </c>
      <c r="O639" t="s">
        <v>35</v>
      </c>
      <c r="P639" t="s">
        <v>24</v>
      </c>
    </row>
    <row r="640" spans="1:16" x14ac:dyDescent="0.3">
      <c r="A640" t="s">
        <v>712</v>
      </c>
      <c r="B640" s="1">
        <v>45447</v>
      </c>
      <c r="C640" t="s">
        <v>46</v>
      </c>
      <c r="D640" t="s">
        <v>55</v>
      </c>
      <c r="E640" t="s">
        <v>70</v>
      </c>
      <c r="F640" t="s">
        <v>33</v>
      </c>
      <c r="G640" t="s">
        <v>43</v>
      </c>
      <c r="H640">
        <v>47</v>
      </c>
      <c r="I640">
        <v>4000</v>
      </c>
      <c r="J640">
        <v>0</v>
      </c>
      <c r="K640">
        <v>188000</v>
      </c>
      <c r="L640">
        <v>94000</v>
      </c>
      <c r="M640">
        <v>94000</v>
      </c>
      <c r="N640" t="s">
        <v>49</v>
      </c>
      <c r="O640" t="s">
        <v>23</v>
      </c>
      <c r="P640" t="s">
        <v>24</v>
      </c>
    </row>
    <row r="641" spans="1:16" x14ac:dyDescent="0.3">
      <c r="A641" t="s">
        <v>713</v>
      </c>
      <c r="B641" s="1">
        <v>44786</v>
      </c>
      <c r="C641" t="s">
        <v>17</v>
      </c>
      <c r="D641" t="s">
        <v>37</v>
      </c>
      <c r="E641" t="s">
        <v>38</v>
      </c>
      <c r="F641" t="s">
        <v>33</v>
      </c>
      <c r="G641" t="s">
        <v>48</v>
      </c>
      <c r="H641">
        <v>15</v>
      </c>
      <c r="I641">
        <v>1500</v>
      </c>
      <c r="J641">
        <v>20</v>
      </c>
      <c r="K641">
        <v>18000</v>
      </c>
      <c r="L641">
        <v>9000</v>
      </c>
      <c r="M641">
        <v>9000</v>
      </c>
      <c r="N641" t="s">
        <v>49</v>
      </c>
      <c r="O641" t="s">
        <v>23</v>
      </c>
      <c r="P641" t="s">
        <v>24</v>
      </c>
    </row>
    <row r="642" spans="1:16" x14ac:dyDescent="0.3">
      <c r="A642" t="s">
        <v>714</v>
      </c>
      <c r="B642" s="1">
        <v>44954</v>
      </c>
      <c r="C642" t="s">
        <v>26</v>
      </c>
      <c r="D642" t="s">
        <v>69</v>
      </c>
      <c r="E642" t="s">
        <v>70</v>
      </c>
      <c r="F642" t="s">
        <v>20</v>
      </c>
      <c r="G642" t="s">
        <v>21</v>
      </c>
      <c r="H642">
        <v>44</v>
      </c>
      <c r="I642">
        <v>3500</v>
      </c>
      <c r="J642">
        <v>15</v>
      </c>
      <c r="K642">
        <v>130900</v>
      </c>
      <c r="L642">
        <v>52360</v>
      </c>
      <c r="M642">
        <v>78540</v>
      </c>
      <c r="N642" t="s">
        <v>49</v>
      </c>
      <c r="O642" t="s">
        <v>23</v>
      </c>
      <c r="P642" t="s">
        <v>24</v>
      </c>
    </row>
    <row r="643" spans="1:16" x14ac:dyDescent="0.3">
      <c r="A643" t="s">
        <v>715</v>
      </c>
      <c r="B643" s="1">
        <v>45587</v>
      </c>
      <c r="C643" t="s">
        <v>26</v>
      </c>
      <c r="D643" t="s">
        <v>27</v>
      </c>
      <c r="E643" t="s">
        <v>78</v>
      </c>
      <c r="F643" t="s">
        <v>65</v>
      </c>
      <c r="G643" t="s">
        <v>66</v>
      </c>
      <c r="H643">
        <v>45</v>
      </c>
      <c r="I643">
        <v>5500</v>
      </c>
      <c r="J643">
        <v>20</v>
      </c>
      <c r="K643">
        <v>198000</v>
      </c>
      <c r="L643">
        <v>89100</v>
      </c>
      <c r="M643">
        <v>108900</v>
      </c>
      <c r="N643" t="s">
        <v>22</v>
      </c>
      <c r="O643" t="s">
        <v>44</v>
      </c>
      <c r="P643" t="s">
        <v>24</v>
      </c>
    </row>
    <row r="644" spans="1:16" x14ac:dyDescent="0.3">
      <c r="A644" t="s">
        <v>716</v>
      </c>
      <c r="B644" s="1">
        <v>44693</v>
      </c>
      <c r="C644" t="s">
        <v>46</v>
      </c>
      <c r="D644" t="s">
        <v>55</v>
      </c>
      <c r="E644" t="s">
        <v>19</v>
      </c>
      <c r="F644" t="s">
        <v>65</v>
      </c>
      <c r="G644" t="s">
        <v>117</v>
      </c>
      <c r="H644">
        <v>15</v>
      </c>
      <c r="I644">
        <v>1200</v>
      </c>
      <c r="J644">
        <v>15</v>
      </c>
      <c r="K644">
        <v>15300</v>
      </c>
      <c r="L644">
        <v>6885</v>
      </c>
      <c r="M644">
        <v>8415</v>
      </c>
      <c r="N644" t="s">
        <v>49</v>
      </c>
      <c r="O644" t="s">
        <v>67</v>
      </c>
      <c r="P644" t="s">
        <v>24</v>
      </c>
    </row>
    <row r="645" spans="1:16" x14ac:dyDescent="0.3">
      <c r="A645" t="s">
        <v>717</v>
      </c>
      <c r="B645" s="1">
        <v>45102</v>
      </c>
      <c r="C645" t="s">
        <v>58</v>
      </c>
      <c r="D645" t="s">
        <v>59</v>
      </c>
      <c r="E645" t="s">
        <v>60</v>
      </c>
      <c r="F645" t="s">
        <v>65</v>
      </c>
      <c r="G645" t="s">
        <v>66</v>
      </c>
      <c r="H645">
        <v>33</v>
      </c>
      <c r="I645">
        <v>5500</v>
      </c>
      <c r="J645">
        <v>10</v>
      </c>
      <c r="K645">
        <v>163350</v>
      </c>
      <c r="L645">
        <v>73507.5</v>
      </c>
      <c r="M645">
        <v>89842.5</v>
      </c>
      <c r="N645" t="s">
        <v>49</v>
      </c>
      <c r="O645" t="s">
        <v>35</v>
      </c>
      <c r="P645" t="s">
        <v>24</v>
      </c>
    </row>
    <row r="646" spans="1:16" x14ac:dyDescent="0.3">
      <c r="A646" t="s">
        <v>718</v>
      </c>
      <c r="B646" s="1">
        <v>44782</v>
      </c>
      <c r="C646" t="s">
        <v>58</v>
      </c>
      <c r="D646" t="s">
        <v>59</v>
      </c>
      <c r="E646" t="s">
        <v>19</v>
      </c>
      <c r="F646" t="s">
        <v>20</v>
      </c>
      <c r="G646" t="s">
        <v>21</v>
      </c>
      <c r="H646">
        <v>7</v>
      </c>
      <c r="I646">
        <v>3500</v>
      </c>
      <c r="J646">
        <v>0</v>
      </c>
      <c r="K646">
        <v>24500</v>
      </c>
      <c r="L646">
        <v>9800</v>
      </c>
      <c r="M646">
        <v>14700</v>
      </c>
      <c r="N646" t="s">
        <v>49</v>
      </c>
      <c r="O646" t="s">
        <v>35</v>
      </c>
      <c r="P646" t="s">
        <v>24</v>
      </c>
    </row>
    <row r="647" spans="1:16" x14ac:dyDescent="0.3">
      <c r="A647" t="s">
        <v>719</v>
      </c>
      <c r="B647" s="1">
        <v>44908</v>
      </c>
      <c r="C647" t="s">
        <v>17</v>
      </c>
      <c r="D647" t="s">
        <v>18</v>
      </c>
      <c r="E647" t="s">
        <v>73</v>
      </c>
      <c r="F647" t="s">
        <v>28</v>
      </c>
      <c r="G647" t="s">
        <v>95</v>
      </c>
      <c r="H647">
        <v>43</v>
      </c>
      <c r="I647">
        <v>75000</v>
      </c>
      <c r="J647">
        <v>20</v>
      </c>
      <c r="K647">
        <v>2580000</v>
      </c>
      <c r="L647">
        <v>1419000</v>
      </c>
      <c r="M647">
        <v>1161000</v>
      </c>
      <c r="N647" t="s">
        <v>49</v>
      </c>
      <c r="O647" t="s">
        <v>44</v>
      </c>
      <c r="P647" t="s">
        <v>24</v>
      </c>
    </row>
    <row r="648" spans="1:16" x14ac:dyDescent="0.3">
      <c r="A648" t="s">
        <v>720</v>
      </c>
      <c r="B648" s="1">
        <v>45129</v>
      </c>
      <c r="C648" t="s">
        <v>58</v>
      </c>
      <c r="D648" t="s">
        <v>59</v>
      </c>
      <c r="E648" t="s">
        <v>111</v>
      </c>
      <c r="F648" t="s">
        <v>33</v>
      </c>
      <c r="G648" t="s">
        <v>43</v>
      </c>
      <c r="H648">
        <v>22</v>
      </c>
      <c r="I648">
        <v>4000</v>
      </c>
      <c r="J648">
        <v>20</v>
      </c>
      <c r="K648">
        <v>70400</v>
      </c>
      <c r="L648">
        <v>35200</v>
      </c>
      <c r="M648">
        <v>35200</v>
      </c>
      <c r="N648" t="s">
        <v>30</v>
      </c>
      <c r="O648" t="s">
        <v>35</v>
      </c>
      <c r="P648" t="s">
        <v>40</v>
      </c>
    </row>
    <row r="649" spans="1:16" x14ac:dyDescent="0.3">
      <c r="A649" t="s">
        <v>721</v>
      </c>
      <c r="B649" s="1">
        <v>45386</v>
      </c>
      <c r="C649" t="s">
        <v>58</v>
      </c>
      <c r="D649" t="s">
        <v>59</v>
      </c>
      <c r="E649" t="s">
        <v>70</v>
      </c>
      <c r="F649" t="s">
        <v>65</v>
      </c>
      <c r="G649" t="s">
        <v>66</v>
      </c>
      <c r="H649">
        <v>30</v>
      </c>
      <c r="I649">
        <v>5500</v>
      </c>
      <c r="J649">
        <v>0</v>
      </c>
      <c r="K649">
        <v>165000</v>
      </c>
      <c r="L649">
        <v>74250</v>
      </c>
      <c r="M649">
        <v>90750</v>
      </c>
      <c r="N649" t="s">
        <v>30</v>
      </c>
      <c r="O649" t="s">
        <v>67</v>
      </c>
      <c r="P649" t="s">
        <v>24</v>
      </c>
    </row>
    <row r="650" spans="1:16" x14ac:dyDescent="0.3">
      <c r="A650" t="s">
        <v>722</v>
      </c>
      <c r="B650" s="1">
        <v>45161</v>
      </c>
      <c r="C650" t="s">
        <v>46</v>
      </c>
      <c r="D650" t="s">
        <v>55</v>
      </c>
      <c r="E650" t="s">
        <v>32</v>
      </c>
      <c r="F650" t="s">
        <v>20</v>
      </c>
      <c r="G650" t="s">
        <v>61</v>
      </c>
      <c r="H650">
        <v>46</v>
      </c>
      <c r="I650">
        <v>800</v>
      </c>
      <c r="J650">
        <v>15</v>
      </c>
      <c r="K650">
        <v>31280</v>
      </c>
      <c r="L650">
        <v>12512</v>
      </c>
      <c r="M650">
        <v>18768</v>
      </c>
      <c r="N650" t="s">
        <v>30</v>
      </c>
      <c r="O650" t="s">
        <v>67</v>
      </c>
      <c r="P650" t="s">
        <v>24</v>
      </c>
    </row>
    <row r="651" spans="1:16" x14ac:dyDescent="0.3">
      <c r="A651" t="s">
        <v>723</v>
      </c>
      <c r="B651" s="1">
        <v>45526</v>
      </c>
      <c r="C651" t="s">
        <v>58</v>
      </c>
      <c r="D651" t="s">
        <v>59</v>
      </c>
      <c r="E651" t="s">
        <v>111</v>
      </c>
      <c r="F651" t="s">
        <v>20</v>
      </c>
      <c r="G651" t="s">
        <v>53</v>
      </c>
      <c r="H651">
        <v>4</v>
      </c>
      <c r="I651">
        <v>600</v>
      </c>
      <c r="J651">
        <v>15</v>
      </c>
      <c r="K651">
        <v>2040</v>
      </c>
      <c r="L651">
        <v>816</v>
      </c>
      <c r="M651">
        <v>1224</v>
      </c>
      <c r="N651" t="s">
        <v>49</v>
      </c>
      <c r="O651" t="s">
        <v>67</v>
      </c>
      <c r="P651" t="s">
        <v>24</v>
      </c>
    </row>
    <row r="652" spans="1:16" x14ac:dyDescent="0.3">
      <c r="A652" t="s">
        <v>724</v>
      </c>
      <c r="B652" s="1">
        <v>45311</v>
      </c>
      <c r="C652" t="s">
        <v>17</v>
      </c>
      <c r="D652" t="s">
        <v>37</v>
      </c>
      <c r="E652" t="s">
        <v>70</v>
      </c>
      <c r="F652" t="s">
        <v>28</v>
      </c>
      <c r="G652" t="s">
        <v>95</v>
      </c>
      <c r="H652">
        <v>38</v>
      </c>
      <c r="I652">
        <v>75000</v>
      </c>
      <c r="J652">
        <v>0</v>
      </c>
      <c r="K652">
        <v>2850000</v>
      </c>
      <c r="L652">
        <v>1567500</v>
      </c>
      <c r="M652">
        <v>1282500</v>
      </c>
      <c r="N652" t="s">
        <v>49</v>
      </c>
      <c r="O652" t="s">
        <v>50</v>
      </c>
      <c r="P652" t="s">
        <v>24</v>
      </c>
    </row>
    <row r="653" spans="1:16" x14ac:dyDescent="0.3">
      <c r="A653" t="s">
        <v>725</v>
      </c>
      <c r="B653" s="1">
        <v>44617</v>
      </c>
      <c r="C653" t="s">
        <v>17</v>
      </c>
      <c r="D653" t="s">
        <v>37</v>
      </c>
      <c r="E653" t="s">
        <v>52</v>
      </c>
      <c r="F653" t="s">
        <v>65</v>
      </c>
      <c r="G653" t="s">
        <v>124</v>
      </c>
      <c r="H653">
        <v>23</v>
      </c>
      <c r="I653">
        <v>18000</v>
      </c>
      <c r="J653">
        <v>15</v>
      </c>
      <c r="K653">
        <v>351900</v>
      </c>
      <c r="L653">
        <v>158355</v>
      </c>
      <c r="M653">
        <v>193545</v>
      </c>
      <c r="N653" t="s">
        <v>30</v>
      </c>
      <c r="O653" t="s">
        <v>44</v>
      </c>
      <c r="P653" t="s">
        <v>24</v>
      </c>
    </row>
    <row r="654" spans="1:16" x14ac:dyDescent="0.3">
      <c r="A654" t="s">
        <v>726</v>
      </c>
      <c r="B654" s="1">
        <v>45024</v>
      </c>
      <c r="C654" t="s">
        <v>17</v>
      </c>
      <c r="D654" t="s">
        <v>42</v>
      </c>
      <c r="E654" t="s">
        <v>52</v>
      </c>
      <c r="F654" t="s">
        <v>28</v>
      </c>
      <c r="G654" t="s">
        <v>71</v>
      </c>
      <c r="H654">
        <v>8</v>
      </c>
      <c r="I654">
        <v>35000</v>
      </c>
      <c r="J654">
        <v>10</v>
      </c>
      <c r="K654">
        <v>252000</v>
      </c>
      <c r="L654">
        <v>138600</v>
      </c>
      <c r="M654">
        <v>113400</v>
      </c>
      <c r="N654" t="s">
        <v>30</v>
      </c>
      <c r="O654" t="s">
        <v>67</v>
      </c>
      <c r="P654" t="s">
        <v>24</v>
      </c>
    </row>
    <row r="655" spans="1:16" x14ac:dyDescent="0.3">
      <c r="A655" t="s">
        <v>727</v>
      </c>
      <c r="B655" s="1">
        <v>45171</v>
      </c>
      <c r="C655" t="s">
        <v>58</v>
      </c>
      <c r="D655" t="s">
        <v>64</v>
      </c>
      <c r="E655" t="s">
        <v>32</v>
      </c>
      <c r="F655" t="s">
        <v>65</v>
      </c>
      <c r="G655" t="s">
        <v>124</v>
      </c>
      <c r="H655">
        <v>2</v>
      </c>
      <c r="I655">
        <v>18000</v>
      </c>
      <c r="J655">
        <v>15</v>
      </c>
      <c r="K655">
        <v>30600</v>
      </c>
      <c r="L655">
        <v>13770</v>
      </c>
      <c r="M655">
        <v>16830</v>
      </c>
      <c r="N655" t="s">
        <v>30</v>
      </c>
      <c r="O655" t="s">
        <v>50</v>
      </c>
      <c r="P655" t="s">
        <v>40</v>
      </c>
    </row>
    <row r="656" spans="1:16" x14ac:dyDescent="0.3">
      <c r="A656" t="s">
        <v>728</v>
      </c>
      <c r="B656" s="1">
        <v>45310</v>
      </c>
      <c r="C656" t="s">
        <v>58</v>
      </c>
      <c r="D656" t="s">
        <v>59</v>
      </c>
      <c r="E656" t="s">
        <v>38</v>
      </c>
      <c r="F656" t="s">
        <v>28</v>
      </c>
      <c r="G656" t="s">
        <v>85</v>
      </c>
      <c r="H656">
        <v>7</v>
      </c>
      <c r="I656">
        <v>8000</v>
      </c>
      <c r="J656">
        <v>5</v>
      </c>
      <c r="K656">
        <v>53200</v>
      </c>
      <c r="L656">
        <v>29260</v>
      </c>
      <c r="M656">
        <v>23940</v>
      </c>
      <c r="N656" t="s">
        <v>49</v>
      </c>
      <c r="O656" t="s">
        <v>67</v>
      </c>
      <c r="P656" t="s">
        <v>24</v>
      </c>
    </row>
    <row r="657" spans="1:16" x14ac:dyDescent="0.3">
      <c r="A657" t="s">
        <v>729</v>
      </c>
      <c r="B657" s="1">
        <v>45205</v>
      </c>
      <c r="C657" t="s">
        <v>17</v>
      </c>
      <c r="D657" t="s">
        <v>37</v>
      </c>
      <c r="E657" t="s">
        <v>32</v>
      </c>
      <c r="F657" t="s">
        <v>20</v>
      </c>
      <c r="G657" t="s">
        <v>115</v>
      </c>
      <c r="H657">
        <v>41</v>
      </c>
      <c r="I657">
        <v>2500</v>
      </c>
      <c r="J657">
        <v>0</v>
      </c>
      <c r="K657">
        <v>102500</v>
      </c>
      <c r="L657">
        <v>41000</v>
      </c>
      <c r="M657">
        <v>61500</v>
      </c>
      <c r="N657" t="s">
        <v>30</v>
      </c>
      <c r="O657" t="s">
        <v>50</v>
      </c>
      <c r="P657" t="s">
        <v>40</v>
      </c>
    </row>
    <row r="658" spans="1:16" x14ac:dyDescent="0.3">
      <c r="A658" t="s">
        <v>730</v>
      </c>
      <c r="B658" s="1">
        <v>45048</v>
      </c>
      <c r="C658" t="s">
        <v>17</v>
      </c>
      <c r="D658" t="s">
        <v>42</v>
      </c>
      <c r="E658" t="s">
        <v>32</v>
      </c>
      <c r="F658" t="s">
        <v>20</v>
      </c>
      <c r="G658" t="s">
        <v>53</v>
      </c>
      <c r="H658">
        <v>48</v>
      </c>
      <c r="I658">
        <v>600</v>
      </c>
      <c r="J658">
        <v>0</v>
      </c>
      <c r="K658">
        <v>28800</v>
      </c>
      <c r="L658">
        <v>11520</v>
      </c>
      <c r="M658">
        <v>17280</v>
      </c>
      <c r="N658" t="s">
        <v>30</v>
      </c>
      <c r="O658" t="s">
        <v>67</v>
      </c>
      <c r="P658" t="s">
        <v>40</v>
      </c>
    </row>
    <row r="659" spans="1:16" x14ac:dyDescent="0.3">
      <c r="A659" t="s">
        <v>731</v>
      </c>
      <c r="B659" s="1">
        <v>45208</v>
      </c>
      <c r="C659" t="s">
        <v>26</v>
      </c>
      <c r="D659" t="s">
        <v>69</v>
      </c>
      <c r="E659" t="s">
        <v>32</v>
      </c>
      <c r="F659" t="s">
        <v>20</v>
      </c>
      <c r="G659" t="s">
        <v>61</v>
      </c>
      <c r="H659">
        <v>5</v>
      </c>
      <c r="I659">
        <v>800</v>
      </c>
      <c r="J659">
        <v>10</v>
      </c>
      <c r="K659">
        <v>3600</v>
      </c>
      <c r="L659">
        <v>1440</v>
      </c>
      <c r="M659">
        <v>2160</v>
      </c>
      <c r="N659" t="s">
        <v>49</v>
      </c>
      <c r="O659" t="s">
        <v>23</v>
      </c>
      <c r="P659" t="s">
        <v>40</v>
      </c>
    </row>
    <row r="660" spans="1:16" x14ac:dyDescent="0.3">
      <c r="A660" t="s">
        <v>732</v>
      </c>
      <c r="B660" s="1">
        <v>45607</v>
      </c>
      <c r="C660" t="s">
        <v>46</v>
      </c>
      <c r="D660" t="s">
        <v>55</v>
      </c>
      <c r="E660" t="s">
        <v>32</v>
      </c>
      <c r="F660" t="s">
        <v>33</v>
      </c>
      <c r="G660" t="s">
        <v>43</v>
      </c>
      <c r="H660">
        <v>33</v>
      </c>
      <c r="I660">
        <v>4000</v>
      </c>
      <c r="J660">
        <v>15</v>
      </c>
      <c r="K660">
        <v>112200</v>
      </c>
      <c r="L660">
        <v>56100</v>
      </c>
      <c r="M660">
        <v>56100</v>
      </c>
      <c r="N660" t="s">
        <v>30</v>
      </c>
      <c r="O660" t="s">
        <v>35</v>
      </c>
      <c r="P660" t="s">
        <v>40</v>
      </c>
    </row>
    <row r="661" spans="1:16" x14ac:dyDescent="0.3">
      <c r="A661" t="s">
        <v>733</v>
      </c>
      <c r="B661" s="1">
        <v>45593</v>
      </c>
      <c r="C661" t="s">
        <v>46</v>
      </c>
      <c r="D661" t="s">
        <v>55</v>
      </c>
      <c r="E661" t="s">
        <v>19</v>
      </c>
      <c r="F661" t="s">
        <v>65</v>
      </c>
      <c r="G661" t="s">
        <v>124</v>
      </c>
      <c r="H661">
        <v>41</v>
      </c>
      <c r="I661">
        <v>18000</v>
      </c>
      <c r="J661">
        <v>20</v>
      </c>
      <c r="K661">
        <v>590400</v>
      </c>
      <c r="L661">
        <v>265680</v>
      </c>
      <c r="M661">
        <v>324720</v>
      </c>
      <c r="N661" t="s">
        <v>49</v>
      </c>
      <c r="O661" t="s">
        <v>67</v>
      </c>
      <c r="P661" t="s">
        <v>40</v>
      </c>
    </row>
    <row r="662" spans="1:16" x14ac:dyDescent="0.3">
      <c r="A662" t="s">
        <v>734</v>
      </c>
      <c r="B662" s="1">
        <v>44668</v>
      </c>
      <c r="C662" t="s">
        <v>46</v>
      </c>
      <c r="D662" t="s">
        <v>55</v>
      </c>
      <c r="E662" t="s">
        <v>60</v>
      </c>
      <c r="F662" t="s">
        <v>20</v>
      </c>
      <c r="G662" t="s">
        <v>74</v>
      </c>
      <c r="H662">
        <v>10</v>
      </c>
      <c r="I662">
        <v>4200</v>
      </c>
      <c r="J662">
        <v>10</v>
      </c>
      <c r="K662">
        <v>37800</v>
      </c>
      <c r="L662">
        <v>15120</v>
      </c>
      <c r="M662">
        <v>22680</v>
      </c>
      <c r="N662" t="s">
        <v>49</v>
      </c>
      <c r="O662" t="s">
        <v>50</v>
      </c>
      <c r="P662" t="s">
        <v>24</v>
      </c>
    </row>
    <row r="663" spans="1:16" x14ac:dyDescent="0.3">
      <c r="A663" t="s">
        <v>735</v>
      </c>
      <c r="B663" s="1">
        <v>44702</v>
      </c>
      <c r="C663" t="s">
        <v>46</v>
      </c>
      <c r="D663" t="s">
        <v>55</v>
      </c>
      <c r="E663" t="s">
        <v>73</v>
      </c>
      <c r="F663" t="s">
        <v>33</v>
      </c>
      <c r="G663" t="s">
        <v>76</v>
      </c>
      <c r="H663">
        <v>17</v>
      </c>
      <c r="I663">
        <v>8500</v>
      </c>
      <c r="J663">
        <v>20</v>
      </c>
      <c r="K663">
        <v>115600</v>
      </c>
      <c r="L663">
        <v>57800</v>
      </c>
      <c r="M663">
        <v>57800</v>
      </c>
      <c r="N663" t="s">
        <v>49</v>
      </c>
      <c r="O663" t="s">
        <v>44</v>
      </c>
      <c r="P663" t="s">
        <v>24</v>
      </c>
    </row>
    <row r="664" spans="1:16" x14ac:dyDescent="0.3">
      <c r="A664" t="s">
        <v>736</v>
      </c>
      <c r="B664" s="1">
        <v>44778</v>
      </c>
      <c r="C664" t="s">
        <v>46</v>
      </c>
      <c r="D664" t="s">
        <v>47</v>
      </c>
      <c r="E664" t="s">
        <v>19</v>
      </c>
      <c r="F664" t="s">
        <v>33</v>
      </c>
      <c r="G664" t="s">
        <v>48</v>
      </c>
      <c r="H664">
        <v>32</v>
      </c>
      <c r="I664">
        <v>1500</v>
      </c>
      <c r="J664">
        <v>20</v>
      </c>
      <c r="K664">
        <v>38400</v>
      </c>
      <c r="L664">
        <v>19200</v>
      </c>
      <c r="M664">
        <v>19200</v>
      </c>
      <c r="N664" t="s">
        <v>49</v>
      </c>
      <c r="O664" t="s">
        <v>35</v>
      </c>
      <c r="P664" t="s">
        <v>24</v>
      </c>
    </row>
    <row r="665" spans="1:16" x14ac:dyDescent="0.3">
      <c r="A665" t="s">
        <v>737</v>
      </c>
      <c r="B665" s="1">
        <v>44932</v>
      </c>
      <c r="C665" t="s">
        <v>17</v>
      </c>
      <c r="D665" t="s">
        <v>18</v>
      </c>
      <c r="E665" t="s">
        <v>56</v>
      </c>
      <c r="F665" t="s">
        <v>33</v>
      </c>
      <c r="G665" t="s">
        <v>34</v>
      </c>
      <c r="H665">
        <v>43</v>
      </c>
      <c r="I665">
        <v>25000</v>
      </c>
      <c r="J665">
        <v>20</v>
      </c>
      <c r="K665">
        <v>860000</v>
      </c>
      <c r="L665">
        <v>430000</v>
      </c>
      <c r="M665">
        <v>430000</v>
      </c>
      <c r="N665" t="s">
        <v>22</v>
      </c>
      <c r="O665" t="s">
        <v>35</v>
      </c>
      <c r="P665" t="s">
        <v>24</v>
      </c>
    </row>
    <row r="666" spans="1:16" x14ac:dyDescent="0.3">
      <c r="A666" t="s">
        <v>738</v>
      </c>
      <c r="B666" s="1">
        <v>45530</v>
      </c>
      <c r="C666" t="s">
        <v>26</v>
      </c>
      <c r="D666" t="s">
        <v>27</v>
      </c>
      <c r="E666" t="s">
        <v>52</v>
      </c>
      <c r="F666" t="s">
        <v>33</v>
      </c>
      <c r="G666" t="s">
        <v>43</v>
      </c>
      <c r="H666">
        <v>20</v>
      </c>
      <c r="I666">
        <v>4000</v>
      </c>
      <c r="J666">
        <v>0</v>
      </c>
      <c r="K666">
        <v>80000</v>
      </c>
      <c r="L666">
        <v>40000</v>
      </c>
      <c r="M666">
        <v>40000</v>
      </c>
      <c r="N666" t="s">
        <v>49</v>
      </c>
      <c r="O666" t="s">
        <v>35</v>
      </c>
      <c r="P666" t="s">
        <v>24</v>
      </c>
    </row>
    <row r="667" spans="1:16" x14ac:dyDescent="0.3">
      <c r="A667" t="s">
        <v>739</v>
      </c>
      <c r="B667" s="1">
        <v>45349</v>
      </c>
      <c r="C667" t="s">
        <v>46</v>
      </c>
      <c r="D667" t="s">
        <v>47</v>
      </c>
      <c r="E667" t="s">
        <v>52</v>
      </c>
      <c r="F667" t="s">
        <v>28</v>
      </c>
      <c r="G667" t="s">
        <v>29</v>
      </c>
      <c r="H667">
        <v>43</v>
      </c>
      <c r="I667">
        <v>15000</v>
      </c>
      <c r="J667">
        <v>20</v>
      </c>
      <c r="K667">
        <v>516000</v>
      </c>
      <c r="L667">
        <v>283800</v>
      </c>
      <c r="M667">
        <v>232200</v>
      </c>
      <c r="N667" t="s">
        <v>49</v>
      </c>
      <c r="O667" t="s">
        <v>23</v>
      </c>
      <c r="P667" t="s">
        <v>40</v>
      </c>
    </row>
    <row r="668" spans="1:16" x14ac:dyDescent="0.3">
      <c r="A668" t="s">
        <v>740</v>
      </c>
      <c r="B668" s="1">
        <v>44720</v>
      </c>
      <c r="C668" t="s">
        <v>26</v>
      </c>
      <c r="D668" t="s">
        <v>69</v>
      </c>
      <c r="E668" t="s">
        <v>70</v>
      </c>
      <c r="F668" t="s">
        <v>65</v>
      </c>
      <c r="G668" t="s">
        <v>104</v>
      </c>
      <c r="H668">
        <v>28</v>
      </c>
      <c r="I668">
        <v>3000</v>
      </c>
      <c r="J668">
        <v>5</v>
      </c>
      <c r="K668">
        <v>79800</v>
      </c>
      <c r="L668">
        <v>35910</v>
      </c>
      <c r="M668">
        <v>43890</v>
      </c>
      <c r="N668" t="s">
        <v>30</v>
      </c>
      <c r="O668" t="s">
        <v>44</v>
      </c>
      <c r="P668" t="s">
        <v>24</v>
      </c>
    </row>
    <row r="669" spans="1:16" x14ac:dyDescent="0.3">
      <c r="A669" t="s">
        <v>741</v>
      </c>
      <c r="B669" s="1">
        <v>44966</v>
      </c>
      <c r="C669" t="s">
        <v>58</v>
      </c>
      <c r="D669" t="s">
        <v>59</v>
      </c>
      <c r="E669" t="s">
        <v>73</v>
      </c>
      <c r="F669" t="s">
        <v>28</v>
      </c>
      <c r="G669" t="s">
        <v>85</v>
      </c>
      <c r="H669">
        <v>35</v>
      </c>
      <c r="I669">
        <v>8000</v>
      </c>
      <c r="J669">
        <v>10</v>
      </c>
      <c r="K669">
        <v>252000</v>
      </c>
      <c r="L669">
        <v>138600</v>
      </c>
      <c r="M669">
        <v>113400</v>
      </c>
      <c r="N669" t="s">
        <v>49</v>
      </c>
      <c r="O669" t="s">
        <v>67</v>
      </c>
      <c r="P669" t="s">
        <v>24</v>
      </c>
    </row>
    <row r="670" spans="1:16" x14ac:dyDescent="0.3">
      <c r="A670" t="s">
        <v>742</v>
      </c>
      <c r="B670" s="1">
        <v>45398</v>
      </c>
      <c r="C670" t="s">
        <v>46</v>
      </c>
      <c r="D670" t="s">
        <v>55</v>
      </c>
      <c r="E670" t="s">
        <v>78</v>
      </c>
      <c r="F670" t="s">
        <v>33</v>
      </c>
      <c r="G670" t="s">
        <v>48</v>
      </c>
      <c r="H670">
        <v>46</v>
      </c>
      <c r="I670">
        <v>1500</v>
      </c>
      <c r="J670">
        <v>10</v>
      </c>
      <c r="K670">
        <v>62100</v>
      </c>
      <c r="L670">
        <v>31050</v>
      </c>
      <c r="M670">
        <v>31050</v>
      </c>
      <c r="N670" t="s">
        <v>30</v>
      </c>
      <c r="O670" t="s">
        <v>67</v>
      </c>
      <c r="P670" t="s">
        <v>24</v>
      </c>
    </row>
    <row r="671" spans="1:16" x14ac:dyDescent="0.3">
      <c r="A671" t="s">
        <v>743</v>
      </c>
      <c r="B671" s="1">
        <v>44647</v>
      </c>
      <c r="C671" t="s">
        <v>26</v>
      </c>
      <c r="D671" t="s">
        <v>27</v>
      </c>
      <c r="E671" t="s">
        <v>73</v>
      </c>
      <c r="F671" t="s">
        <v>65</v>
      </c>
      <c r="G671" t="s">
        <v>124</v>
      </c>
      <c r="H671">
        <v>41</v>
      </c>
      <c r="I671">
        <v>18000</v>
      </c>
      <c r="J671">
        <v>10</v>
      </c>
      <c r="K671">
        <v>664200</v>
      </c>
      <c r="L671">
        <v>298890</v>
      </c>
      <c r="M671">
        <v>365310</v>
      </c>
      <c r="N671" t="s">
        <v>22</v>
      </c>
      <c r="O671" t="s">
        <v>44</v>
      </c>
      <c r="P671" t="s">
        <v>24</v>
      </c>
    </row>
    <row r="672" spans="1:16" x14ac:dyDescent="0.3">
      <c r="A672" t="s">
        <v>744</v>
      </c>
      <c r="B672" s="1">
        <v>45425</v>
      </c>
      <c r="C672" t="s">
        <v>26</v>
      </c>
      <c r="D672" t="s">
        <v>69</v>
      </c>
      <c r="E672" t="s">
        <v>73</v>
      </c>
      <c r="F672" t="s">
        <v>33</v>
      </c>
      <c r="G672" t="s">
        <v>39</v>
      </c>
      <c r="H672">
        <v>49</v>
      </c>
      <c r="I672">
        <v>5000</v>
      </c>
      <c r="J672">
        <v>5</v>
      </c>
      <c r="K672">
        <v>232750</v>
      </c>
      <c r="L672">
        <v>116375</v>
      </c>
      <c r="M672">
        <v>116375</v>
      </c>
      <c r="N672" t="s">
        <v>30</v>
      </c>
      <c r="O672" t="s">
        <v>44</v>
      </c>
      <c r="P672" t="s">
        <v>24</v>
      </c>
    </row>
    <row r="673" spans="1:16" x14ac:dyDescent="0.3">
      <c r="A673" t="s">
        <v>745</v>
      </c>
      <c r="B673" s="1">
        <v>45433</v>
      </c>
      <c r="C673" t="s">
        <v>17</v>
      </c>
      <c r="D673" t="s">
        <v>42</v>
      </c>
      <c r="E673" t="s">
        <v>32</v>
      </c>
      <c r="F673" t="s">
        <v>28</v>
      </c>
      <c r="G673" t="s">
        <v>71</v>
      </c>
      <c r="H673">
        <v>6</v>
      </c>
      <c r="I673">
        <v>35000</v>
      </c>
      <c r="J673">
        <v>15</v>
      </c>
      <c r="K673">
        <v>178500</v>
      </c>
      <c r="L673">
        <v>98175</v>
      </c>
      <c r="M673">
        <v>80325</v>
      </c>
      <c r="N673" t="s">
        <v>22</v>
      </c>
      <c r="O673" t="s">
        <v>23</v>
      </c>
      <c r="P673" t="s">
        <v>24</v>
      </c>
    </row>
    <row r="674" spans="1:16" x14ac:dyDescent="0.3">
      <c r="A674" t="s">
        <v>746</v>
      </c>
      <c r="B674" s="1">
        <v>45222</v>
      </c>
      <c r="C674" t="s">
        <v>58</v>
      </c>
      <c r="D674" t="s">
        <v>84</v>
      </c>
      <c r="E674" t="s">
        <v>78</v>
      </c>
      <c r="F674" t="s">
        <v>33</v>
      </c>
      <c r="G674" t="s">
        <v>43</v>
      </c>
      <c r="H674">
        <v>5</v>
      </c>
      <c r="I674">
        <v>4000</v>
      </c>
      <c r="J674">
        <v>10</v>
      </c>
      <c r="K674">
        <v>18000</v>
      </c>
      <c r="L674">
        <v>9000</v>
      </c>
      <c r="M674">
        <v>9000</v>
      </c>
      <c r="N674" t="s">
        <v>22</v>
      </c>
      <c r="O674" t="s">
        <v>67</v>
      </c>
      <c r="P674" t="s">
        <v>24</v>
      </c>
    </row>
    <row r="675" spans="1:16" x14ac:dyDescent="0.3">
      <c r="A675" t="s">
        <v>747</v>
      </c>
      <c r="B675" s="1">
        <v>45184</v>
      </c>
      <c r="C675" t="s">
        <v>26</v>
      </c>
      <c r="D675" t="s">
        <v>27</v>
      </c>
      <c r="E675" t="s">
        <v>78</v>
      </c>
      <c r="F675" t="s">
        <v>65</v>
      </c>
      <c r="G675" t="s">
        <v>104</v>
      </c>
      <c r="H675">
        <v>1</v>
      </c>
      <c r="I675">
        <v>3000</v>
      </c>
      <c r="J675">
        <v>15</v>
      </c>
      <c r="K675">
        <v>2550</v>
      </c>
      <c r="L675">
        <v>1147.5</v>
      </c>
      <c r="M675">
        <v>1402.5</v>
      </c>
      <c r="N675" t="s">
        <v>22</v>
      </c>
      <c r="O675" t="s">
        <v>50</v>
      </c>
      <c r="P675" t="s">
        <v>24</v>
      </c>
    </row>
    <row r="676" spans="1:16" x14ac:dyDescent="0.3">
      <c r="A676" t="s">
        <v>748</v>
      </c>
      <c r="B676" s="1">
        <v>45188</v>
      </c>
      <c r="C676" t="s">
        <v>26</v>
      </c>
      <c r="D676" t="s">
        <v>27</v>
      </c>
      <c r="E676" t="s">
        <v>78</v>
      </c>
      <c r="F676" t="s">
        <v>20</v>
      </c>
      <c r="G676" t="s">
        <v>53</v>
      </c>
      <c r="H676">
        <v>46</v>
      </c>
      <c r="I676">
        <v>600</v>
      </c>
      <c r="J676">
        <v>5</v>
      </c>
      <c r="K676">
        <v>26220</v>
      </c>
      <c r="L676">
        <v>10488</v>
      </c>
      <c r="M676">
        <v>15732</v>
      </c>
      <c r="N676" t="s">
        <v>22</v>
      </c>
      <c r="O676" t="s">
        <v>23</v>
      </c>
      <c r="P676" t="s">
        <v>40</v>
      </c>
    </row>
    <row r="677" spans="1:16" x14ac:dyDescent="0.3">
      <c r="A677" t="s">
        <v>749</v>
      </c>
      <c r="B677" s="1">
        <v>45184</v>
      </c>
      <c r="C677" t="s">
        <v>58</v>
      </c>
      <c r="D677" t="s">
        <v>64</v>
      </c>
      <c r="E677" t="s">
        <v>78</v>
      </c>
      <c r="F677" t="s">
        <v>33</v>
      </c>
      <c r="G677" t="s">
        <v>76</v>
      </c>
      <c r="H677">
        <v>44</v>
      </c>
      <c r="I677">
        <v>8500</v>
      </c>
      <c r="J677">
        <v>20</v>
      </c>
      <c r="K677">
        <v>299200</v>
      </c>
      <c r="L677">
        <v>149600</v>
      </c>
      <c r="M677">
        <v>149600</v>
      </c>
      <c r="N677" t="s">
        <v>49</v>
      </c>
      <c r="O677" t="s">
        <v>44</v>
      </c>
      <c r="P677" t="s">
        <v>24</v>
      </c>
    </row>
    <row r="678" spans="1:16" x14ac:dyDescent="0.3">
      <c r="A678" t="s">
        <v>750</v>
      </c>
      <c r="B678" s="1">
        <v>44726</v>
      </c>
      <c r="C678" t="s">
        <v>17</v>
      </c>
      <c r="D678" t="s">
        <v>18</v>
      </c>
      <c r="E678" t="s">
        <v>32</v>
      </c>
      <c r="F678" t="s">
        <v>65</v>
      </c>
      <c r="G678" t="s">
        <v>79</v>
      </c>
      <c r="H678">
        <v>15</v>
      </c>
      <c r="I678">
        <v>900</v>
      </c>
      <c r="J678">
        <v>0</v>
      </c>
      <c r="K678">
        <v>13500</v>
      </c>
      <c r="L678">
        <v>6075</v>
      </c>
      <c r="M678">
        <v>7425</v>
      </c>
      <c r="N678" t="s">
        <v>22</v>
      </c>
      <c r="O678" t="s">
        <v>67</v>
      </c>
      <c r="P678" t="s">
        <v>24</v>
      </c>
    </row>
    <row r="679" spans="1:16" x14ac:dyDescent="0.3">
      <c r="A679" t="s">
        <v>751</v>
      </c>
      <c r="B679" s="1">
        <v>44988</v>
      </c>
      <c r="C679" t="s">
        <v>58</v>
      </c>
      <c r="D679" t="s">
        <v>84</v>
      </c>
      <c r="E679" t="s">
        <v>73</v>
      </c>
      <c r="F679" t="s">
        <v>20</v>
      </c>
      <c r="G679" t="s">
        <v>21</v>
      </c>
      <c r="H679">
        <v>26</v>
      </c>
      <c r="I679">
        <v>3500</v>
      </c>
      <c r="J679">
        <v>20</v>
      </c>
      <c r="K679">
        <v>72800</v>
      </c>
      <c r="L679">
        <v>29120</v>
      </c>
      <c r="M679">
        <v>43680</v>
      </c>
      <c r="N679" t="s">
        <v>22</v>
      </c>
      <c r="O679" t="s">
        <v>50</v>
      </c>
      <c r="P679" t="s">
        <v>24</v>
      </c>
    </row>
    <row r="680" spans="1:16" x14ac:dyDescent="0.3">
      <c r="A680" t="s">
        <v>752</v>
      </c>
      <c r="B680" s="1">
        <v>44837</v>
      </c>
      <c r="C680" t="s">
        <v>17</v>
      </c>
      <c r="D680" t="s">
        <v>18</v>
      </c>
      <c r="E680" t="s">
        <v>38</v>
      </c>
      <c r="F680" t="s">
        <v>28</v>
      </c>
      <c r="G680" t="s">
        <v>95</v>
      </c>
      <c r="H680">
        <v>46</v>
      </c>
      <c r="I680">
        <v>75000</v>
      </c>
      <c r="J680">
        <v>20</v>
      </c>
      <c r="K680">
        <v>2760000</v>
      </c>
      <c r="L680">
        <v>1518000</v>
      </c>
      <c r="M680">
        <v>1242000</v>
      </c>
      <c r="N680" t="s">
        <v>49</v>
      </c>
      <c r="O680" t="s">
        <v>23</v>
      </c>
      <c r="P680" t="s">
        <v>24</v>
      </c>
    </row>
    <row r="681" spans="1:16" x14ac:dyDescent="0.3">
      <c r="A681" t="s">
        <v>753</v>
      </c>
      <c r="B681" s="1">
        <v>44781</v>
      </c>
      <c r="C681" t="s">
        <v>46</v>
      </c>
      <c r="D681" t="s">
        <v>47</v>
      </c>
      <c r="E681" t="s">
        <v>73</v>
      </c>
      <c r="F681" t="s">
        <v>33</v>
      </c>
      <c r="G681" t="s">
        <v>48</v>
      </c>
      <c r="H681">
        <v>25</v>
      </c>
      <c r="I681">
        <v>1500</v>
      </c>
      <c r="J681">
        <v>5</v>
      </c>
      <c r="K681">
        <v>35625</v>
      </c>
      <c r="L681">
        <v>17812.5</v>
      </c>
      <c r="M681">
        <v>17812.5</v>
      </c>
      <c r="N681" t="s">
        <v>30</v>
      </c>
      <c r="O681" t="s">
        <v>67</v>
      </c>
      <c r="P681" t="s">
        <v>24</v>
      </c>
    </row>
    <row r="682" spans="1:16" x14ac:dyDescent="0.3">
      <c r="A682" t="s">
        <v>754</v>
      </c>
      <c r="B682" s="1">
        <v>44984</v>
      </c>
      <c r="C682" t="s">
        <v>17</v>
      </c>
      <c r="D682" t="s">
        <v>42</v>
      </c>
      <c r="E682" t="s">
        <v>19</v>
      </c>
      <c r="F682" t="s">
        <v>65</v>
      </c>
      <c r="G682" t="s">
        <v>104</v>
      </c>
      <c r="H682">
        <v>27</v>
      </c>
      <c r="I682">
        <v>3000</v>
      </c>
      <c r="J682">
        <v>5</v>
      </c>
      <c r="K682">
        <v>76950</v>
      </c>
      <c r="L682">
        <v>34627.5</v>
      </c>
      <c r="M682">
        <v>42322.5</v>
      </c>
      <c r="N682" t="s">
        <v>49</v>
      </c>
      <c r="O682" t="s">
        <v>50</v>
      </c>
      <c r="P682" t="s">
        <v>24</v>
      </c>
    </row>
    <row r="683" spans="1:16" x14ac:dyDescent="0.3">
      <c r="A683" t="s">
        <v>755</v>
      </c>
      <c r="B683" s="1">
        <v>45036</v>
      </c>
      <c r="C683" t="s">
        <v>58</v>
      </c>
      <c r="D683" t="s">
        <v>84</v>
      </c>
      <c r="E683" t="s">
        <v>70</v>
      </c>
      <c r="F683" t="s">
        <v>65</v>
      </c>
      <c r="G683" t="s">
        <v>117</v>
      </c>
      <c r="H683">
        <v>1</v>
      </c>
      <c r="I683">
        <v>1200</v>
      </c>
      <c r="J683">
        <v>15</v>
      </c>
      <c r="K683">
        <v>1020</v>
      </c>
      <c r="L683">
        <v>459</v>
      </c>
      <c r="M683">
        <v>561</v>
      </c>
      <c r="N683" t="s">
        <v>49</v>
      </c>
      <c r="O683" t="s">
        <v>23</v>
      </c>
      <c r="P683" t="s">
        <v>24</v>
      </c>
    </row>
    <row r="684" spans="1:16" x14ac:dyDescent="0.3">
      <c r="A684" t="s">
        <v>756</v>
      </c>
      <c r="B684" s="1">
        <v>44980</v>
      </c>
      <c r="C684" t="s">
        <v>58</v>
      </c>
      <c r="D684" t="s">
        <v>64</v>
      </c>
      <c r="E684" t="s">
        <v>32</v>
      </c>
      <c r="F684" t="s">
        <v>33</v>
      </c>
      <c r="G684" t="s">
        <v>39</v>
      </c>
      <c r="H684">
        <v>7</v>
      </c>
      <c r="I684">
        <v>5000</v>
      </c>
      <c r="J684">
        <v>20</v>
      </c>
      <c r="K684">
        <v>28000</v>
      </c>
      <c r="L684">
        <v>14000</v>
      </c>
      <c r="M684">
        <v>14000</v>
      </c>
      <c r="N684" t="s">
        <v>30</v>
      </c>
      <c r="O684" t="s">
        <v>50</v>
      </c>
      <c r="P684" t="s">
        <v>24</v>
      </c>
    </row>
    <row r="685" spans="1:16" x14ac:dyDescent="0.3">
      <c r="A685" t="s">
        <v>757</v>
      </c>
      <c r="B685" s="1">
        <v>45032</v>
      </c>
      <c r="C685" t="s">
        <v>17</v>
      </c>
      <c r="D685" t="s">
        <v>42</v>
      </c>
      <c r="E685" t="s">
        <v>38</v>
      </c>
      <c r="F685" t="s">
        <v>28</v>
      </c>
      <c r="G685" t="s">
        <v>95</v>
      </c>
      <c r="H685">
        <v>17</v>
      </c>
      <c r="I685">
        <v>75000</v>
      </c>
      <c r="J685">
        <v>20</v>
      </c>
      <c r="K685">
        <v>1020000</v>
      </c>
      <c r="L685">
        <v>561000</v>
      </c>
      <c r="M685">
        <v>459000</v>
      </c>
      <c r="N685" t="s">
        <v>49</v>
      </c>
      <c r="O685" t="s">
        <v>50</v>
      </c>
      <c r="P685" t="s">
        <v>40</v>
      </c>
    </row>
    <row r="686" spans="1:16" x14ac:dyDescent="0.3">
      <c r="A686" t="s">
        <v>758</v>
      </c>
      <c r="B686" s="1">
        <v>45344</v>
      </c>
      <c r="C686" t="s">
        <v>17</v>
      </c>
      <c r="D686" t="s">
        <v>18</v>
      </c>
      <c r="E686" t="s">
        <v>111</v>
      </c>
      <c r="F686" t="s">
        <v>28</v>
      </c>
      <c r="G686" t="s">
        <v>29</v>
      </c>
      <c r="H686">
        <v>12</v>
      </c>
      <c r="I686">
        <v>15000</v>
      </c>
      <c r="J686">
        <v>10</v>
      </c>
      <c r="K686">
        <v>162000</v>
      </c>
      <c r="L686">
        <v>89100</v>
      </c>
      <c r="M686">
        <v>72900</v>
      </c>
      <c r="N686" t="s">
        <v>22</v>
      </c>
      <c r="O686" t="s">
        <v>23</v>
      </c>
      <c r="P686" t="s">
        <v>24</v>
      </c>
    </row>
    <row r="687" spans="1:16" x14ac:dyDescent="0.3">
      <c r="A687" t="s">
        <v>759</v>
      </c>
      <c r="B687" s="1">
        <v>45214</v>
      </c>
      <c r="C687" t="s">
        <v>46</v>
      </c>
      <c r="D687" t="s">
        <v>47</v>
      </c>
      <c r="E687" t="s">
        <v>70</v>
      </c>
      <c r="F687" t="s">
        <v>65</v>
      </c>
      <c r="G687" t="s">
        <v>104</v>
      </c>
      <c r="H687">
        <v>17</v>
      </c>
      <c r="I687">
        <v>3000</v>
      </c>
      <c r="J687">
        <v>0</v>
      </c>
      <c r="K687">
        <v>51000</v>
      </c>
      <c r="L687">
        <v>22950</v>
      </c>
      <c r="M687">
        <v>28050</v>
      </c>
      <c r="N687" t="s">
        <v>30</v>
      </c>
      <c r="O687" t="s">
        <v>44</v>
      </c>
      <c r="P687" t="s">
        <v>24</v>
      </c>
    </row>
    <row r="688" spans="1:16" x14ac:dyDescent="0.3">
      <c r="A688" t="s">
        <v>760</v>
      </c>
      <c r="B688" s="1">
        <v>45532</v>
      </c>
      <c r="C688" t="s">
        <v>17</v>
      </c>
      <c r="D688" t="s">
        <v>42</v>
      </c>
      <c r="E688" t="s">
        <v>70</v>
      </c>
      <c r="F688" t="s">
        <v>65</v>
      </c>
      <c r="G688" t="s">
        <v>124</v>
      </c>
      <c r="H688">
        <v>17</v>
      </c>
      <c r="I688">
        <v>18000</v>
      </c>
      <c r="J688">
        <v>20</v>
      </c>
      <c r="K688">
        <v>244800</v>
      </c>
      <c r="L688">
        <v>110160</v>
      </c>
      <c r="M688">
        <v>134640</v>
      </c>
      <c r="N688" t="s">
        <v>22</v>
      </c>
      <c r="O688" t="s">
        <v>50</v>
      </c>
      <c r="P688" t="s">
        <v>24</v>
      </c>
    </row>
    <row r="689" spans="1:16" x14ac:dyDescent="0.3">
      <c r="A689" t="s">
        <v>761</v>
      </c>
      <c r="B689" s="1">
        <v>45388</v>
      </c>
      <c r="C689" t="s">
        <v>17</v>
      </c>
      <c r="D689" t="s">
        <v>42</v>
      </c>
      <c r="E689" t="s">
        <v>60</v>
      </c>
      <c r="F689" t="s">
        <v>20</v>
      </c>
      <c r="G689" t="s">
        <v>53</v>
      </c>
      <c r="H689">
        <v>43</v>
      </c>
      <c r="I689">
        <v>600</v>
      </c>
      <c r="J689">
        <v>15</v>
      </c>
      <c r="K689">
        <v>21930</v>
      </c>
      <c r="L689">
        <v>8772</v>
      </c>
      <c r="M689">
        <v>13158</v>
      </c>
      <c r="N689" t="s">
        <v>30</v>
      </c>
      <c r="O689" t="s">
        <v>44</v>
      </c>
      <c r="P689" t="s">
        <v>24</v>
      </c>
    </row>
    <row r="690" spans="1:16" x14ac:dyDescent="0.3">
      <c r="A690" t="s">
        <v>762</v>
      </c>
      <c r="B690" s="1">
        <v>44659</v>
      </c>
      <c r="C690" t="s">
        <v>46</v>
      </c>
      <c r="D690" t="s">
        <v>47</v>
      </c>
      <c r="E690" t="s">
        <v>60</v>
      </c>
      <c r="F690" t="s">
        <v>33</v>
      </c>
      <c r="G690" t="s">
        <v>76</v>
      </c>
      <c r="H690">
        <v>46</v>
      </c>
      <c r="I690">
        <v>8500</v>
      </c>
      <c r="J690">
        <v>15</v>
      </c>
      <c r="K690">
        <v>332350</v>
      </c>
      <c r="L690">
        <v>166175</v>
      </c>
      <c r="M690">
        <v>166175</v>
      </c>
      <c r="N690" t="s">
        <v>30</v>
      </c>
      <c r="O690" t="s">
        <v>23</v>
      </c>
      <c r="P690" t="s">
        <v>24</v>
      </c>
    </row>
    <row r="691" spans="1:16" x14ac:dyDescent="0.3">
      <c r="A691" t="s">
        <v>763</v>
      </c>
      <c r="B691" s="1">
        <v>44635</v>
      </c>
      <c r="C691" t="s">
        <v>17</v>
      </c>
      <c r="D691" t="s">
        <v>42</v>
      </c>
      <c r="E691" t="s">
        <v>111</v>
      </c>
      <c r="F691" t="s">
        <v>65</v>
      </c>
      <c r="G691" t="s">
        <v>66</v>
      </c>
      <c r="H691">
        <v>32</v>
      </c>
      <c r="I691">
        <v>5500</v>
      </c>
      <c r="J691">
        <v>0</v>
      </c>
      <c r="K691">
        <v>176000</v>
      </c>
      <c r="L691">
        <v>79200</v>
      </c>
      <c r="M691">
        <v>96800</v>
      </c>
      <c r="N691" t="s">
        <v>30</v>
      </c>
      <c r="O691" t="s">
        <v>50</v>
      </c>
      <c r="P691" t="s">
        <v>24</v>
      </c>
    </row>
    <row r="692" spans="1:16" x14ac:dyDescent="0.3">
      <c r="A692" t="s">
        <v>764</v>
      </c>
      <c r="B692" s="1">
        <v>44719</v>
      </c>
      <c r="C692" t="s">
        <v>17</v>
      </c>
      <c r="D692" t="s">
        <v>18</v>
      </c>
      <c r="E692" t="s">
        <v>78</v>
      </c>
      <c r="F692" t="s">
        <v>33</v>
      </c>
      <c r="G692" t="s">
        <v>43</v>
      </c>
      <c r="H692">
        <v>43</v>
      </c>
      <c r="I692">
        <v>4000</v>
      </c>
      <c r="J692">
        <v>20</v>
      </c>
      <c r="K692">
        <v>137600</v>
      </c>
      <c r="L692">
        <v>68800</v>
      </c>
      <c r="M692">
        <v>68800</v>
      </c>
      <c r="N692" t="s">
        <v>22</v>
      </c>
      <c r="O692" t="s">
        <v>35</v>
      </c>
      <c r="P692" t="s">
        <v>24</v>
      </c>
    </row>
    <row r="693" spans="1:16" x14ac:dyDescent="0.3">
      <c r="A693" t="s">
        <v>765</v>
      </c>
      <c r="B693" s="1">
        <v>45590</v>
      </c>
      <c r="C693" t="s">
        <v>46</v>
      </c>
      <c r="D693" t="s">
        <v>55</v>
      </c>
      <c r="E693" t="s">
        <v>52</v>
      </c>
      <c r="F693" t="s">
        <v>20</v>
      </c>
      <c r="G693" t="s">
        <v>115</v>
      </c>
      <c r="H693">
        <v>44</v>
      </c>
      <c r="I693">
        <v>2500</v>
      </c>
      <c r="J693">
        <v>0</v>
      </c>
      <c r="K693">
        <v>110000</v>
      </c>
      <c r="L693">
        <v>44000</v>
      </c>
      <c r="M693">
        <v>66000</v>
      </c>
      <c r="N693" t="s">
        <v>30</v>
      </c>
      <c r="O693" t="s">
        <v>50</v>
      </c>
      <c r="P693" t="s">
        <v>24</v>
      </c>
    </row>
    <row r="694" spans="1:16" x14ac:dyDescent="0.3">
      <c r="A694" t="s">
        <v>766</v>
      </c>
      <c r="B694" s="1">
        <v>44786</v>
      </c>
      <c r="C694" t="s">
        <v>17</v>
      </c>
      <c r="D694" t="s">
        <v>42</v>
      </c>
      <c r="E694" t="s">
        <v>52</v>
      </c>
      <c r="F694" t="s">
        <v>33</v>
      </c>
      <c r="G694" t="s">
        <v>76</v>
      </c>
      <c r="H694">
        <v>2</v>
      </c>
      <c r="I694">
        <v>8500</v>
      </c>
      <c r="J694">
        <v>0</v>
      </c>
      <c r="K694">
        <v>17000</v>
      </c>
      <c r="L694">
        <v>8500</v>
      </c>
      <c r="M694">
        <v>8500</v>
      </c>
      <c r="N694" t="s">
        <v>22</v>
      </c>
      <c r="O694" t="s">
        <v>23</v>
      </c>
      <c r="P694" t="s">
        <v>24</v>
      </c>
    </row>
    <row r="695" spans="1:16" x14ac:dyDescent="0.3">
      <c r="A695" t="s">
        <v>767</v>
      </c>
      <c r="B695" s="1">
        <v>45464</v>
      </c>
      <c r="C695" t="s">
        <v>17</v>
      </c>
      <c r="D695" t="s">
        <v>42</v>
      </c>
      <c r="E695" t="s">
        <v>56</v>
      </c>
      <c r="F695" t="s">
        <v>33</v>
      </c>
      <c r="G695" t="s">
        <v>39</v>
      </c>
      <c r="H695">
        <v>42</v>
      </c>
      <c r="I695">
        <v>5000</v>
      </c>
      <c r="J695">
        <v>20</v>
      </c>
      <c r="K695">
        <v>168000</v>
      </c>
      <c r="L695">
        <v>84000</v>
      </c>
      <c r="M695">
        <v>84000</v>
      </c>
      <c r="N695" t="s">
        <v>49</v>
      </c>
      <c r="O695" t="s">
        <v>67</v>
      </c>
      <c r="P695" t="s">
        <v>24</v>
      </c>
    </row>
    <row r="696" spans="1:16" x14ac:dyDescent="0.3">
      <c r="A696" t="s">
        <v>768</v>
      </c>
      <c r="B696" s="1">
        <v>44811</v>
      </c>
      <c r="C696" t="s">
        <v>26</v>
      </c>
      <c r="D696" t="s">
        <v>69</v>
      </c>
      <c r="E696" t="s">
        <v>70</v>
      </c>
      <c r="F696" t="s">
        <v>28</v>
      </c>
      <c r="G696" t="s">
        <v>95</v>
      </c>
      <c r="H696">
        <v>36</v>
      </c>
      <c r="I696">
        <v>75000</v>
      </c>
      <c r="J696">
        <v>20</v>
      </c>
      <c r="K696">
        <v>2160000</v>
      </c>
      <c r="L696">
        <v>1188000</v>
      </c>
      <c r="M696">
        <v>972000</v>
      </c>
      <c r="N696" t="s">
        <v>30</v>
      </c>
      <c r="O696" t="s">
        <v>23</v>
      </c>
      <c r="P696" t="s">
        <v>24</v>
      </c>
    </row>
    <row r="697" spans="1:16" x14ac:dyDescent="0.3">
      <c r="A697" t="s">
        <v>769</v>
      </c>
      <c r="B697" s="1">
        <v>45052</v>
      </c>
      <c r="C697" t="s">
        <v>46</v>
      </c>
      <c r="D697" t="s">
        <v>55</v>
      </c>
      <c r="E697" t="s">
        <v>52</v>
      </c>
      <c r="F697" t="s">
        <v>28</v>
      </c>
      <c r="G697" t="s">
        <v>87</v>
      </c>
      <c r="H697">
        <v>11</v>
      </c>
      <c r="I697">
        <v>45000</v>
      </c>
      <c r="J697">
        <v>15</v>
      </c>
      <c r="K697">
        <v>420750</v>
      </c>
      <c r="L697">
        <v>231412.5</v>
      </c>
      <c r="M697">
        <v>189337.5</v>
      </c>
      <c r="N697" t="s">
        <v>49</v>
      </c>
      <c r="O697" t="s">
        <v>44</v>
      </c>
      <c r="P697" t="s">
        <v>24</v>
      </c>
    </row>
    <row r="698" spans="1:16" x14ac:dyDescent="0.3">
      <c r="A698" t="s">
        <v>770</v>
      </c>
      <c r="B698" s="1">
        <v>44783</v>
      </c>
      <c r="C698" t="s">
        <v>58</v>
      </c>
      <c r="D698" t="s">
        <v>59</v>
      </c>
      <c r="E698" t="s">
        <v>73</v>
      </c>
      <c r="F698" t="s">
        <v>20</v>
      </c>
      <c r="G698" t="s">
        <v>61</v>
      </c>
      <c r="H698">
        <v>43</v>
      </c>
      <c r="I698">
        <v>800</v>
      </c>
      <c r="J698">
        <v>0</v>
      </c>
      <c r="K698">
        <v>34400</v>
      </c>
      <c r="L698">
        <v>13760</v>
      </c>
      <c r="M698">
        <v>20640</v>
      </c>
      <c r="N698" t="s">
        <v>22</v>
      </c>
      <c r="O698" t="s">
        <v>44</v>
      </c>
      <c r="P698" t="s">
        <v>24</v>
      </c>
    </row>
    <row r="699" spans="1:16" x14ac:dyDescent="0.3">
      <c r="A699" t="s">
        <v>771</v>
      </c>
      <c r="B699" s="1">
        <v>45519</v>
      </c>
      <c r="C699" t="s">
        <v>58</v>
      </c>
      <c r="D699" t="s">
        <v>59</v>
      </c>
      <c r="E699" t="s">
        <v>73</v>
      </c>
      <c r="F699" t="s">
        <v>65</v>
      </c>
      <c r="G699" t="s">
        <v>117</v>
      </c>
      <c r="H699">
        <v>49</v>
      </c>
      <c r="I699">
        <v>1200</v>
      </c>
      <c r="J699">
        <v>15</v>
      </c>
      <c r="K699">
        <v>49980</v>
      </c>
      <c r="L699">
        <v>22491</v>
      </c>
      <c r="M699">
        <v>27489</v>
      </c>
      <c r="N699" t="s">
        <v>22</v>
      </c>
      <c r="O699" t="s">
        <v>44</v>
      </c>
      <c r="P699" t="s">
        <v>24</v>
      </c>
    </row>
    <row r="700" spans="1:16" x14ac:dyDescent="0.3">
      <c r="A700" t="s">
        <v>772</v>
      </c>
      <c r="B700" s="1">
        <v>45403</v>
      </c>
      <c r="C700" t="s">
        <v>58</v>
      </c>
      <c r="D700" t="s">
        <v>84</v>
      </c>
      <c r="E700" t="s">
        <v>56</v>
      </c>
      <c r="F700" t="s">
        <v>33</v>
      </c>
      <c r="G700" t="s">
        <v>48</v>
      </c>
      <c r="H700">
        <v>44</v>
      </c>
      <c r="I700">
        <v>1500</v>
      </c>
      <c r="J700">
        <v>5</v>
      </c>
      <c r="K700">
        <v>62700</v>
      </c>
      <c r="L700">
        <v>31350</v>
      </c>
      <c r="M700">
        <v>31350</v>
      </c>
      <c r="N700" t="s">
        <v>49</v>
      </c>
      <c r="O700" t="s">
        <v>67</v>
      </c>
      <c r="P700" t="s">
        <v>24</v>
      </c>
    </row>
    <row r="701" spans="1:16" x14ac:dyDescent="0.3">
      <c r="A701" t="s">
        <v>773</v>
      </c>
      <c r="B701" s="1">
        <v>45568</v>
      </c>
      <c r="C701" t="s">
        <v>17</v>
      </c>
      <c r="D701" t="s">
        <v>37</v>
      </c>
      <c r="E701" t="s">
        <v>32</v>
      </c>
      <c r="F701" t="s">
        <v>28</v>
      </c>
      <c r="G701" t="s">
        <v>85</v>
      </c>
      <c r="H701">
        <v>20</v>
      </c>
      <c r="I701">
        <v>8000</v>
      </c>
      <c r="J701">
        <v>5</v>
      </c>
      <c r="K701">
        <v>152000</v>
      </c>
      <c r="L701">
        <v>83600</v>
      </c>
      <c r="M701">
        <v>68400</v>
      </c>
      <c r="N701" t="s">
        <v>22</v>
      </c>
      <c r="O701" t="s">
        <v>50</v>
      </c>
      <c r="P701" t="s">
        <v>24</v>
      </c>
    </row>
    <row r="702" spans="1:16" x14ac:dyDescent="0.3">
      <c r="A702" t="s">
        <v>774</v>
      </c>
      <c r="B702" s="1">
        <v>45033</v>
      </c>
      <c r="C702" t="s">
        <v>58</v>
      </c>
      <c r="D702" t="s">
        <v>59</v>
      </c>
      <c r="E702" t="s">
        <v>38</v>
      </c>
      <c r="F702" t="s">
        <v>28</v>
      </c>
      <c r="G702" t="s">
        <v>29</v>
      </c>
      <c r="H702">
        <v>5</v>
      </c>
      <c r="I702">
        <v>15000</v>
      </c>
      <c r="J702">
        <v>0</v>
      </c>
      <c r="K702">
        <v>75000</v>
      </c>
      <c r="L702">
        <v>41250</v>
      </c>
      <c r="M702">
        <v>33750</v>
      </c>
      <c r="N702" t="s">
        <v>30</v>
      </c>
      <c r="O702" t="s">
        <v>67</v>
      </c>
      <c r="P702" t="s">
        <v>40</v>
      </c>
    </row>
    <row r="703" spans="1:16" x14ac:dyDescent="0.3">
      <c r="A703" t="s">
        <v>775</v>
      </c>
      <c r="B703" s="1">
        <v>45396</v>
      </c>
      <c r="C703" t="s">
        <v>26</v>
      </c>
      <c r="D703" t="s">
        <v>69</v>
      </c>
      <c r="E703" t="s">
        <v>38</v>
      </c>
      <c r="F703" t="s">
        <v>33</v>
      </c>
      <c r="G703" t="s">
        <v>34</v>
      </c>
      <c r="H703">
        <v>17</v>
      </c>
      <c r="I703">
        <v>25000</v>
      </c>
      <c r="J703">
        <v>20</v>
      </c>
      <c r="K703">
        <v>340000</v>
      </c>
      <c r="L703">
        <v>170000</v>
      </c>
      <c r="M703">
        <v>170000</v>
      </c>
      <c r="N703" t="s">
        <v>22</v>
      </c>
      <c r="O703" t="s">
        <v>35</v>
      </c>
      <c r="P703" t="s">
        <v>24</v>
      </c>
    </row>
    <row r="704" spans="1:16" x14ac:dyDescent="0.3">
      <c r="A704" t="s">
        <v>776</v>
      </c>
      <c r="B704" s="1">
        <v>44797</v>
      </c>
      <c r="C704" t="s">
        <v>58</v>
      </c>
      <c r="D704" t="s">
        <v>84</v>
      </c>
      <c r="E704" t="s">
        <v>78</v>
      </c>
      <c r="F704" t="s">
        <v>65</v>
      </c>
      <c r="G704" t="s">
        <v>117</v>
      </c>
      <c r="H704">
        <v>6</v>
      </c>
      <c r="I704">
        <v>1200</v>
      </c>
      <c r="J704">
        <v>15</v>
      </c>
      <c r="K704">
        <v>6120</v>
      </c>
      <c r="L704">
        <v>2754</v>
      </c>
      <c r="M704">
        <v>3366</v>
      </c>
      <c r="N704" t="s">
        <v>49</v>
      </c>
      <c r="O704" t="s">
        <v>67</v>
      </c>
      <c r="P704" t="s">
        <v>24</v>
      </c>
    </row>
    <row r="705" spans="1:16" x14ac:dyDescent="0.3">
      <c r="A705" t="s">
        <v>777</v>
      </c>
      <c r="B705" s="1">
        <v>45468</v>
      </c>
      <c r="C705" t="s">
        <v>58</v>
      </c>
      <c r="D705" t="s">
        <v>64</v>
      </c>
      <c r="E705" t="s">
        <v>73</v>
      </c>
      <c r="F705" t="s">
        <v>33</v>
      </c>
      <c r="G705" t="s">
        <v>76</v>
      </c>
      <c r="H705">
        <v>14</v>
      </c>
      <c r="I705">
        <v>8500</v>
      </c>
      <c r="J705">
        <v>5</v>
      </c>
      <c r="K705">
        <v>113050</v>
      </c>
      <c r="L705">
        <v>56525</v>
      </c>
      <c r="M705">
        <v>56525</v>
      </c>
      <c r="N705" t="s">
        <v>22</v>
      </c>
      <c r="O705" t="s">
        <v>67</v>
      </c>
      <c r="P705" t="s">
        <v>24</v>
      </c>
    </row>
    <row r="706" spans="1:16" x14ac:dyDescent="0.3">
      <c r="A706" t="s">
        <v>778</v>
      </c>
      <c r="B706" s="1">
        <v>45074</v>
      </c>
      <c r="C706" t="s">
        <v>26</v>
      </c>
      <c r="D706" t="s">
        <v>69</v>
      </c>
      <c r="E706" t="s">
        <v>111</v>
      </c>
      <c r="F706" t="s">
        <v>28</v>
      </c>
      <c r="G706" t="s">
        <v>95</v>
      </c>
      <c r="H706">
        <v>26</v>
      </c>
      <c r="I706">
        <v>75000</v>
      </c>
      <c r="J706">
        <v>0</v>
      </c>
      <c r="K706">
        <v>1950000</v>
      </c>
      <c r="L706">
        <v>1072500</v>
      </c>
      <c r="M706">
        <v>877500</v>
      </c>
      <c r="N706" t="s">
        <v>30</v>
      </c>
      <c r="O706" t="s">
        <v>23</v>
      </c>
      <c r="P706" t="s">
        <v>24</v>
      </c>
    </row>
    <row r="707" spans="1:16" x14ac:dyDescent="0.3">
      <c r="A707" t="s">
        <v>779</v>
      </c>
      <c r="B707" s="1">
        <v>45466</v>
      </c>
      <c r="C707" t="s">
        <v>58</v>
      </c>
      <c r="D707" t="s">
        <v>64</v>
      </c>
      <c r="E707" t="s">
        <v>38</v>
      </c>
      <c r="F707" t="s">
        <v>65</v>
      </c>
      <c r="G707" t="s">
        <v>124</v>
      </c>
      <c r="H707">
        <v>40</v>
      </c>
      <c r="I707">
        <v>18000</v>
      </c>
      <c r="J707">
        <v>20</v>
      </c>
      <c r="K707">
        <v>576000</v>
      </c>
      <c r="L707">
        <v>259200</v>
      </c>
      <c r="M707">
        <v>316800</v>
      </c>
      <c r="N707" t="s">
        <v>22</v>
      </c>
      <c r="O707" t="s">
        <v>23</v>
      </c>
      <c r="P707" t="s">
        <v>24</v>
      </c>
    </row>
    <row r="708" spans="1:16" x14ac:dyDescent="0.3">
      <c r="A708" t="s">
        <v>780</v>
      </c>
      <c r="B708" s="1">
        <v>45141</v>
      </c>
      <c r="C708" t="s">
        <v>46</v>
      </c>
      <c r="D708" t="s">
        <v>47</v>
      </c>
      <c r="E708" t="s">
        <v>56</v>
      </c>
      <c r="F708" t="s">
        <v>20</v>
      </c>
      <c r="G708" t="s">
        <v>21</v>
      </c>
      <c r="H708">
        <v>2</v>
      </c>
      <c r="I708">
        <v>3500</v>
      </c>
      <c r="J708">
        <v>5</v>
      </c>
      <c r="K708">
        <v>6650</v>
      </c>
      <c r="L708">
        <v>2660</v>
      </c>
      <c r="M708">
        <v>3990</v>
      </c>
      <c r="N708" t="s">
        <v>30</v>
      </c>
      <c r="O708" t="s">
        <v>23</v>
      </c>
      <c r="P708" t="s">
        <v>24</v>
      </c>
    </row>
    <row r="709" spans="1:16" x14ac:dyDescent="0.3">
      <c r="A709" t="s">
        <v>781</v>
      </c>
      <c r="B709" s="1">
        <v>44855</v>
      </c>
      <c r="C709" t="s">
        <v>46</v>
      </c>
      <c r="D709" t="s">
        <v>55</v>
      </c>
      <c r="E709" t="s">
        <v>111</v>
      </c>
      <c r="F709" t="s">
        <v>20</v>
      </c>
      <c r="G709" t="s">
        <v>21</v>
      </c>
      <c r="H709">
        <v>20</v>
      </c>
      <c r="I709">
        <v>3500</v>
      </c>
      <c r="J709">
        <v>15</v>
      </c>
      <c r="K709">
        <v>59500</v>
      </c>
      <c r="L709">
        <v>23800</v>
      </c>
      <c r="M709">
        <v>35700</v>
      </c>
      <c r="N709" t="s">
        <v>49</v>
      </c>
      <c r="O709" t="s">
        <v>23</v>
      </c>
      <c r="P709" t="s">
        <v>24</v>
      </c>
    </row>
    <row r="710" spans="1:16" x14ac:dyDescent="0.3">
      <c r="A710" t="s">
        <v>782</v>
      </c>
      <c r="B710" s="1">
        <v>44596</v>
      </c>
      <c r="C710" t="s">
        <v>46</v>
      </c>
      <c r="D710" t="s">
        <v>47</v>
      </c>
      <c r="E710" t="s">
        <v>60</v>
      </c>
      <c r="F710" t="s">
        <v>65</v>
      </c>
      <c r="G710" t="s">
        <v>66</v>
      </c>
      <c r="H710">
        <v>2</v>
      </c>
      <c r="I710">
        <v>5500</v>
      </c>
      <c r="J710">
        <v>15</v>
      </c>
      <c r="K710">
        <v>9350</v>
      </c>
      <c r="L710">
        <v>4207.5</v>
      </c>
      <c r="M710">
        <v>5142.5</v>
      </c>
      <c r="N710" t="s">
        <v>30</v>
      </c>
      <c r="O710" t="s">
        <v>44</v>
      </c>
      <c r="P710" t="s">
        <v>40</v>
      </c>
    </row>
    <row r="711" spans="1:16" x14ac:dyDescent="0.3">
      <c r="A711" t="s">
        <v>783</v>
      </c>
      <c r="B711" s="1">
        <v>45126</v>
      </c>
      <c r="C711" t="s">
        <v>58</v>
      </c>
      <c r="D711" t="s">
        <v>84</v>
      </c>
      <c r="E711" t="s">
        <v>70</v>
      </c>
      <c r="F711" t="s">
        <v>28</v>
      </c>
      <c r="G711" t="s">
        <v>95</v>
      </c>
      <c r="H711">
        <v>41</v>
      </c>
      <c r="I711">
        <v>75000</v>
      </c>
      <c r="J711">
        <v>15</v>
      </c>
      <c r="K711">
        <v>2613750</v>
      </c>
      <c r="L711">
        <v>1437562.5</v>
      </c>
      <c r="M711">
        <v>1176187.5</v>
      </c>
      <c r="N711" t="s">
        <v>49</v>
      </c>
      <c r="O711" t="s">
        <v>67</v>
      </c>
      <c r="P711" t="s">
        <v>24</v>
      </c>
    </row>
    <row r="712" spans="1:16" x14ac:dyDescent="0.3">
      <c r="A712" t="s">
        <v>784</v>
      </c>
      <c r="B712" s="1">
        <v>45636</v>
      </c>
      <c r="C712" t="s">
        <v>26</v>
      </c>
      <c r="D712" t="s">
        <v>69</v>
      </c>
      <c r="E712" t="s">
        <v>32</v>
      </c>
      <c r="F712" t="s">
        <v>65</v>
      </c>
      <c r="G712" t="s">
        <v>79</v>
      </c>
      <c r="H712">
        <v>38</v>
      </c>
      <c r="I712">
        <v>900</v>
      </c>
      <c r="J712">
        <v>20</v>
      </c>
      <c r="K712">
        <v>27360</v>
      </c>
      <c r="L712">
        <v>12312</v>
      </c>
      <c r="M712">
        <v>15048</v>
      </c>
      <c r="N712" t="s">
        <v>30</v>
      </c>
      <c r="O712" t="s">
        <v>35</v>
      </c>
      <c r="P712" t="s">
        <v>24</v>
      </c>
    </row>
    <row r="713" spans="1:16" x14ac:dyDescent="0.3">
      <c r="A713" t="s">
        <v>785</v>
      </c>
      <c r="B713" s="1">
        <v>45566</v>
      </c>
      <c r="C713" t="s">
        <v>58</v>
      </c>
      <c r="D713" t="s">
        <v>64</v>
      </c>
      <c r="E713" t="s">
        <v>70</v>
      </c>
      <c r="F713" t="s">
        <v>28</v>
      </c>
      <c r="G713" t="s">
        <v>71</v>
      </c>
      <c r="H713">
        <v>42</v>
      </c>
      <c r="I713">
        <v>35000</v>
      </c>
      <c r="J713">
        <v>15</v>
      </c>
      <c r="K713">
        <v>1249500</v>
      </c>
      <c r="L713">
        <v>687225</v>
      </c>
      <c r="M713">
        <v>562275</v>
      </c>
      <c r="N713" t="s">
        <v>30</v>
      </c>
      <c r="O713" t="s">
        <v>23</v>
      </c>
      <c r="P713" t="s">
        <v>24</v>
      </c>
    </row>
    <row r="714" spans="1:16" x14ac:dyDescent="0.3">
      <c r="A714" t="s">
        <v>786</v>
      </c>
      <c r="B714" s="1">
        <v>45245</v>
      </c>
      <c r="C714" t="s">
        <v>58</v>
      </c>
      <c r="D714" t="s">
        <v>84</v>
      </c>
      <c r="E714" t="s">
        <v>78</v>
      </c>
      <c r="F714" t="s">
        <v>33</v>
      </c>
      <c r="G714" t="s">
        <v>76</v>
      </c>
      <c r="H714">
        <v>31</v>
      </c>
      <c r="I714">
        <v>8500</v>
      </c>
      <c r="J714">
        <v>10</v>
      </c>
      <c r="K714">
        <v>237150</v>
      </c>
      <c r="L714">
        <v>118575</v>
      </c>
      <c r="M714">
        <v>118575</v>
      </c>
      <c r="N714" t="s">
        <v>30</v>
      </c>
      <c r="O714" t="s">
        <v>67</v>
      </c>
      <c r="P714" t="s">
        <v>24</v>
      </c>
    </row>
    <row r="715" spans="1:16" x14ac:dyDescent="0.3">
      <c r="A715" t="s">
        <v>787</v>
      </c>
      <c r="B715" s="1">
        <v>45004</v>
      </c>
      <c r="C715" t="s">
        <v>17</v>
      </c>
      <c r="D715" t="s">
        <v>42</v>
      </c>
      <c r="E715" t="s">
        <v>60</v>
      </c>
      <c r="F715" t="s">
        <v>20</v>
      </c>
      <c r="G715" t="s">
        <v>61</v>
      </c>
      <c r="H715">
        <v>47</v>
      </c>
      <c r="I715">
        <v>800</v>
      </c>
      <c r="J715">
        <v>15</v>
      </c>
      <c r="K715">
        <v>31960</v>
      </c>
      <c r="L715">
        <v>12784</v>
      </c>
      <c r="M715">
        <v>19176</v>
      </c>
      <c r="N715" t="s">
        <v>22</v>
      </c>
      <c r="O715" t="s">
        <v>50</v>
      </c>
      <c r="P715" t="s">
        <v>24</v>
      </c>
    </row>
    <row r="716" spans="1:16" x14ac:dyDescent="0.3">
      <c r="A716" t="s">
        <v>788</v>
      </c>
      <c r="B716" s="1">
        <v>45499</v>
      </c>
      <c r="C716" t="s">
        <v>46</v>
      </c>
      <c r="D716" t="s">
        <v>47</v>
      </c>
      <c r="E716" t="s">
        <v>73</v>
      </c>
      <c r="F716" t="s">
        <v>28</v>
      </c>
      <c r="G716" t="s">
        <v>85</v>
      </c>
      <c r="H716">
        <v>9</v>
      </c>
      <c r="I716">
        <v>8000</v>
      </c>
      <c r="J716">
        <v>5</v>
      </c>
      <c r="K716">
        <v>68400</v>
      </c>
      <c r="L716">
        <v>37620</v>
      </c>
      <c r="M716">
        <v>30780</v>
      </c>
      <c r="N716" t="s">
        <v>30</v>
      </c>
      <c r="O716" t="s">
        <v>67</v>
      </c>
      <c r="P716" t="s">
        <v>24</v>
      </c>
    </row>
    <row r="717" spans="1:16" x14ac:dyDescent="0.3">
      <c r="A717" t="s">
        <v>789</v>
      </c>
      <c r="B717" s="1">
        <v>45508</v>
      </c>
      <c r="C717" t="s">
        <v>58</v>
      </c>
      <c r="D717" t="s">
        <v>59</v>
      </c>
      <c r="E717" t="s">
        <v>73</v>
      </c>
      <c r="F717" t="s">
        <v>20</v>
      </c>
      <c r="G717" t="s">
        <v>74</v>
      </c>
      <c r="H717">
        <v>36</v>
      </c>
      <c r="I717">
        <v>4200</v>
      </c>
      <c r="J717">
        <v>0</v>
      </c>
      <c r="K717">
        <v>151200</v>
      </c>
      <c r="L717">
        <v>60480</v>
      </c>
      <c r="M717">
        <v>90720</v>
      </c>
      <c r="N717" t="s">
        <v>49</v>
      </c>
      <c r="O717" t="s">
        <v>50</v>
      </c>
      <c r="P717" t="s">
        <v>24</v>
      </c>
    </row>
    <row r="718" spans="1:16" x14ac:dyDescent="0.3">
      <c r="A718" t="s">
        <v>790</v>
      </c>
      <c r="B718" s="1">
        <v>45252</v>
      </c>
      <c r="C718" t="s">
        <v>46</v>
      </c>
      <c r="D718" t="s">
        <v>47</v>
      </c>
      <c r="E718" t="s">
        <v>111</v>
      </c>
      <c r="F718" t="s">
        <v>28</v>
      </c>
      <c r="G718" t="s">
        <v>95</v>
      </c>
      <c r="H718">
        <v>22</v>
      </c>
      <c r="I718">
        <v>75000</v>
      </c>
      <c r="J718">
        <v>15</v>
      </c>
      <c r="K718">
        <v>1402500</v>
      </c>
      <c r="L718">
        <v>771375</v>
      </c>
      <c r="M718">
        <v>631125</v>
      </c>
      <c r="N718" t="s">
        <v>22</v>
      </c>
      <c r="O718" t="s">
        <v>44</v>
      </c>
      <c r="P718" t="s">
        <v>24</v>
      </c>
    </row>
    <row r="719" spans="1:16" x14ac:dyDescent="0.3">
      <c r="A719" t="s">
        <v>791</v>
      </c>
      <c r="B719" s="1">
        <v>44791</v>
      </c>
      <c r="C719" t="s">
        <v>46</v>
      </c>
      <c r="D719" t="s">
        <v>55</v>
      </c>
      <c r="E719" t="s">
        <v>73</v>
      </c>
      <c r="F719" t="s">
        <v>33</v>
      </c>
      <c r="G719" t="s">
        <v>34</v>
      </c>
      <c r="H719">
        <v>50</v>
      </c>
      <c r="I719">
        <v>25000</v>
      </c>
      <c r="J719">
        <v>0</v>
      </c>
      <c r="K719">
        <v>1250000</v>
      </c>
      <c r="L719">
        <v>625000</v>
      </c>
      <c r="M719">
        <v>625000</v>
      </c>
      <c r="N719" t="s">
        <v>49</v>
      </c>
      <c r="O719" t="s">
        <v>44</v>
      </c>
      <c r="P719" t="s">
        <v>40</v>
      </c>
    </row>
    <row r="720" spans="1:16" x14ac:dyDescent="0.3">
      <c r="A720" t="s">
        <v>792</v>
      </c>
      <c r="B720" s="1">
        <v>45555</v>
      </c>
      <c r="C720" t="s">
        <v>26</v>
      </c>
      <c r="D720" t="s">
        <v>27</v>
      </c>
      <c r="E720" t="s">
        <v>60</v>
      </c>
      <c r="F720" t="s">
        <v>65</v>
      </c>
      <c r="G720" t="s">
        <v>117</v>
      </c>
      <c r="H720">
        <v>7</v>
      </c>
      <c r="I720">
        <v>1200</v>
      </c>
      <c r="J720">
        <v>20</v>
      </c>
      <c r="K720">
        <v>6720</v>
      </c>
      <c r="L720">
        <v>3024</v>
      </c>
      <c r="M720">
        <v>3696</v>
      </c>
      <c r="N720" t="s">
        <v>30</v>
      </c>
      <c r="O720" t="s">
        <v>67</v>
      </c>
      <c r="P720" t="s">
        <v>40</v>
      </c>
    </row>
    <row r="721" spans="1:16" x14ac:dyDescent="0.3">
      <c r="A721" t="s">
        <v>793</v>
      </c>
      <c r="B721" s="1">
        <v>44637</v>
      </c>
      <c r="C721" t="s">
        <v>26</v>
      </c>
      <c r="D721" t="s">
        <v>27</v>
      </c>
      <c r="E721" t="s">
        <v>52</v>
      </c>
      <c r="F721" t="s">
        <v>20</v>
      </c>
      <c r="G721" t="s">
        <v>61</v>
      </c>
      <c r="H721">
        <v>11</v>
      </c>
      <c r="I721">
        <v>800</v>
      </c>
      <c r="J721">
        <v>10</v>
      </c>
      <c r="K721">
        <v>7920</v>
      </c>
      <c r="L721">
        <v>3168</v>
      </c>
      <c r="M721">
        <v>4752</v>
      </c>
      <c r="N721" t="s">
        <v>22</v>
      </c>
      <c r="O721" t="s">
        <v>23</v>
      </c>
      <c r="P721" t="s">
        <v>24</v>
      </c>
    </row>
    <row r="722" spans="1:16" x14ac:dyDescent="0.3">
      <c r="A722" t="s">
        <v>794</v>
      </c>
      <c r="B722" s="1">
        <v>44747</v>
      </c>
      <c r="C722" t="s">
        <v>17</v>
      </c>
      <c r="D722" t="s">
        <v>37</v>
      </c>
      <c r="E722" t="s">
        <v>78</v>
      </c>
      <c r="F722" t="s">
        <v>28</v>
      </c>
      <c r="G722" t="s">
        <v>87</v>
      </c>
      <c r="H722">
        <v>29</v>
      </c>
      <c r="I722">
        <v>45000</v>
      </c>
      <c r="J722">
        <v>15</v>
      </c>
      <c r="K722">
        <v>1109250</v>
      </c>
      <c r="L722">
        <v>610087.5</v>
      </c>
      <c r="M722">
        <v>499162.5</v>
      </c>
      <c r="N722" t="s">
        <v>30</v>
      </c>
      <c r="O722" t="s">
        <v>23</v>
      </c>
      <c r="P722" t="s">
        <v>24</v>
      </c>
    </row>
    <row r="723" spans="1:16" x14ac:dyDescent="0.3">
      <c r="A723" t="s">
        <v>795</v>
      </c>
      <c r="B723" s="1">
        <v>45209</v>
      </c>
      <c r="C723" t="s">
        <v>46</v>
      </c>
      <c r="D723" t="s">
        <v>47</v>
      </c>
      <c r="E723" t="s">
        <v>73</v>
      </c>
      <c r="F723" t="s">
        <v>33</v>
      </c>
      <c r="G723" t="s">
        <v>48</v>
      </c>
      <c r="H723">
        <v>24</v>
      </c>
      <c r="I723">
        <v>1500</v>
      </c>
      <c r="J723">
        <v>5</v>
      </c>
      <c r="K723">
        <v>34200</v>
      </c>
      <c r="L723">
        <v>17100</v>
      </c>
      <c r="M723">
        <v>17100</v>
      </c>
      <c r="N723" t="s">
        <v>22</v>
      </c>
      <c r="O723" t="s">
        <v>23</v>
      </c>
      <c r="P723" t="s">
        <v>24</v>
      </c>
    </row>
    <row r="724" spans="1:16" x14ac:dyDescent="0.3">
      <c r="A724" t="s">
        <v>796</v>
      </c>
      <c r="B724" s="1">
        <v>44990</v>
      </c>
      <c r="C724" t="s">
        <v>58</v>
      </c>
      <c r="D724" t="s">
        <v>59</v>
      </c>
      <c r="E724" t="s">
        <v>32</v>
      </c>
      <c r="F724" t="s">
        <v>65</v>
      </c>
      <c r="G724" t="s">
        <v>79</v>
      </c>
      <c r="H724">
        <v>44</v>
      </c>
      <c r="I724">
        <v>900</v>
      </c>
      <c r="J724">
        <v>10</v>
      </c>
      <c r="K724">
        <v>35640</v>
      </c>
      <c r="L724">
        <v>16038</v>
      </c>
      <c r="M724">
        <v>19602</v>
      </c>
      <c r="N724" t="s">
        <v>49</v>
      </c>
      <c r="O724" t="s">
        <v>44</v>
      </c>
      <c r="P724" t="s">
        <v>24</v>
      </c>
    </row>
    <row r="725" spans="1:16" x14ac:dyDescent="0.3">
      <c r="A725" t="s">
        <v>797</v>
      </c>
      <c r="B725" s="1">
        <v>44584</v>
      </c>
      <c r="C725" t="s">
        <v>26</v>
      </c>
      <c r="D725" t="s">
        <v>27</v>
      </c>
      <c r="E725" t="s">
        <v>70</v>
      </c>
      <c r="F725" t="s">
        <v>33</v>
      </c>
      <c r="G725" t="s">
        <v>48</v>
      </c>
      <c r="H725">
        <v>50</v>
      </c>
      <c r="I725">
        <v>1500</v>
      </c>
      <c r="J725">
        <v>5</v>
      </c>
      <c r="K725">
        <v>71250</v>
      </c>
      <c r="L725">
        <v>35625</v>
      </c>
      <c r="M725">
        <v>35625</v>
      </c>
      <c r="N725" t="s">
        <v>30</v>
      </c>
      <c r="O725" t="s">
        <v>23</v>
      </c>
      <c r="P725" t="s">
        <v>24</v>
      </c>
    </row>
    <row r="726" spans="1:16" x14ac:dyDescent="0.3">
      <c r="A726" t="s">
        <v>798</v>
      </c>
      <c r="B726" s="1">
        <v>44642</v>
      </c>
      <c r="C726" t="s">
        <v>46</v>
      </c>
      <c r="D726" t="s">
        <v>47</v>
      </c>
      <c r="E726" t="s">
        <v>111</v>
      </c>
      <c r="F726" t="s">
        <v>33</v>
      </c>
      <c r="G726" t="s">
        <v>48</v>
      </c>
      <c r="H726">
        <v>26</v>
      </c>
      <c r="I726">
        <v>1500</v>
      </c>
      <c r="J726">
        <v>20</v>
      </c>
      <c r="K726">
        <v>31200</v>
      </c>
      <c r="L726">
        <v>15600</v>
      </c>
      <c r="M726">
        <v>15600</v>
      </c>
      <c r="N726" t="s">
        <v>22</v>
      </c>
      <c r="O726" t="s">
        <v>50</v>
      </c>
      <c r="P726" t="s">
        <v>24</v>
      </c>
    </row>
    <row r="727" spans="1:16" x14ac:dyDescent="0.3">
      <c r="A727" t="s">
        <v>799</v>
      </c>
      <c r="B727" s="1">
        <v>45231</v>
      </c>
      <c r="C727" t="s">
        <v>17</v>
      </c>
      <c r="D727" t="s">
        <v>42</v>
      </c>
      <c r="E727" t="s">
        <v>38</v>
      </c>
      <c r="F727" t="s">
        <v>20</v>
      </c>
      <c r="G727" t="s">
        <v>115</v>
      </c>
      <c r="H727">
        <v>29</v>
      </c>
      <c r="I727">
        <v>2500</v>
      </c>
      <c r="J727">
        <v>5</v>
      </c>
      <c r="K727">
        <v>68875</v>
      </c>
      <c r="L727">
        <v>27550</v>
      </c>
      <c r="M727">
        <v>41325</v>
      </c>
      <c r="N727" t="s">
        <v>22</v>
      </c>
      <c r="O727" t="s">
        <v>67</v>
      </c>
      <c r="P727" t="s">
        <v>40</v>
      </c>
    </row>
    <row r="728" spans="1:16" x14ac:dyDescent="0.3">
      <c r="A728" t="s">
        <v>800</v>
      </c>
      <c r="B728" s="1">
        <v>45435</v>
      </c>
      <c r="C728" t="s">
        <v>17</v>
      </c>
      <c r="D728" t="s">
        <v>42</v>
      </c>
      <c r="E728" t="s">
        <v>32</v>
      </c>
      <c r="F728" t="s">
        <v>20</v>
      </c>
      <c r="G728" t="s">
        <v>61</v>
      </c>
      <c r="H728">
        <v>6</v>
      </c>
      <c r="I728">
        <v>800</v>
      </c>
      <c r="J728">
        <v>0</v>
      </c>
      <c r="K728">
        <v>4800</v>
      </c>
      <c r="L728">
        <v>1920</v>
      </c>
      <c r="M728">
        <v>2880</v>
      </c>
      <c r="N728" t="s">
        <v>49</v>
      </c>
      <c r="O728" t="s">
        <v>23</v>
      </c>
      <c r="P728" t="s">
        <v>40</v>
      </c>
    </row>
    <row r="729" spans="1:16" x14ac:dyDescent="0.3">
      <c r="A729" t="s">
        <v>801</v>
      </c>
      <c r="B729" s="1">
        <v>44821</v>
      </c>
      <c r="C729" t="s">
        <v>17</v>
      </c>
      <c r="D729" t="s">
        <v>18</v>
      </c>
      <c r="E729" t="s">
        <v>52</v>
      </c>
      <c r="F729" t="s">
        <v>33</v>
      </c>
      <c r="G729" t="s">
        <v>43</v>
      </c>
      <c r="H729">
        <v>22</v>
      </c>
      <c r="I729">
        <v>4000</v>
      </c>
      <c r="J729">
        <v>5</v>
      </c>
      <c r="K729">
        <v>83600</v>
      </c>
      <c r="L729">
        <v>41800</v>
      </c>
      <c r="M729">
        <v>41800</v>
      </c>
      <c r="N729" t="s">
        <v>30</v>
      </c>
      <c r="O729" t="s">
        <v>67</v>
      </c>
      <c r="P729" t="s">
        <v>24</v>
      </c>
    </row>
    <row r="730" spans="1:16" x14ac:dyDescent="0.3">
      <c r="A730" t="s">
        <v>802</v>
      </c>
      <c r="B730" s="1">
        <v>45054</v>
      </c>
      <c r="C730" t="s">
        <v>17</v>
      </c>
      <c r="D730" t="s">
        <v>42</v>
      </c>
      <c r="E730" t="s">
        <v>32</v>
      </c>
      <c r="F730" t="s">
        <v>28</v>
      </c>
      <c r="G730" t="s">
        <v>95</v>
      </c>
      <c r="H730">
        <v>24</v>
      </c>
      <c r="I730">
        <v>75000</v>
      </c>
      <c r="J730">
        <v>10</v>
      </c>
      <c r="K730">
        <v>1620000</v>
      </c>
      <c r="L730">
        <v>891000</v>
      </c>
      <c r="M730">
        <v>729000</v>
      </c>
      <c r="N730" t="s">
        <v>49</v>
      </c>
      <c r="O730" t="s">
        <v>35</v>
      </c>
      <c r="P730" t="s">
        <v>40</v>
      </c>
    </row>
    <row r="731" spans="1:16" x14ac:dyDescent="0.3">
      <c r="A731" t="s">
        <v>803</v>
      </c>
      <c r="B731" s="1">
        <v>44676</v>
      </c>
      <c r="C731" t="s">
        <v>26</v>
      </c>
      <c r="D731" t="s">
        <v>69</v>
      </c>
      <c r="E731" t="s">
        <v>73</v>
      </c>
      <c r="F731" t="s">
        <v>28</v>
      </c>
      <c r="G731" t="s">
        <v>85</v>
      </c>
      <c r="H731">
        <v>22</v>
      </c>
      <c r="I731">
        <v>8000</v>
      </c>
      <c r="J731">
        <v>5</v>
      </c>
      <c r="K731">
        <v>167200</v>
      </c>
      <c r="L731">
        <v>91960</v>
      </c>
      <c r="M731">
        <v>75240</v>
      </c>
      <c r="N731" t="s">
        <v>22</v>
      </c>
      <c r="O731" t="s">
        <v>67</v>
      </c>
      <c r="P731" t="s">
        <v>40</v>
      </c>
    </row>
    <row r="732" spans="1:16" x14ac:dyDescent="0.3">
      <c r="A732" t="s">
        <v>804</v>
      </c>
      <c r="B732" s="1">
        <v>44997</v>
      </c>
      <c r="C732" t="s">
        <v>17</v>
      </c>
      <c r="D732" t="s">
        <v>37</v>
      </c>
      <c r="E732" t="s">
        <v>38</v>
      </c>
      <c r="F732" t="s">
        <v>20</v>
      </c>
      <c r="G732" t="s">
        <v>115</v>
      </c>
      <c r="H732">
        <v>34</v>
      </c>
      <c r="I732">
        <v>2500</v>
      </c>
      <c r="J732">
        <v>5</v>
      </c>
      <c r="K732">
        <v>80750</v>
      </c>
      <c r="L732">
        <v>32300</v>
      </c>
      <c r="M732">
        <v>48450</v>
      </c>
      <c r="N732" t="s">
        <v>49</v>
      </c>
      <c r="O732" t="s">
        <v>67</v>
      </c>
      <c r="P732" t="s">
        <v>24</v>
      </c>
    </row>
    <row r="733" spans="1:16" x14ac:dyDescent="0.3">
      <c r="A733" t="s">
        <v>805</v>
      </c>
      <c r="B733" s="1">
        <v>44953</v>
      </c>
      <c r="C733" t="s">
        <v>17</v>
      </c>
      <c r="D733" t="s">
        <v>37</v>
      </c>
      <c r="E733" t="s">
        <v>52</v>
      </c>
      <c r="F733" t="s">
        <v>20</v>
      </c>
      <c r="G733" t="s">
        <v>115</v>
      </c>
      <c r="H733">
        <v>27</v>
      </c>
      <c r="I733">
        <v>2500</v>
      </c>
      <c r="J733">
        <v>0</v>
      </c>
      <c r="K733">
        <v>67500</v>
      </c>
      <c r="L733">
        <v>27000</v>
      </c>
      <c r="M733">
        <v>40500</v>
      </c>
      <c r="N733" t="s">
        <v>30</v>
      </c>
      <c r="O733" t="s">
        <v>23</v>
      </c>
      <c r="P733" t="s">
        <v>24</v>
      </c>
    </row>
    <row r="734" spans="1:16" x14ac:dyDescent="0.3">
      <c r="A734" t="s">
        <v>806</v>
      </c>
      <c r="B734" s="1">
        <v>44820</v>
      </c>
      <c r="C734" t="s">
        <v>46</v>
      </c>
      <c r="D734" t="s">
        <v>55</v>
      </c>
      <c r="E734" t="s">
        <v>52</v>
      </c>
      <c r="F734" t="s">
        <v>33</v>
      </c>
      <c r="G734" t="s">
        <v>43</v>
      </c>
      <c r="H734">
        <v>26</v>
      </c>
      <c r="I734">
        <v>4000</v>
      </c>
      <c r="J734">
        <v>20</v>
      </c>
      <c r="K734">
        <v>83200</v>
      </c>
      <c r="L734">
        <v>41600</v>
      </c>
      <c r="M734">
        <v>41600</v>
      </c>
      <c r="N734" t="s">
        <v>22</v>
      </c>
      <c r="O734" t="s">
        <v>23</v>
      </c>
      <c r="P734" t="s">
        <v>40</v>
      </c>
    </row>
    <row r="735" spans="1:16" x14ac:dyDescent="0.3">
      <c r="A735" t="s">
        <v>807</v>
      </c>
      <c r="B735" s="1">
        <v>45065</v>
      </c>
      <c r="C735" t="s">
        <v>58</v>
      </c>
      <c r="D735" t="s">
        <v>64</v>
      </c>
      <c r="E735" t="s">
        <v>32</v>
      </c>
      <c r="F735" t="s">
        <v>65</v>
      </c>
      <c r="G735" t="s">
        <v>66</v>
      </c>
      <c r="H735">
        <v>47</v>
      </c>
      <c r="I735">
        <v>5500</v>
      </c>
      <c r="J735">
        <v>15</v>
      </c>
      <c r="K735">
        <v>219725</v>
      </c>
      <c r="L735">
        <v>98876.25</v>
      </c>
      <c r="M735">
        <v>120848.75</v>
      </c>
      <c r="N735" t="s">
        <v>30</v>
      </c>
      <c r="O735" t="s">
        <v>67</v>
      </c>
      <c r="P735" t="s">
        <v>24</v>
      </c>
    </row>
    <row r="736" spans="1:16" x14ac:dyDescent="0.3">
      <c r="A736" t="s">
        <v>808</v>
      </c>
      <c r="B736" s="1">
        <v>44820</v>
      </c>
      <c r="C736" t="s">
        <v>58</v>
      </c>
      <c r="D736" t="s">
        <v>84</v>
      </c>
      <c r="E736" t="s">
        <v>111</v>
      </c>
      <c r="F736" t="s">
        <v>28</v>
      </c>
      <c r="G736" t="s">
        <v>87</v>
      </c>
      <c r="H736">
        <v>30</v>
      </c>
      <c r="I736">
        <v>45000</v>
      </c>
      <c r="J736">
        <v>15</v>
      </c>
      <c r="K736">
        <v>1147500</v>
      </c>
      <c r="L736">
        <v>631125</v>
      </c>
      <c r="M736">
        <v>516375</v>
      </c>
      <c r="N736" t="s">
        <v>22</v>
      </c>
      <c r="O736" t="s">
        <v>44</v>
      </c>
      <c r="P736" t="s">
        <v>24</v>
      </c>
    </row>
    <row r="737" spans="1:16" x14ac:dyDescent="0.3">
      <c r="A737" t="s">
        <v>809</v>
      </c>
      <c r="B737" s="1">
        <v>45638</v>
      </c>
      <c r="C737" t="s">
        <v>26</v>
      </c>
      <c r="D737" t="s">
        <v>69</v>
      </c>
      <c r="E737" t="s">
        <v>52</v>
      </c>
      <c r="F737" t="s">
        <v>28</v>
      </c>
      <c r="G737" t="s">
        <v>71</v>
      </c>
      <c r="H737">
        <v>37</v>
      </c>
      <c r="I737">
        <v>35000</v>
      </c>
      <c r="J737">
        <v>10</v>
      </c>
      <c r="K737">
        <v>1165500</v>
      </c>
      <c r="L737">
        <v>641025</v>
      </c>
      <c r="M737">
        <v>524475</v>
      </c>
      <c r="N737" t="s">
        <v>22</v>
      </c>
      <c r="O737" t="s">
        <v>44</v>
      </c>
      <c r="P737" t="s">
        <v>24</v>
      </c>
    </row>
    <row r="738" spans="1:16" x14ac:dyDescent="0.3">
      <c r="A738" t="s">
        <v>810</v>
      </c>
      <c r="B738" s="1">
        <v>44785</v>
      </c>
      <c r="C738" t="s">
        <v>17</v>
      </c>
      <c r="D738" t="s">
        <v>37</v>
      </c>
      <c r="E738" t="s">
        <v>73</v>
      </c>
      <c r="F738" t="s">
        <v>33</v>
      </c>
      <c r="G738" t="s">
        <v>48</v>
      </c>
      <c r="H738">
        <v>2</v>
      </c>
      <c r="I738">
        <v>1500</v>
      </c>
      <c r="J738">
        <v>5</v>
      </c>
      <c r="K738">
        <v>2850</v>
      </c>
      <c r="L738">
        <v>1425</v>
      </c>
      <c r="M738">
        <v>1425</v>
      </c>
      <c r="N738" t="s">
        <v>22</v>
      </c>
      <c r="O738" t="s">
        <v>23</v>
      </c>
      <c r="P738" t="s">
        <v>24</v>
      </c>
    </row>
    <row r="739" spans="1:16" x14ac:dyDescent="0.3">
      <c r="A739" t="s">
        <v>811</v>
      </c>
      <c r="B739" s="1">
        <v>44661</v>
      </c>
      <c r="C739" t="s">
        <v>17</v>
      </c>
      <c r="D739" t="s">
        <v>18</v>
      </c>
      <c r="E739" t="s">
        <v>78</v>
      </c>
      <c r="F739" t="s">
        <v>65</v>
      </c>
      <c r="G739" t="s">
        <v>117</v>
      </c>
      <c r="H739">
        <v>8</v>
      </c>
      <c r="I739">
        <v>1200</v>
      </c>
      <c r="J739">
        <v>20</v>
      </c>
      <c r="K739">
        <v>7680</v>
      </c>
      <c r="L739">
        <v>3456</v>
      </c>
      <c r="M739">
        <v>4224</v>
      </c>
      <c r="N739" t="s">
        <v>30</v>
      </c>
      <c r="O739" t="s">
        <v>35</v>
      </c>
      <c r="P739" t="s">
        <v>24</v>
      </c>
    </row>
    <row r="740" spans="1:16" x14ac:dyDescent="0.3">
      <c r="A740" t="s">
        <v>812</v>
      </c>
      <c r="B740" s="1">
        <v>45367</v>
      </c>
      <c r="C740" t="s">
        <v>17</v>
      </c>
      <c r="D740" t="s">
        <v>42</v>
      </c>
      <c r="E740" t="s">
        <v>60</v>
      </c>
      <c r="F740" t="s">
        <v>33</v>
      </c>
      <c r="G740" t="s">
        <v>48</v>
      </c>
      <c r="H740">
        <v>31</v>
      </c>
      <c r="I740">
        <v>1500</v>
      </c>
      <c r="J740">
        <v>20</v>
      </c>
      <c r="K740">
        <v>37200</v>
      </c>
      <c r="L740">
        <v>18600</v>
      </c>
      <c r="M740">
        <v>18600</v>
      </c>
      <c r="N740" t="s">
        <v>30</v>
      </c>
      <c r="O740" t="s">
        <v>67</v>
      </c>
      <c r="P740" t="s">
        <v>24</v>
      </c>
    </row>
    <row r="741" spans="1:16" x14ac:dyDescent="0.3">
      <c r="A741" t="s">
        <v>813</v>
      </c>
      <c r="B741" s="1">
        <v>45468</v>
      </c>
      <c r="C741" t="s">
        <v>58</v>
      </c>
      <c r="D741" t="s">
        <v>64</v>
      </c>
      <c r="E741" t="s">
        <v>60</v>
      </c>
      <c r="F741" t="s">
        <v>20</v>
      </c>
      <c r="G741" t="s">
        <v>61</v>
      </c>
      <c r="H741">
        <v>6</v>
      </c>
      <c r="I741">
        <v>800</v>
      </c>
      <c r="J741">
        <v>20</v>
      </c>
      <c r="K741">
        <v>3840</v>
      </c>
      <c r="L741">
        <v>1536</v>
      </c>
      <c r="M741">
        <v>2304</v>
      </c>
      <c r="N741" t="s">
        <v>49</v>
      </c>
      <c r="O741" t="s">
        <v>23</v>
      </c>
      <c r="P741" t="s">
        <v>40</v>
      </c>
    </row>
    <row r="742" spans="1:16" x14ac:dyDescent="0.3">
      <c r="A742" t="s">
        <v>814</v>
      </c>
      <c r="B742" s="1">
        <v>44998</v>
      </c>
      <c r="C742" t="s">
        <v>17</v>
      </c>
      <c r="D742" t="s">
        <v>42</v>
      </c>
      <c r="E742" t="s">
        <v>56</v>
      </c>
      <c r="F742" t="s">
        <v>65</v>
      </c>
      <c r="G742" t="s">
        <v>124</v>
      </c>
      <c r="H742">
        <v>42</v>
      </c>
      <c r="I742">
        <v>18000</v>
      </c>
      <c r="J742">
        <v>0</v>
      </c>
      <c r="K742">
        <v>756000</v>
      </c>
      <c r="L742">
        <v>340200</v>
      </c>
      <c r="M742">
        <v>415800</v>
      </c>
      <c r="N742" t="s">
        <v>22</v>
      </c>
      <c r="O742" t="s">
        <v>35</v>
      </c>
      <c r="P742" t="s">
        <v>24</v>
      </c>
    </row>
    <row r="743" spans="1:16" x14ac:dyDescent="0.3">
      <c r="A743" t="s">
        <v>815</v>
      </c>
      <c r="B743" s="1">
        <v>45156</v>
      </c>
      <c r="C743" t="s">
        <v>26</v>
      </c>
      <c r="D743" t="s">
        <v>27</v>
      </c>
      <c r="E743" t="s">
        <v>19</v>
      </c>
      <c r="F743" t="s">
        <v>28</v>
      </c>
      <c r="G743" t="s">
        <v>29</v>
      </c>
      <c r="H743">
        <v>34</v>
      </c>
      <c r="I743">
        <v>15000</v>
      </c>
      <c r="J743">
        <v>5</v>
      </c>
      <c r="K743">
        <v>484500</v>
      </c>
      <c r="L743">
        <v>266475</v>
      </c>
      <c r="M743">
        <v>218025</v>
      </c>
      <c r="N743" t="s">
        <v>22</v>
      </c>
      <c r="O743" t="s">
        <v>35</v>
      </c>
      <c r="P743" t="s">
        <v>24</v>
      </c>
    </row>
    <row r="744" spans="1:16" x14ac:dyDescent="0.3">
      <c r="A744" t="s">
        <v>816</v>
      </c>
      <c r="B744" s="1">
        <v>44795</v>
      </c>
      <c r="C744" t="s">
        <v>46</v>
      </c>
      <c r="D744" t="s">
        <v>47</v>
      </c>
      <c r="E744" t="s">
        <v>73</v>
      </c>
      <c r="F744" t="s">
        <v>20</v>
      </c>
      <c r="G744" t="s">
        <v>74</v>
      </c>
      <c r="H744">
        <v>46</v>
      </c>
      <c r="I744">
        <v>4200</v>
      </c>
      <c r="J744">
        <v>20</v>
      </c>
      <c r="K744">
        <v>154560</v>
      </c>
      <c r="L744">
        <v>61824</v>
      </c>
      <c r="M744">
        <v>92736</v>
      </c>
      <c r="N744" t="s">
        <v>30</v>
      </c>
      <c r="O744" t="s">
        <v>67</v>
      </c>
      <c r="P744" t="s">
        <v>24</v>
      </c>
    </row>
    <row r="745" spans="1:16" x14ac:dyDescent="0.3">
      <c r="A745" t="s">
        <v>817</v>
      </c>
      <c r="B745" s="1">
        <v>45182</v>
      </c>
      <c r="C745" t="s">
        <v>26</v>
      </c>
      <c r="D745" t="s">
        <v>69</v>
      </c>
      <c r="E745" t="s">
        <v>56</v>
      </c>
      <c r="F745" t="s">
        <v>33</v>
      </c>
      <c r="G745" t="s">
        <v>48</v>
      </c>
      <c r="H745">
        <v>12</v>
      </c>
      <c r="I745">
        <v>1500</v>
      </c>
      <c r="J745">
        <v>15</v>
      </c>
      <c r="K745">
        <v>15300</v>
      </c>
      <c r="L745">
        <v>7650</v>
      </c>
      <c r="M745">
        <v>7650</v>
      </c>
      <c r="N745" t="s">
        <v>22</v>
      </c>
      <c r="O745" t="s">
        <v>50</v>
      </c>
      <c r="P745" t="s">
        <v>24</v>
      </c>
    </row>
    <row r="746" spans="1:16" x14ac:dyDescent="0.3">
      <c r="A746" t="s">
        <v>818</v>
      </c>
      <c r="B746" s="1">
        <v>45300</v>
      </c>
      <c r="C746" t="s">
        <v>26</v>
      </c>
      <c r="D746" t="s">
        <v>27</v>
      </c>
      <c r="E746" t="s">
        <v>52</v>
      </c>
      <c r="F746" t="s">
        <v>20</v>
      </c>
      <c r="G746" t="s">
        <v>61</v>
      </c>
      <c r="H746">
        <v>10</v>
      </c>
      <c r="I746">
        <v>800</v>
      </c>
      <c r="J746">
        <v>5</v>
      </c>
      <c r="K746">
        <v>7600</v>
      </c>
      <c r="L746">
        <v>3040</v>
      </c>
      <c r="M746">
        <v>4560</v>
      </c>
      <c r="N746" t="s">
        <v>30</v>
      </c>
      <c r="O746" t="s">
        <v>44</v>
      </c>
      <c r="P746" t="s">
        <v>24</v>
      </c>
    </row>
    <row r="747" spans="1:16" x14ac:dyDescent="0.3">
      <c r="A747" t="s">
        <v>819</v>
      </c>
      <c r="B747" s="1">
        <v>45152</v>
      </c>
      <c r="C747" t="s">
        <v>46</v>
      </c>
      <c r="D747" t="s">
        <v>47</v>
      </c>
      <c r="E747" t="s">
        <v>38</v>
      </c>
      <c r="F747" t="s">
        <v>33</v>
      </c>
      <c r="G747" t="s">
        <v>76</v>
      </c>
      <c r="H747">
        <v>2</v>
      </c>
      <c r="I747">
        <v>8500</v>
      </c>
      <c r="J747">
        <v>0</v>
      </c>
      <c r="K747">
        <v>17000</v>
      </c>
      <c r="L747">
        <v>8500</v>
      </c>
      <c r="M747">
        <v>8500</v>
      </c>
      <c r="N747" t="s">
        <v>49</v>
      </c>
      <c r="O747" t="s">
        <v>35</v>
      </c>
      <c r="P747" t="s">
        <v>24</v>
      </c>
    </row>
    <row r="748" spans="1:16" x14ac:dyDescent="0.3">
      <c r="A748" t="s">
        <v>820</v>
      </c>
      <c r="B748" s="1">
        <v>45174</v>
      </c>
      <c r="C748" t="s">
        <v>58</v>
      </c>
      <c r="D748" t="s">
        <v>59</v>
      </c>
      <c r="E748" t="s">
        <v>73</v>
      </c>
      <c r="F748" t="s">
        <v>65</v>
      </c>
      <c r="G748" t="s">
        <v>117</v>
      </c>
      <c r="H748">
        <v>4</v>
      </c>
      <c r="I748">
        <v>1200</v>
      </c>
      <c r="J748">
        <v>5</v>
      </c>
      <c r="K748">
        <v>4560</v>
      </c>
      <c r="L748">
        <v>2052</v>
      </c>
      <c r="M748">
        <v>2508</v>
      </c>
      <c r="N748" t="s">
        <v>22</v>
      </c>
      <c r="O748" t="s">
        <v>67</v>
      </c>
      <c r="P748" t="s">
        <v>24</v>
      </c>
    </row>
    <row r="749" spans="1:16" x14ac:dyDescent="0.3">
      <c r="A749" t="s">
        <v>821</v>
      </c>
      <c r="B749" s="1">
        <v>45032</v>
      </c>
      <c r="C749" t="s">
        <v>58</v>
      </c>
      <c r="D749" t="s">
        <v>84</v>
      </c>
      <c r="E749" t="s">
        <v>73</v>
      </c>
      <c r="F749" t="s">
        <v>28</v>
      </c>
      <c r="G749" t="s">
        <v>71</v>
      </c>
      <c r="H749">
        <v>30</v>
      </c>
      <c r="I749">
        <v>35000</v>
      </c>
      <c r="J749">
        <v>20</v>
      </c>
      <c r="K749">
        <v>840000</v>
      </c>
      <c r="L749">
        <v>462000</v>
      </c>
      <c r="M749">
        <v>378000</v>
      </c>
      <c r="N749" t="s">
        <v>30</v>
      </c>
      <c r="O749" t="s">
        <v>23</v>
      </c>
      <c r="P749" t="s">
        <v>24</v>
      </c>
    </row>
    <row r="750" spans="1:16" x14ac:dyDescent="0.3">
      <c r="A750" t="s">
        <v>822</v>
      </c>
      <c r="B750" s="1">
        <v>44606</v>
      </c>
      <c r="C750" t="s">
        <v>46</v>
      </c>
      <c r="D750" t="s">
        <v>47</v>
      </c>
      <c r="E750" t="s">
        <v>73</v>
      </c>
      <c r="F750" t="s">
        <v>28</v>
      </c>
      <c r="G750" t="s">
        <v>87</v>
      </c>
      <c r="H750">
        <v>49</v>
      </c>
      <c r="I750">
        <v>45000</v>
      </c>
      <c r="J750">
        <v>20</v>
      </c>
      <c r="K750">
        <v>1764000</v>
      </c>
      <c r="L750">
        <v>970200</v>
      </c>
      <c r="M750">
        <v>793800</v>
      </c>
      <c r="N750" t="s">
        <v>49</v>
      </c>
      <c r="O750" t="s">
        <v>67</v>
      </c>
      <c r="P750" t="s">
        <v>24</v>
      </c>
    </row>
    <row r="751" spans="1:16" x14ac:dyDescent="0.3">
      <c r="A751" t="s">
        <v>823</v>
      </c>
      <c r="B751" s="1">
        <v>45366</v>
      </c>
      <c r="C751" t="s">
        <v>26</v>
      </c>
      <c r="D751" t="s">
        <v>27</v>
      </c>
      <c r="E751" t="s">
        <v>78</v>
      </c>
      <c r="F751" t="s">
        <v>33</v>
      </c>
      <c r="G751" t="s">
        <v>43</v>
      </c>
      <c r="H751">
        <v>11</v>
      </c>
      <c r="I751">
        <v>4000</v>
      </c>
      <c r="J751">
        <v>5</v>
      </c>
      <c r="K751">
        <v>41800</v>
      </c>
      <c r="L751">
        <v>20900</v>
      </c>
      <c r="M751">
        <v>20900</v>
      </c>
      <c r="N751" t="s">
        <v>49</v>
      </c>
      <c r="O751" t="s">
        <v>67</v>
      </c>
      <c r="P751" t="s">
        <v>40</v>
      </c>
    </row>
    <row r="752" spans="1:16" x14ac:dyDescent="0.3">
      <c r="A752" t="s">
        <v>824</v>
      </c>
      <c r="B752" s="1">
        <v>45414</v>
      </c>
      <c r="C752" t="s">
        <v>26</v>
      </c>
      <c r="D752" t="s">
        <v>69</v>
      </c>
      <c r="E752" t="s">
        <v>38</v>
      </c>
      <c r="F752" t="s">
        <v>33</v>
      </c>
      <c r="G752" t="s">
        <v>76</v>
      </c>
      <c r="H752">
        <v>1</v>
      </c>
      <c r="I752">
        <v>8500</v>
      </c>
      <c r="J752">
        <v>0</v>
      </c>
      <c r="K752">
        <v>8500</v>
      </c>
      <c r="L752">
        <v>4250</v>
      </c>
      <c r="M752">
        <v>4250</v>
      </c>
      <c r="N752" t="s">
        <v>49</v>
      </c>
      <c r="O752" t="s">
        <v>67</v>
      </c>
      <c r="P752" t="s">
        <v>24</v>
      </c>
    </row>
    <row r="753" spans="1:16" x14ac:dyDescent="0.3">
      <c r="A753" t="s">
        <v>825</v>
      </c>
      <c r="B753" s="1">
        <v>45073</v>
      </c>
      <c r="C753" t="s">
        <v>58</v>
      </c>
      <c r="D753" t="s">
        <v>59</v>
      </c>
      <c r="E753" t="s">
        <v>19</v>
      </c>
      <c r="F753" t="s">
        <v>33</v>
      </c>
      <c r="G753" t="s">
        <v>39</v>
      </c>
      <c r="H753">
        <v>11</v>
      </c>
      <c r="I753">
        <v>5000</v>
      </c>
      <c r="J753">
        <v>20</v>
      </c>
      <c r="K753">
        <v>44000</v>
      </c>
      <c r="L753">
        <v>22000</v>
      </c>
      <c r="M753">
        <v>22000</v>
      </c>
      <c r="N753" t="s">
        <v>30</v>
      </c>
      <c r="O753" t="s">
        <v>50</v>
      </c>
      <c r="P753" t="s">
        <v>40</v>
      </c>
    </row>
    <row r="754" spans="1:16" x14ac:dyDescent="0.3">
      <c r="A754" t="s">
        <v>826</v>
      </c>
      <c r="B754" s="1">
        <v>44725</v>
      </c>
      <c r="C754" t="s">
        <v>26</v>
      </c>
      <c r="D754" t="s">
        <v>27</v>
      </c>
      <c r="E754" t="s">
        <v>111</v>
      </c>
      <c r="F754" t="s">
        <v>33</v>
      </c>
      <c r="G754" t="s">
        <v>48</v>
      </c>
      <c r="H754">
        <v>14</v>
      </c>
      <c r="I754">
        <v>1500</v>
      </c>
      <c r="J754">
        <v>20</v>
      </c>
      <c r="K754">
        <v>16800</v>
      </c>
      <c r="L754">
        <v>8400</v>
      </c>
      <c r="M754">
        <v>8400</v>
      </c>
      <c r="N754" t="s">
        <v>49</v>
      </c>
      <c r="O754" t="s">
        <v>50</v>
      </c>
      <c r="P754" t="s">
        <v>40</v>
      </c>
    </row>
    <row r="755" spans="1:16" x14ac:dyDescent="0.3">
      <c r="A755" t="s">
        <v>827</v>
      </c>
      <c r="B755" s="1">
        <v>45071</v>
      </c>
      <c r="C755" t="s">
        <v>58</v>
      </c>
      <c r="D755" t="s">
        <v>59</v>
      </c>
      <c r="E755" t="s">
        <v>19</v>
      </c>
      <c r="F755" t="s">
        <v>33</v>
      </c>
      <c r="G755" t="s">
        <v>34</v>
      </c>
      <c r="H755">
        <v>14</v>
      </c>
      <c r="I755">
        <v>25000</v>
      </c>
      <c r="J755">
        <v>15</v>
      </c>
      <c r="K755">
        <v>297500</v>
      </c>
      <c r="L755">
        <v>148750</v>
      </c>
      <c r="M755">
        <v>148750</v>
      </c>
      <c r="N755" t="s">
        <v>49</v>
      </c>
      <c r="O755" t="s">
        <v>35</v>
      </c>
      <c r="P755" t="s">
        <v>40</v>
      </c>
    </row>
    <row r="756" spans="1:16" x14ac:dyDescent="0.3">
      <c r="A756" t="s">
        <v>828</v>
      </c>
      <c r="B756" s="1">
        <v>44825</v>
      </c>
      <c r="C756" t="s">
        <v>26</v>
      </c>
      <c r="D756" t="s">
        <v>69</v>
      </c>
      <c r="E756" t="s">
        <v>56</v>
      </c>
      <c r="F756" t="s">
        <v>28</v>
      </c>
      <c r="G756" t="s">
        <v>87</v>
      </c>
      <c r="H756">
        <v>27</v>
      </c>
      <c r="I756">
        <v>45000</v>
      </c>
      <c r="J756">
        <v>20</v>
      </c>
      <c r="K756">
        <v>972000</v>
      </c>
      <c r="L756">
        <v>534600</v>
      </c>
      <c r="M756">
        <v>437400</v>
      </c>
      <c r="N756" t="s">
        <v>49</v>
      </c>
      <c r="O756" t="s">
        <v>67</v>
      </c>
      <c r="P756" t="s">
        <v>24</v>
      </c>
    </row>
    <row r="757" spans="1:16" x14ac:dyDescent="0.3">
      <c r="A757" t="s">
        <v>829</v>
      </c>
      <c r="B757" s="1">
        <v>44738</v>
      </c>
      <c r="C757" t="s">
        <v>26</v>
      </c>
      <c r="D757" t="s">
        <v>27</v>
      </c>
      <c r="E757" t="s">
        <v>60</v>
      </c>
      <c r="F757" t="s">
        <v>28</v>
      </c>
      <c r="G757" t="s">
        <v>71</v>
      </c>
      <c r="H757">
        <v>25</v>
      </c>
      <c r="I757">
        <v>35000</v>
      </c>
      <c r="J757">
        <v>20</v>
      </c>
      <c r="K757">
        <v>700000</v>
      </c>
      <c r="L757">
        <v>385000</v>
      </c>
      <c r="M757">
        <v>315000</v>
      </c>
      <c r="N757" t="s">
        <v>49</v>
      </c>
      <c r="O757" t="s">
        <v>44</v>
      </c>
      <c r="P757" t="s">
        <v>24</v>
      </c>
    </row>
    <row r="758" spans="1:16" x14ac:dyDescent="0.3">
      <c r="A758" t="s">
        <v>830</v>
      </c>
      <c r="B758" s="1">
        <v>44565</v>
      </c>
      <c r="C758" t="s">
        <v>58</v>
      </c>
      <c r="D758" t="s">
        <v>59</v>
      </c>
      <c r="E758" t="s">
        <v>19</v>
      </c>
      <c r="F758" t="s">
        <v>65</v>
      </c>
      <c r="G758" t="s">
        <v>117</v>
      </c>
      <c r="H758">
        <v>15</v>
      </c>
      <c r="I758">
        <v>1200</v>
      </c>
      <c r="J758">
        <v>0</v>
      </c>
      <c r="K758">
        <v>18000</v>
      </c>
      <c r="L758">
        <v>8100</v>
      </c>
      <c r="M758">
        <v>9900</v>
      </c>
      <c r="N758" t="s">
        <v>22</v>
      </c>
      <c r="O758" t="s">
        <v>50</v>
      </c>
      <c r="P758" t="s">
        <v>24</v>
      </c>
    </row>
    <row r="759" spans="1:16" x14ac:dyDescent="0.3">
      <c r="A759" t="s">
        <v>831</v>
      </c>
      <c r="B759" s="1">
        <v>44929</v>
      </c>
      <c r="C759" t="s">
        <v>17</v>
      </c>
      <c r="D759" t="s">
        <v>42</v>
      </c>
      <c r="E759" t="s">
        <v>19</v>
      </c>
      <c r="F759" t="s">
        <v>20</v>
      </c>
      <c r="G759" t="s">
        <v>115</v>
      </c>
      <c r="H759">
        <v>24</v>
      </c>
      <c r="I759">
        <v>2500</v>
      </c>
      <c r="J759">
        <v>0</v>
      </c>
      <c r="K759">
        <v>60000</v>
      </c>
      <c r="L759">
        <v>24000</v>
      </c>
      <c r="M759">
        <v>36000</v>
      </c>
      <c r="N759" t="s">
        <v>49</v>
      </c>
      <c r="O759" t="s">
        <v>67</v>
      </c>
      <c r="P759" t="s">
        <v>24</v>
      </c>
    </row>
    <row r="760" spans="1:16" x14ac:dyDescent="0.3">
      <c r="A760" t="s">
        <v>832</v>
      </c>
      <c r="B760" s="1">
        <v>44958</v>
      </c>
      <c r="C760" t="s">
        <v>46</v>
      </c>
      <c r="D760" t="s">
        <v>55</v>
      </c>
      <c r="E760" t="s">
        <v>52</v>
      </c>
      <c r="F760" t="s">
        <v>33</v>
      </c>
      <c r="G760" t="s">
        <v>43</v>
      </c>
      <c r="H760">
        <v>33</v>
      </c>
      <c r="I760">
        <v>4000</v>
      </c>
      <c r="J760">
        <v>15</v>
      </c>
      <c r="K760">
        <v>112200</v>
      </c>
      <c r="L760">
        <v>56100</v>
      </c>
      <c r="M760">
        <v>56100</v>
      </c>
      <c r="N760" t="s">
        <v>22</v>
      </c>
      <c r="O760" t="s">
        <v>44</v>
      </c>
      <c r="P760" t="s">
        <v>24</v>
      </c>
    </row>
    <row r="761" spans="1:16" x14ac:dyDescent="0.3">
      <c r="A761" t="s">
        <v>833</v>
      </c>
      <c r="B761" s="1">
        <v>44898</v>
      </c>
      <c r="C761" t="s">
        <v>46</v>
      </c>
      <c r="D761" t="s">
        <v>47</v>
      </c>
      <c r="E761" t="s">
        <v>78</v>
      </c>
      <c r="F761" t="s">
        <v>33</v>
      </c>
      <c r="G761" t="s">
        <v>43</v>
      </c>
      <c r="H761">
        <v>15</v>
      </c>
      <c r="I761">
        <v>4000</v>
      </c>
      <c r="J761">
        <v>20</v>
      </c>
      <c r="K761">
        <v>48000</v>
      </c>
      <c r="L761">
        <v>24000</v>
      </c>
      <c r="M761">
        <v>24000</v>
      </c>
      <c r="N761" t="s">
        <v>30</v>
      </c>
      <c r="O761" t="s">
        <v>35</v>
      </c>
      <c r="P761" t="s">
        <v>24</v>
      </c>
    </row>
    <row r="762" spans="1:16" x14ac:dyDescent="0.3">
      <c r="A762" t="s">
        <v>834</v>
      </c>
      <c r="B762" s="1">
        <v>45616</v>
      </c>
      <c r="C762" t="s">
        <v>17</v>
      </c>
      <c r="D762" t="s">
        <v>42</v>
      </c>
      <c r="E762" t="s">
        <v>111</v>
      </c>
      <c r="F762" t="s">
        <v>65</v>
      </c>
      <c r="G762" t="s">
        <v>117</v>
      </c>
      <c r="H762">
        <v>28</v>
      </c>
      <c r="I762">
        <v>1200</v>
      </c>
      <c r="J762">
        <v>0</v>
      </c>
      <c r="K762">
        <v>33600</v>
      </c>
      <c r="L762">
        <v>15120</v>
      </c>
      <c r="M762">
        <v>18480</v>
      </c>
      <c r="N762" t="s">
        <v>49</v>
      </c>
      <c r="O762" t="s">
        <v>23</v>
      </c>
      <c r="P762" t="s">
        <v>24</v>
      </c>
    </row>
    <row r="763" spans="1:16" x14ac:dyDescent="0.3">
      <c r="A763" t="s">
        <v>835</v>
      </c>
      <c r="B763" s="1">
        <v>45081</v>
      </c>
      <c r="C763" t="s">
        <v>58</v>
      </c>
      <c r="D763" t="s">
        <v>59</v>
      </c>
      <c r="E763" t="s">
        <v>70</v>
      </c>
      <c r="F763" t="s">
        <v>28</v>
      </c>
      <c r="G763" t="s">
        <v>87</v>
      </c>
      <c r="H763">
        <v>4</v>
      </c>
      <c r="I763">
        <v>45000</v>
      </c>
      <c r="J763">
        <v>10</v>
      </c>
      <c r="K763">
        <v>162000</v>
      </c>
      <c r="L763">
        <v>89100</v>
      </c>
      <c r="M763">
        <v>72900</v>
      </c>
      <c r="N763" t="s">
        <v>22</v>
      </c>
      <c r="O763" t="s">
        <v>23</v>
      </c>
      <c r="P763" t="s">
        <v>24</v>
      </c>
    </row>
    <row r="764" spans="1:16" x14ac:dyDescent="0.3">
      <c r="A764" t="s">
        <v>836</v>
      </c>
      <c r="B764" s="1">
        <v>45170</v>
      </c>
      <c r="C764" t="s">
        <v>58</v>
      </c>
      <c r="D764" t="s">
        <v>84</v>
      </c>
      <c r="E764" t="s">
        <v>70</v>
      </c>
      <c r="F764" t="s">
        <v>28</v>
      </c>
      <c r="G764" t="s">
        <v>29</v>
      </c>
      <c r="H764">
        <v>2</v>
      </c>
      <c r="I764">
        <v>15000</v>
      </c>
      <c r="J764">
        <v>5</v>
      </c>
      <c r="K764">
        <v>28500</v>
      </c>
      <c r="L764">
        <v>15675</v>
      </c>
      <c r="M764">
        <v>12825</v>
      </c>
      <c r="N764" t="s">
        <v>30</v>
      </c>
      <c r="O764" t="s">
        <v>44</v>
      </c>
      <c r="P764" t="s">
        <v>24</v>
      </c>
    </row>
    <row r="765" spans="1:16" x14ac:dyDescent="0.3">
      <c r="A765" t="s">
        <v>837</v>
      </c>
      <c r="B765" s="1">
        <v>44932</v>
      </c>
      <c r="C765" t="s">
        <v>17</v>
      </c>
      <c r="D765" t="s">
        <v>37</v>
      </c>
      <c r="E765" t="s">
        <v>52</v>
      </c>
      <c r="F765" t="s">
        <v>28</v>
      </c>
      <c r="G765" t="s">
        <v>95</v>
      </c>
      <c r="H765">
        <v>31</v>
      </c>
      <c r="I765">
        <v>75000</v>
      </c>
      <c r="J765">
        <v>15</v>
      </c>
      <c r="K765">
        <v>1976250</v>
      </c>
      <c r="L765">
        <v>1086937.5</v>
      </c>
      <c r="M765">
        <v>889312.5</v>
      </c>
      <c r="N765" t="s">
        <v>22</v>
      </c>
      <c r="O765" t="s">
        <v>50</v>
      </c>
      <c r="P765" t="s">
        <v>24</v>
      </c>
    </row>
    <row r="766" spans="1:16" x14ac:dyDescent="0.3">
      <c r="A766" t="s">
        <v>838</v>
      </c>
      <c r="B766" s="1">
        <v>45054</v>
      </c>
      <c r="C766" t="s">
        <v>26</v>
      </c>
      <c r="D766" t="s">
        <v>69</v>
      </c>
      <c r="E766" t="s">
        <v>19</v>
      </c>
      <c r="F766" t="s">
        <v>33</v>
      </c>
      <c r="G766" t="s">
        <v>39</v>
      </c>
      <c r="H766">
        <v>22</v>
      </c>
      <c r="I766">
        <v>5000</v>
      </c>
      <c r="J766">
        <v>20</v>
      </c>
      <c r="K766">
        <v>88000</v>
      </c>
      <c r="L766">
        <v>44000</v>
      </c>
      <c r="M766">
        <v>44000</v>
      </c>
      <c r="N766" t="s">
        <v>30</v>
      </c>
      <c r="O766" t="s">
        <v>67</v>
      </c>
      <c r="P766" t="s">
        <v>24</v>
      </c>
    </row>
    <row r="767" spans="1:16" x14ac:dyDescent="0.3">
      <c r="A767" t="s">
        <v>839</v>
      </c>
      <c r="B767" s="1">
        <v>45437</v>
      </c>
      <c r="C767" t="s">
        <v>26</v>
      </c>
      <c r="D767" t="s">
        <v>69</v>
      </c>
      <c r="E767" t="s">
        <v>38</v>
      </c>
      <c r="F767" t="s">
        <v>28</v>
      </c>
      <c r="G767" t="s">
        <v>95</v>
      </c>
      <c r="H767">
        <v>4</v>
      </c>
      <c r="I767">
        <v>75000</v>
      </c>
      <c r="J767">
        <v>0</v>
      </c>
      <c r="K767">
        <v>300000</v>
      </c>
      <c r="L767">
        <v>165000</v>
      </c>
      <c r="M767">
        <v>135000</v>
      </c>
      <c r="N767" t="s">
        <v>49</v>
      </c>
      <c r="O767" t="s">
        <v>35</v>
      </c>
      <c r="P767" t="s">
        <v>24</v>
      </c>
    </row>
    <row r="768" spans="1:16" x14ac:dyDescent="0.3">
      <c r="A768" t="s">
        <v>840</v>
      </c>
      <c r="B768" s="1">
        <v>44806</v>
      </c>
      <c r="C768" t="s">
        <v>58</v>
      </c>
      <c r="D768" t="s">
        <v>84</v>
      </c>
      <c r="E768" t="s">
        <v>73</v>
      </c>
      <c r="F768" t="s">
        <v>65</v>
      </c>
      <c r="G768" t="s">
        <v>117</v>
      </c>
      <c r="H768">
        <v>7</v>
      </c>
      <c r="I768">
        <v>1200</v>
      </c>
      <c r="J768">
        <v>0</v>
      </c>
      <c r="K768">
        <v>8400</v>
      </c>
      <c r="L768">
        <v>3780</v>
      </c>
      <c r="M768">
        <v>4620</v>
      </c>
      <c r="N768" t="s">
        <v>30</v>
      </c>
      <c r="O768" t="s">
        <v>50</v>
      </c>
      <c r="P768" t="s">
        <v>40</v>
      </c>
    </row>
    <row r="769" spans="1:16" x14ac:dyDescent="0.3">
      <c r="A769" t="s">
        <v>841</v>
      </c>
      <c r="B769" s="1">
        <v>45304</v>
      </c>
      <c r="C769" t="s">
        <v>26</v>
      </c>
      <c r="D769" t="s">
        <v>69</v>
      </c>
      <c r="E769" t="s">
        <v>19</v>
      </c>
      <c r="F769" t="s">
        <v>28</v>
      </c>
      <c r="G769" t="s">
        <v>85</v>
      </c>
      <c r="H769">
        <v>25</v>
      </c>
      <c r="I769">
        <v>8000</v>
      </c>
      <c r="J769">
        <v>15</v>
      </c>
      <c r="K769">
        <v>170000</v>
      </c>
      <c r="L769">
        <v>93500</v>
      </c>
      <c r="M769">
        <v>76500</v>
      </c>
      <c r="N769" t="s">
        <v>22</v>
      </c>
      <c r="O769" t="s">
        <v>67</v>
      </c>
      <c r="P769" t="s">
        <v>24</v>
      </c>
    </row>
    <row r="770" spans="1:16" x14ac:dyDescent="0.3">
      <c r="A770" t="s">
        <v>842</v>
      </c>
      <c r="B770" s="1">
        <v>44753</v>
      </c>
      <c r="C770" t="s">
        <v>26</v>
      </c>
      <c r="D770" t="s">
        <v>69</v>
      </c>
      <c r="E770" t="s">
        <v>111</v>
      </c>
      <c r="F770" t="s">
        <v>33</v>
      </c>
      <c r="G770" t="s">
        <v>43</v>
      </c>
      <c r="H770">
        <v>13</v>
      </c>
      <c r="I770">
        <v>4000</v>
      </c>
      <c r="J770">
        <v>0</v>
      </c>
      <c r="K770">
        <v>52000</v>
      </c>
      <c r="L770">
        <v>26000</v>
      </c>
      <c r="M770">
        <v>26000</v>
      </c>
      <c r="N770" t="s">
        <v>30</v>
      </c>
      <c r="O770" t="s">
        <v>67</v>
      </c>
      <c r="P770" t="s">
        <v>24</v>
      </c>
    </row>
    <row r="771" spans="1:16" x14ac:dyDescent="0.3">
      <c r="A771" t="s">
        <v>843</v>
      </c>
      <c r="B771" s="1">
        <v>44700</v>
      </c>
      <c r="C771" t="s">
        <v>46</v>
      </c>
      <c r="D771" t="s">
        <v>47</v>
      </c>
      <c r="E771" t="s">
        <v>111</v>
      </c>
      <c r="F771" t="s">
        <v>33</v>
      </c>
      <c r="G771" t="s">
        <v>34</v>
      </c>
      <c r="H771">
        <v>27</v>
      </c>
      <c r="I771">
        <v>25000</v>
      </c>
      <c r="J771">
        <v>15</v>
      </c>
      <c r="K771">
        <v>573750</v>
      </c>
      <c r="L771">
        <v>286875</v>
      </c>
      <c r="M771">
        <v>286875</v>
      </c>
      <c r="N771" t="s">
        <v>49</v>
      </c>
      <c r="O771" t="s">
        <v>44</v>
      </c>
      <c r="P771" t="s">
        <v>40</v>
      </c>
    </row>
    <row r="772" spans="1:16" x14ac:dyDescent="0.3">
      <c r="A772" t="s">
        <v>844</v>
      </c>
      <c r="B772" s="1">
        <v>45021</v>
      </c>
      <c r="C772" t="s">
        <v>26</v>
      </c>
      <c r="D772" t="s">
        <v>27</v>
      </c>
      <c r="E772" t="s">
        <v>78</v>
      </c>
      <c r="F772" t="s">
        <v>33</v>
      </c>
      <c r="G772" t="s">
        <v>43</v>
      </c>
      <c r="H772">
        <v>28</v>
      </c>
      <c r="I772">
        <v>4000</v>
      </c>
      <c r="J772">
        <v>20</v>
      </c>
      <c r="K772">
        <v>89600</v>
      </c>
      <c r="L772">
        <v>44800</v>
      </c>
      <c r="M772">
        <v>44800</v>
      </c>
      <c r="N772" t="s">
        <v>49</v>
      </c>
      <c r="O772" t="s">
        <v>67</v>
      </c>
      <c r="P772" t="s">
        <v>24</v>
      </c>
    </row>
    <row r="773" spans="1:16" x14ac:dyDescent="0.3">
      <c r="A773" t="s">
        <v>845</v>
      </c>
      <c r="B773" s="1">
        <v>45621</v>
      </c>
      <c r="C773" t="s">
        <v>46</v>
      </c>
      <c r="D773" t="s">
        <v>47</v>
      </c>
      <c r="E773" t="s">
        <v>60</v>
      </c>
      <c r="F773" t="s">
        <v>33</v>
      </c>
      <c r="G773" t="s">
        <v>43</v>
      </c>
      <c r="H773">
        <v>22</v>
      </c>
      <c r="I773">
        <v>4000</v>
      </c>
      <c r="J773">
        <v>10</v>
      </c>
      <c r="K773">
        <v>79200</v>
      </c>
      <c r="L773">
        <v>39600</v>
      </c>
      <c r="M773">
        <v>39600</v>
      </c>
      <c r="N773" t="s">
        <v>30</v>
      </c>
      <c r="O773" t="s">
        <v>67</v>
      </c>
      <c r="P773" t="s">
        <v>24</v>
      </c>
    </row>
    <row r="774" spans="1:16" x14ac:dyDescent="0.3">
      <c r="A774" t="s">
        <v>846</v>
      </c>
      <c r="B774" s="1">
        <v>44836</v>
      </c>
      <c r="C774" t="s">
        <v>46</v>
      </c>
      <c r="D774" t="s">
        <v>47</v>
      </c>
      <c r="E774" t="s">
        <v>32</v>
      </c>
      <c r="F774" t="s">
        <v>33</v>
      </c>
      <c r="G774" t="s">
        <v>76</v>
      </c>
      <c r="H774">
        <v>13</v>
      </c>
      <c r="I774">
        <v>8500</v>
      </c>
      <c r="J774">
        <v>5</v>
      </c>
      <c r="K774">
        <v>104975</v>
      </c>
      <c r="L774">
        <v>52487.5</v>
      </c>
      <c r="M774">
        <v>52487.5</v>
      </c>
      <c r="N774" t="s">
        <v>49</v>
      </c>
      <c r="O774" t="s">
        <v>44</v>
      </c>
      <c r="P774" t="s">
        <v>24</v>
      </c>
    </row>
    <row r="775" spans="1:16" x14ac:dyDescent="0.3">
      <c r="A775" t="s">
        <v>847</v>
      </c>
      <c r="B775" s="1">
        <v>45496</v>
      </c>
      <c r="C775" t="s">
        <v>58</v>
      </c>
      <c r="D775" t="s">
        <v>64</v>
      </c>
      <c r="E775" t="s">
        <v>70</v>
      </c>
      <c r="F775" t="s">
        <v>33</v>
      </c>
      <c r="G775" t="s">
        <v>43</v>
      </c>
      <c r="H775">
        <v>20</v>
      </c>
      <c r="I775">
        <v>4000</v>
      </c>
      <c r="J775">
        <v>15</v>
      </c>
      <c r="K775">
        <v>68000</v>
      </c>
      <c r="L775">
        <v>34000</v>
      </c>
      <c r="M775">
        <v>34000</v>
      </c>
      <c r="N775" t="s">
        <v>30</v>
      </c>
      <c r="O775" t="s">
        <v>35</v>
      </c>
      <c r="P775" t="s">
        <v>24</v>
      </c>
    </row>
    <row r="776" spans="1:16" x14ac:dyDescent="0.3">
      <c r="A776" t="s">
        <v>848</v>
      </c>
      <c r="B776" s="1">
        <v>45469</v>
      </c>
      <c r="C776" t="s">
        <v>26</v>
      </c>
      <c r="D776" t="s">
        <v>69</v>
      </c>
      <c r="E776" t="s">
        <v>19</v>
      </c>
      <c r="F776" t="s">
        <v>28</v>
      </c>
      <c r="G776" t="s">
        <v>87</v>
      </c>
      <c r="H776">
        <v>45</v>
      </c>
      <c r="I776">
        <v>45000</v>
      </c>
      <c r="J776">
        <v>5</v>
      </c>
      <c r="K776">
        <v>1923750</v>
      </c>
      <c r="L776">
        <v>1058062.5</v>
      </c>
      <c r="M776">
        <v>865687.5</v>
      </c>
      <c r="N776" t="s">
        <v>22</v>
      </c>
      <c r="O776" t="s">
        <v>44</v>
      </c>
      <c r="P776" t="s">
        <v>24</v>
      </c>
    </row>
    <row r="777" spans="1:16" x14ac:dyDescent="0.3">
      <c r="A777" t="s">
        <v>849</v>
      </c>
      <c r="B777" s="1">
        <v>45032</v>
      </c>
      <c r="C777" t="s">
        <v>17</v>
      </c>
      <c r="D777" t="s">
        <v>42</v>
      </c>
      <c r="E777" t="s">
        <v>32</v>
      </c>
      <c r="F777" t="s">
        <v>20</v>
      </c>
      <c r="G777" t="s">
        <v>115</v>
      </c>
      <c r="H777">
        <v>12</v>
      </c>
      <c r="I777">
        <v>2500</v>
      </c>
      <c r="J777">
        <v>0</v>
      </c>
      <c r="K777">
        <v>30000</v>
      </c>
      <c r="L777">
        <v>12000</v>
      </c>
      <c r="M777">
        <v>18000</v>
      </c>
      <c r="N777" t="s">
        <v>30</v>
      </c>
      <c r="O777" t="s">
        <v>35</v>
      </c>
      <c r="P777" t="s">
        <v>24</v>
      </c>
    </row>
    <row r="778" spans="1:16" x14ac:dyDescent="0.3">
      <c r="A778" t="s">
        <v>850</v>
      </c>
      <c r="B778" s="1">
        <v>45231</v>
      </c>
      <c r="C778" t="s">
        <v>26</v>
      </c>
      <c r="D778" t="s">
        <v>27</v>
      </c>
      <c r="E778" t="s">
        <v>73</v>
      </c>
      <c r="F778" t="s">
        <v>65</v>
      </c>
      <c r="G778" t="s">
        <v>104</v>
      </c>
      <c r="H778">
        <v>41</v>
      </c>
      <c r="I778">
        <v>3000</v>
      </c>
      <c r="J778">
        <v>20</v>
      </c>
      <c r="K778">
        <v>98400</v>
      </c>
      <c r="L778">
        <v>44280</v>
      </c>
      <c r="M778">
        <v>54120</v>
      </c>
      <c r="N778" t="s">
        <v>30</v>
      </c>
      <c r="O778" t="s">
        <v>35</v>
      </c>
      <c r="P778" t="s">
        <v>24</v>
      </c>
    </row>
    <row r="779" spans="1:16" x14ac:dyDescent="0.3">
      <c r="A779" t="s">
        <v>851</v>
      </c>
      <c r="B779" s="1">
        <v>44933</v>
      </c>
      <c r="C779" t="s">
        <v>17</v>
      </c>
      <c r="D779" t="s">
        <v>18</v>
      </c>
      <c r="E779" t="s">
        <v>19</v>
      </c>
      <c r="F779" t="s">
        <v>33</v>
      </c>
      <c r="G779" t="s">
        <v>76</v>
      </c>
      <c r="H779">
        <v>22</v>
      </c>
      <c r="I779">
        <v>8500</v>
      </c>
      <c r="J779">
        <v>20</v>
      </c>
      <c r="K779">
        <v>149600</v>
      </c>
      <c r="L779">
        <v>74800</v>
      </c>
      <c r="M779">
        <v>74800</v>
      </c>
      <c r="N779" t="s">
        <v>30</v>
      </c>
      <c r="O779" t="s">
        <v>44</v>
      </c>
      <c r="P779" t="s">
        <v>24</v>
      </c>
    </row>
    <row r="780" spans="1:16" x14ac:dyDescent="0.3">
      <c r="A780" t="s">
        <v>852</v>
      </c>
      <c r="B780" s="1">
        <v>44598</v>
      </c>
      <c r="C780" t="s">
        <v>17</v>
      </c>
      <c r="D780" t="s">
        <v>18</v>
      </c>
      <c r="E780" t="s">
        <v>56</v>
      </c>
      <c r="F780" t="s">
        <v>20</v>
      </c>
      <c r="G780" t="s">
        <v>115</v>
      </c>
      <c r="H780">
        <v>42</v>
      </c>
      <c r="I780">
        <v>2500</v>
      </c>
      <c r="J780">
        <v>0</v>
      </c>
      <c r="K780">
        <v>105000</v>
      </c>
      <c r="L780">
        <v>42000</v>
      </c>
      <c r="M780">
        <v>63000</v>
      </c>
      <c r="N780" t="s">
        <v>30</v>
      </c>
      <c r="O780" t="s">
        <v>50</v>
      </c>
      <c r="P780" t="s">
        <v>24</v>
      </c>
    </row>
    <row r="781" spans="1:16" x14ac:dyDescent="0.3">
      <c r="A781" t="s">
        <v>853</v>
      </c>
      <c r="B781" s="1">
        <v>45451</v>
      </c>
      <c r="C781" t="s">
        <v>17</v>
      </c>
      <c r="D781" t="s">
        <v>37</v>
      </c>
      <c r="E781" t="s">
        <v>78</v>
      </c>
      <c r="F781" t="s">
        <v>65</v>
      </c>
      <c r="G781" t="s">
        <v>117</v>
      </c>
      <c r="H781">
        <v>8</v>
      </c>
      <c r="I781">
        <v>1200</v>
      </c>
      <c r="J781">
        <v>5</v>
      </c>
      <c r="K781">
        <v>9120</v>
      </c>
      <c r="L781">
        <v>4104</v>
      </c>
      <c r="M781">
        <v>5016</v>
      </c>
      <c r="N781" t="s">
        <v>30</v>
      </c>
      <c r="O781" t="s">
        <v>44</v>
      </c>
      <c r="P781" t="s">
        <v>24</v>
      </c>
    </row>
    <row r="782" spans="1:16" x14ac:dyDescent="0.3">
      <c r="A782" t="s">
        <v>854</v>
      </c>
      <c r="B782" s="1">
        <v>45609</v>
      </c>
      <c r="C782" t="s">
        <v>17</v>
      </c>
      <c r="D782" t="s">
        <v>37</v>
      </c>
      <c r="E782" t="s">
        <v>38</v>
      </c>
      <c r="F782" t="s">
        <v>65</v>
      </c>
      <c r="G782" t="s">
        <v>104</v>
      </c>
      <c r="H782">
        <v>3</v>
      </c>
      <c r="I782">
        <v>3000</v>
      </c>
      <c r="J782">
        <v>20</v>
      </c>
      <c r="K782">
        <v>7200</v>
      </c>
      <c r="L782">
        <v>3240</v>
      </c>
      <c r="M782">
        <v>3960</v>
      </c>
      <c r="N782" t="s">
        <v>30</v>
      </c>
      <c r="O782" t="s">
        <v>67</v>
      </c>
      <c r="P782" t="s">
        <v>40</v>
      </c>
    </row>
    <row r="783" spans="1:16" x14ac:dyDescent="0.3">
      <c r="A783" t="s">
        <v>855</v>
      </c>
      <c r="B783" s="1">
        <v>45133</v>
      </c>
      <c r="C783" t="s">
        <v>46</v>
      </c>
      <c r="D783" t="s">
        <v>55</v>
      </c>
      <c r="E783" t="s">
        <v>19</v>
      </c>
      <c r="F783" t="s">
        <v>28</v>
      </c>
      <c r="G783" t="s">
        <v>71</v>
      </c>
      <c r="H783">
        <v>9</v>
      </c>
      <c r="I783">
        <v>35000</v>
      </c>
      <c r="J783">
        <v>20</v>
      </c>
      <c r="K783">
        <v>252000</v>
      </c>
      <c r="L783">
        <v>138600</v>
      </c>
      <c r="M783">
        <v>113400</v>
      </c>
      <c r="N783" t="s">
        <v>49</v>
      </c>
      <c r="O783" t="s">
        <v>44</v>
      </c>
      <c r="P783" t="s">
        <v>40</v>
      </c>
    </row>
    <row r="784" spans="1:16" x14ac:dyDescent="0.3">
      <c r="A784" t="s">
        <v>856</v>
      </c>
      <c r="B784" s="1">
        <v>44738</v>
      </c>
      <c r="C784" t="s">
        <v>58</v>
      </c>
      <c r="D784" t="s">
        <v>64</v>
      </c>
      <c r="E784" t="s">
        <v>38</v>
      </c>
      <c r="F784" t="s">
        <v>28</v>
      </c>
      <c r="G784" t="s">
        <v>87</v>
      </c>
      <c r="H784">
        <v>33</v>
      </c>
      <c r="I784">
        <v>45000</v>
      </c>
      <c r="J784">
        <v>15</v>
      </c>
      <c r="K784">
        <v>1262250</v>
      </c>
      <c r="L784">
        <v>694237.5</v>
      </c>
      <c r="M784">
        <v>568012.5</v>
      </c>
      <c r="N784" t="s">
        <v>49</v>
      </c>
      <c r="O784" t="s">
        <v>23</v>
      </c>
      <c r="P784" t="s">
        <v>40</v>
      </c>
    </row>
    <row r="785" spans="1:16" x14ac:dyDescent="0.3">
      <c r="A785" t="s">
        <v>857</v>
      </c>
      <c r="B785" s="1">
        <v>45580</v>
      </c>
      <c r="C785" t="s">
        <v>46</v>
      </c>
      <c r="D785" t="s">
        <v>55</v>
      </c>
      <c r="E785" t="s">
        <v>70</v>
      </c>
      <c r="F785" t="s">
        <v>65</v>
      </c>
      <c r="G785" t="s">
        <v>66</v>
      </c>
      <c r="H785">
        <v>31</v>
      </c>
      <c r="I785">
        <v>5500</v>
      </c>
      <c r="J785">
        <v>10</v>
      </c>
      <c r="K785">
        <v>153450</v>
      </c>
      <c r="L785">
        <v>69052.5</v>
      </c>
      <c r="M785">
        <v>84397.5</v>
      </c>
      <c r="N785" t="s">
        <v>49</v>
      </c>
      <c r="O785" t="s">
        <v>67</v>
      </c>
      <c r="P785" t="s">
        <v>40</v>
      </c>
    </row>
    <row r="786" spans="1:16" x14ac:dyDescent="0.3">
      <c r="A786" t="s">
        <v>858</v>
      </c>
      <c r="B786" s="1">
        <v>44627</v>
      </c>
      <c r="C786" t="s">
        <v>46</v>
      </c>
      <c r="D786" t="s">
        <v>47</v>
      </c>
      <c r="E786" t="s">
        <v>60</v>
      </c>
      <c r="F786" t="s">
        <v>20</v>
      </c>
      <c r="G786" t="s">
        <v>115</v>
      </c>
      <c r="H786">
        <v>14</v>
      </c>
      <c r="I786">
        <v>2500</v>
      </c>
      <c r="J786">
        <v>10</v>
      </c>
      <c r="K786">
        <v>31500</v>
      </c>
      <c r="L786">
        <v>12600</v>
      </c>
      <c r="M786">
        <v>18900</v>
      </c>
      <c r="N786" t="s">
        <v>49</v>
      </c>
      <c r="O786" t="s">
        <v>67</v>
      </c>
      <c r="P786" t="s">
        <v>24</v>
      </c>
    </row>
    <row r="787" spans="1:16" x14ac:dyDescent="0.3">
      <c r="A787" t="s">
        <v>859</v>
      </c>
      <c r="B787" s="1">
        <v>44892</v>
      </c>
      <c r="C787" t="s">
        <v>17</v>
      </c>
      <c r="D787" t="s">
        <v>37</v>
      </c>
      <c r="E787" t="s">
        <v>111</v>
      </c>
      <c r="F787" t="s">
        <v>28</v>
      </c>
      <c r="G787" t="s">
        <v>87</v>
      </c>
      <c r="H787">
        <v>49</v>
      </c>
      <c r="I787">
        <v>45000</v>
      </c>
      <c r="J787">
        <v>0</v>
      </c>
      <c r="K787">
        <v>2205000</v>
      </c>
      <c r="L787">
        <v>1212750</v>
      </c>
      <c r="M787">
        <v>992250</v>
      </c>
      <c r="N787" t="s">
        <v>49</v>
      </c>
      <c r="O787" t="s">
        <v>67</v>
      </c>
      <c r="P787" t="s">
        <v>24</v>
      </c>
    </row>
    <row r="788" spans="1:16" x14ac:dyDescent="0.3">
      <c r="A788" t="s">
        <v>860</v>
      </c>
      <c r="B788" s="1">
        <v>45238</v>
      </c>
      <c r="C788" t="s">
        <v>26</v>
      </c>
      <c r="D788" t="s">
        <v>69</v>
      </c>
      <c r="E788" t="s">
        <v>111</v>
      </c>
      <c r="F788" t="s">
        <v>33</v>
      </c>
      <c r="G788" t="s">
        <v>48</v>
      </c>
      <c r="H788">
        <v>29</v>
      </c>
      <c r="I788">
        <v>1500</v>
      </c>
      <c r="J788">
        <v>15</v>
      </c>
      <c r="K788">
        <v>36975</v>
      </c>
      <c r="L788">
        <v>18487.5</v>
      </c>
      <c r="M788">
        <v>18487.5</v>
      </c>
      <c r="N788" t="s">
        <v>49</v>
      </c>
      <c r="O788" t="s">
        <v>50</v>
      </c>
      <c r="P788" t="s">
        <v>24</v>
      </c>
    </row>
    <row r="789" spans="1:16" x14ac:dyDescent="0.3">
      <c r="A789" t="s">
        <v>861</v>
      </c>
      <c r="B789" s="1">
        <v>45515</v>
      </c>
      <c r="C789" t="s">
        <v>17</v>
      </c>
      <c r="D789" t="s">
        <v>37</v>
      </c>
      <c r="E789" t="s">
        <v>56</v>
      </c>
      <c r="F789" t="s">
        <v>20</v>
      </c>
      <c r="G789" t="s">
        <v>115</v>
      </c>
      <c r="H789">
        <v>15</v>
      </c>
      <c r="I789">
        <v>2500</v>
      </c>
      <c r="J789">
        <v>10</v>
      </c>
      <c r="K789">
        <v>33750</v>
      </c>
      <c r="L789">
        <v>13500</v>
      </c>
      <c r="M789">
        <v>20250</v>
      </c>
      <c r="N789" t="s">
        <v>49</v>
      </c>
      <c r="O789" t="s">
        <v>35</v>
      </c>
      <c r="P789" t="s">
        <v>24</v>
      </c>
    </row>
    <row r="790" spans="1:16" x14ac:dyDescent="0.3">
      <c r="A790" t="s">
        <v>862</v>
      </c>
      <c r="B790" s="1">
        <v>45134</v>
      </c>
      <c r="C790" t="s">
        <v>26</v>
      </c>
      <c r="D790" t="s">
        <v>69</v>
      </c>
      <c r="E790" t="s">
        <v>19</v>
      </c>
      <c r="F790" t="s">
        <v>28</v>
      </c>
      <c r="G790" t="s">
        <v>95</v>
      </c>
      <c r="H790">
        <v>5</v>
      </c>
      <c r="I790">
        <v>75000</v>
      </c>
      <c r="J790">
        <v>10</v>
      </c>
      <c r="K790">
        <v>337500</v>
      </c>
      <c r="L790">
        <v>185625</v>
      </c>
      <c r="M790">
        <v>151875</v>
      </c>
      <c r="N790" t="s">
        <v>22</v>
      </c>
      <c r="O790" t="s">
        <v>44</v>
      </c>
      <c r="P790" t="s">
        <v>24</v>
      </c>
    </row>
    <row r="791" spans="1:16" x14ac:dyDescent="0.3">
      <c r="A791" t="s">
        <v>863</v>
      </c>
      <c r="B791" s="1">
        <v>45206</v>
      </c>
      <c r="C791" t="s">
        <v>17</v>
      </c>
      <c r="D791" t="s">
        <v>37</v>
      </c>
      <c r="E791" t="s">
        <v>73</v>
      </c>
      <c r="F791" t="s">
        <v>33</v>
      </c>
      <c r="G791" t="s">
        <v>76</v>
      </c>
      <c r="H791">
        <v>46</v>
      </c>
      <c r="I791">
        <v>8500</v>
      </c>
      <c r="J791">
        <v>20</v>
      </c>
      <c r="K791">
        <v>312800</v>
      </c>
      <c r="L791">
        <v>156400</v>
      </c>
      <c r="M791">
        <v>156400</v>
      </c>
      <c r="N791" t="s">
        <v>22</v>
      </c>
      <c r="O791" t="s">
        <v>67</v>
      </c>
      <c r="P791" t="s">
        <v>24</v>
      </c>
    </row>
    <row r="792" spans="1:16" x14ac:dyDescent="0.3">
      <c r="A792" t="s">
        <v>864</v>
      </c>
      <c r="B792" s="1">
        <v>45047</v>
      </c>
      <c r="C792" t="s">
        <v>17</v>
      </c>
      <c r="D792" t="s">
        <v>37</v>
      </c>
      <c r="E792" t="s">
        <v>70</v>
      </c>
      <c r="F792" t="s">
        <v>65</v>
      </c>
      <c r="G792" t="s">
        <v>66</v>
      </c>
      <c r="H792">
        <v>38</v>
      </c>
      <c r="I792">
        <v>5500</v>
      </c>
      <c r="J792">
        <v>0</v>
      </c>
      <c r="K792">
        <v>209000</v>
      </c>
      <c r="L792">
        <v>94050</v>
      </c>
      <c r="M792">
        <v>114950</v>
      </c>
      <c r="N792" t="s">
        <v>22</v>
      </c>
      <c r="O792" t="s">
        <v>67</v>
      </c>
      <c r="P792" t="s">
        <v>24</v>
      </c>
    </row>
    <row r="793" spans="1:16" x14ac:dyDescent="0.3">
      <c r="A793" t="s">
        <v>865</v>
      </c>
      <c r="B793" s="1">
        <v>44862</v>
      </c>
      <c r="C793" t="s">
        <v>58</v>
      </c>
      <c r="D793" t="s">
        <v>84</v>
      </c>
      <c r="E793" t="s">
        <v>19</v>
      </c>
      <c r="F793" t="s">
        <v>20</v>
      </c>
      <c r="G793" t="s">
        <v>115</v>
      </c>
      <c r="H793">
        <v>15</v>
      </c>
      <c r="I793">
        <v>2500</v>
      </c>
      <c r="J793">
        <v>20</v>
      </c>
      <c r="K793">
        <v>30000</v>
      </c>
      <c r="L793">
        <v>12000</v>
      </c>
      <c r="M793">
        <v>18000</v>
      </c>
      <c r="N793" t="s">
        <v>22</v>
      </c>
      <c r="O793" t="s">
        <v>23</v>
      </c>
      <c r="P793" t="s">
        <v>40</v>
      </c>
    </row>
    <row r="794" spans="1:16" x14ac:dyDescent="0.3">
      <c r="A794" t="s">
        <v>866</v>
      </c>
      <c r="B794" s="1">
        <v>45454</v>
      </c>
      <c r="C794" t="s">
        <v>26</v>
      </c>
      <c r="D794" t="s">
        <v>69</v>
      </c>
      <c r="E794" t="s">
        <v>19</v>
      </c>
      <c r="F794" t="s">
        <v>65</v>
      </c>
      <c r="G794" t="s">
        <v>66</v>
      </c>
      <c r="H794">
        <v>14</v>
      </c>
      <c r="I794">
        <v>5500</v>
      </c>
      <c r="J794">
        <v>15</v>
      </c>
      <c r="K794">
        <v>65450</v>
      </c>
      <c r="L794">
        <v>29452.5</v>
      </c>
      <c r="M794">
        <v>35997.5</v>
      </c>
      <c r="N794" t="s">
        <v>22</v>
      </c>
      <c r="O794" t="s">
        <v>35</v>
      </c>
      <c r="P794" t="s">
        <v>24</v>
      </c>
    </row>
    <row r="795" spans="1:16" x14ac:dyDescent="0.3">
      <c r="A795" t="s">
        <v>867</v>
      </c>
      <c r="B795" s="1">
        <v>45265</v>
      </c>
      <c r="C795" t="s">
        <v>46</v>
      </c>
      <c r="D795" t="s">
        <v>55</v>
      </c>
      <c r="E795" t="s">
        <v>56</v>
      </c>
      <c r="F795" t="s">
        <v>65</v>
      </c>
      <c r="G795" t="s">
        <v>124</v>
      </c>
      <c r="H795">
        <v>22</v>
      </c>
      <c r="I795">
        <v>18000</v>
      </c>
      <c r="J795">
        <v>5</v>
      </c>
      <c r="K795">
        <v>376200</v>
      </c>
      <c r="L795">
        <v>169290</v>
      </c>
      <c r="M795">
        <v>206910</v>
      </c>
      <c r="N795" t="s">
        <v>49</v>
      </c>
      <c r="O795" t="s">
        <v>23</v>
      </c>
      <c r="P795" t="s">
        <v>24</v>
      </c>
    </row>
    <row r="796" spans="1:16" x14ac:dyDescent="0.3">
      <c r="A796" t="s">
        <v>868</v>
      </c>
      <c r="B796" s="1">
        <v>45606</v>
      </c>
      <c r="C796" t="s">
        <v>17</v>
      </c>
      <c r="D796" t="s">
        <v>42</v>
      </c>
      <c r="E796" t="s">
        <v>56</v>
      </c>
      <c r="F796" t="s">
        <v>28</v>
      </c>
      <c r="G796" t="s">
        <v>87</v>
      </c>
      <c r="H796">
        <v>10</v>
      </c>
      <c r="I796">
        <v>45000</v>
      </c>
      <c r="J796">
        <v>10</v>
      </c>
      <c r="K796">
        <v>405000</v>
      </c>
      <c r="L796">
        <v>222750</v>
      </c>
      <c r="M796">
        <v>182250</v>
      </c>
      <c r="N796" t="s">
        <v>22</v>
      </c>
      <c r="O796" t="s">
        <v>67</v>
      </c>
      <c r="P796" t="s">
        <v>40</v>
      </c>
    </row>
    <row r="797" spans="1:16" x14ac:dyDescent="0.3">
      <c r="A797" t="s">
        <v>869</v>
      </c>
      <c r="B797" s="1">
        <v>45335</v>
      </c>
      <c r="C797" t="s">
        <v>46</v>
      </c>
      <c r="D797" t="s">
        <v>55</v>
      </c>
      <c r="E797" t="s">
        <v>52</v>
      </c>
      <c r="F797" t="s">
        <v>65</v>
      </c>
      <c r="G797" t="s">
        <v>104</v>
      </c>
      <c r="H797">
        <v>31</v>
      </c>
      <c r="I797">
        <v>3000</v>
      </c>
      <c r="J797">
        <v>0</v>
      </c>
      <c r="K797">
        <v>93000</v>
      </c>
      <c r="L797">
        <v>41850</v>
      </c>
      <c r="M797">
        <v>51150</v>
      </c>
      <c r="N797" t="s">
        <v>22</v>
      </c>
      <c r="O797" t="s">
        <v>23</v>
      </c>
      <c r="P797" t="s">
        <v>24</v>
      </c>
    </row>
    <row r="798" spans="1:16" x14ac:dyDescent="0.3">
      <c r="A798" t="s">
        <v>870</v>
      </c>
      <c r="B798" s="1">
        <v>45141</v>
      </c>
      <c r="C798" t="s">
        <v>46</v>
      </c>
      <c r="D798" t="s">
        <v>47</v>
      </c>
      <c r="E798" t="s">
        <v>111</v>
      </c>
      <c r="F798" t="s">
        <v>20</v>
      </c>
      <c r="G798" t="s">
        <v>21</v>
      </c>
      <c r="H798">
        <v>45</v>
      </c>
      <c r="I798">
        <v>3500</v>
      </c>
      <c r="J798">
        <v>20</v>
      </c>
      <c r="K798">
        <v>126000</v>
      </c>
      <c r="L798">
        <v>50400</v>
      </c>
      <c r="M798">
        <v>75600</v>
      </c>
      <c r="N798" t="s">
        <v>30</v>
      </c>
      <c r="O798" t="s">
        <v>44</v>
      </c>
      <c r="P798" t="s">
        <v>24</v>
      </c>
    </row>
    <row r="799" spans="1:16" x14ac:dyDescent="0.3">
      <c r="A799" t="s">
        <v>871</v>
      </c>
      <c r="B799" s="1">
        <v>44929</v>
      </c>
      <c r="C799" t="s">
        <v>58</v>
      </c>
      <c r="D799" t="s">
        <v>59</v>
      </c>
      <c r="E799" t="s">
        <v>19</v>
      </c>
      <c r="F799" t="s">
        <v>20</v>
      </c>
      <c r="G799" t="s">
        <v>61</v>
      </c>
      <c r="H799">
        <v>43</v>
      </c>
      <c r="I799">
        <v>800</v>
      </c>
      <c r="J799">
        <v>20</v>
      </c>
      <c r="K799">
        <v>27520</v>
      </c>
      <c r="L799">
        <v>11008</v>
      </c>
      <c r="M799">
        <v>16512</v>
      </c>
      <c r="N799" t="s">
        <v>49</v>
      </c>
      <c r="O799" t="s">
        <v>35</v>
      </c>
      <c r="P799" t="s">
        <v>24</v>
      </c>
    </row>
    <row r="800" spans="1:16" x14ac:dyDescent="0.3">
      <c r="A800" t="s">
        <v>872</v>
      </c>
      <c r="B800" s="1">
        <v>45277</v>
      </c>
      <c r="C800" t="s">
        <v>26</v>
      </c>
      <c r="D800" t="s">
        <v>27</v>
      </c>
      <c r="E800" t="s">
        <v>70</v>
      </c>
      <c r="F800" t="s">
        <v>65</v>
      </c>
      <c r="G800" t="s">
        <v>66</v>
      </c>
      <c r="H800">
        <v>11</v>
      </c>
      <c r="I800">
        <v>5500</v>
      </c>
      <c r="J800">
        <v>0</v>
      </c>
      <c r="K800">
        <v>60500</v>
      </c>
      <c r="L800">
        <v>27225</v>
      </c>
      <c r="M800">
        <v>33275</v>
      </c>
      <c r="N800" t="s">
        <v>22</v>
      </c>
      <c r="O800" t="s">
        <v>23</v>
      </c>
      <c r="P800" t="s">
        <v>24</v>
      </c>
    </row>
    <row r="801" spans="1:16" x14ac:dyDescent="0.3">
      <c r="A801" t="s">
        <v>873</v>
      </c>
      <c r="B801" s="1">
        <v>45497</v>
      </c>
      <c r="C801" t="s">
        <v>26</v>
      </c>
      <c r="D801" t="s">
        <v>69</v>
      </c>
      <c r="E801" t="s">
        <v>19</v>
      </c>
      <c r="F801" t="s">
        <v>20</v>
      </c>
      <c r="G801" t="s">
        <v>74</v>
      </c>
      <c r="H801">
        <v>20</v>
      </c>
      <c r="I801">
        <v>4200</v>
      </c>
      <c r="J801">
        <v>15</v>
      </c>
      <c r="K801">
        <v>71400</v>
      </c>
      <c r="L801">
        <v>28560</v>
      </c>
      <c r="M801">
        <v>42840</v>
      </c>
      <c r="N801" t="s">
        <v>30</v>
      </c>
      <c r="O801" t="s">
        <v>67</v>
      </c>
      <c r="P801" t="s">
        <v>24</v>
      </c>
    </row>
    <row r="802" spans="1:16" x14ac:dyDescent="0.3">
      <c r="A802" t="s">
        <v>874</v>
      </c>
      <c r="B802" s="1">
        <v>45157</v>
      </c>
      <c r="C802" t="s">
        <v>46</v>
      </c>
      <c r="D802" t="s">
        <v>55</v>
      </c>
      <c r="E802" t="s">
        <v>73</v>
      </c>
      <c r="F802" t="s">
        <v>20</v>
      </c>
      <c r="G802" t="s">
        <v>21</v>
      </c>
      <c r="H802">
        <v>10</v>
      </c>
      <c r="I802">
        <v>3500</v>
      </c>
      <c r="J802">
        <v>15</v>
      </c>
      <c r="K802">
        <v>29750</v>
      </c>
      <c r="L802">
        <v>11900</v>
      </c>
      <c r="M802">
        <v>17850</v>
      </c>
      <c r="N802" t="s">
        <v>49</v>
      </c>
      <c r="O802" t="s">
        <v>67</v>
      </c>
      <c r="P802" t="s">
        <v>24</v>
      </c>
    </row>
    <row r="803" spans="1:16" x14ac:dyDescent="0.3">
      <c r="A803" t="s">
        <v>875</v>
      </c>
      <c r="B803" s="1">
        <v>45033</v>
      </c>
      <c r="C803" t="s">
        <v>17</v>
      </c>
      <c r="D803" t="s">
        <v>42</v>
      </c>
      <c r="E803" t="s">
        <v>60</v>
      </c>
      <c r="F803" t="s">
        <v>65</v>
      </c>
      <c r="G803" t="s">
        <v>66</v>
      </c>
      <c r="H803">
        <v>37</v>
      </c>
      <c r="I803">
        <v>5500</v>
      </c>
      <c r="J803">
        <v>0</v>
      </c>
      <c r="K803">
        <v>203500</v>
      </c>
      <c r="L803">
        <v>91575</v>
      </c>
      <c r="M803">
        <v>111925</v>
      </c>
      <c r="N803" t="s">
        <v>49</v>
      </c>
      <c r="O803" t="s">
        <v>23</v>
      </c>
      <c r="P803" t="s">
        <v>24</v>
      </c>
    </row>
    <row r="804" spans="1:16" x14ac:dyDescent="0.3">
      <c r="A804" t="s">
        <v>876</v>
      </c>
      <c r="B804" s="1">
        <v>45253</v>
      </c>
      <c r="C804" t="s">
        <v>17</v>
      </c>
      <c r="D804" t="s">
        <v>37</v>
      </c>
      <c r="E804" t="s">
        <v>38</v>
      </c>
      <c r="F804" t="s">
        <v>20</v>
      </c>
      <c r="G804" t="s">
        <v>115</v>
      </c>
      <c r="H804">
        <v>16</v>
      </c>
      <c r="I804">
        <v>2500</v>
      </c>
      <c r="J804">
        <v>5</v>
      </c>
      <c r="K804">
        <v>38000</v>
      </c>
      <c r="L804">
        <v>15200</v>
      </c>
      <c r="M804">
        <v>22800</v>
      </c>
      <c r="N804" t="s">
        <v>22</v>
      </c>
      <c r="O804" t="s">
        <v>23</v>
      </c>
      <c r="P804" t="s">
        <v>40</v>
      </c>
    </row>
    <row r="805" spans="1:16" x14ac:dyDescent="0.3">
      <c r="A805" t="s">
        <v>877</v>
      </c>
      <c r="B805" s="1">
        <v>45456</v>
      </c>
      <c r="C805" t="s">
        <v>46</v>
      </c>
      <c r="D805" t="s">
        <v>47</v>
      </c>
      <c r="E805" t="s">
        <v>32</v>
      </c>
      <c r="F805" t="s">
        <v>28</v>
      </c>
      <c r="G805" t="s">
        <v>87</v>
      </c>
      <c r="H805">
        <v>11</v>
      </c>
      <c r="I805">
        <v>45000</v>
      </c>
      <c r="J805">
        <v>10</v>
      </c>
      <c r="K805">
        <v>445500</v>
      </c>
      <c r="L805">
        <v>245025</v>
      </c>
      <c r="M805">
        <v>200475</v>
      </c>
      <c r="N805" t="s">
        <v>49</v>
      </c>
      <c r="O805" t="s">
        <v>35</v>
      </c>
      <c r="P805" t="s">
        <v>40</v>
      </c>
    </row>
    <row r="806" spans="1:16" x14ac:dyDescent="0.3">
      <c r="A806" t="s">
        <v>878</v>
      </c>
      <c r="B806" s="1">
        <v>44973</v>
      </c>
      <c r="C806" t="s">
        <v>58</v>
      </c>
      <c r="D806" t="s">
        <v>64</v>
      </c>
      <c r="E806" t="s">
        <v>52</v>
      </c>
      <c r="F806" t="s">
        <v>33</v>
      </c>
      <c r="G806" t="s">
        <v>39</v>
      </c>
      <c r="H806">
        <v>49</v>
      </c>
      <c r="I806">
        <v>5000</v>
      </c>
      <c r="J806">
        <v>0</v>
      </c>
      <c r="K806">
        <v>245000</v>
      </c>
      <c r="L806">
        <v>122500</v>
      </c>
      <c r="M806">
        <v>122500</v>
      </c>
      <c r="N806" t="s">
        <v>49</v>
      </c>
      <c r="O806" t="s">
        <v>23</v>
      </c>
      <c r="P806" t="s">
        <v>40</v>
      </c>
    </row>
    <row r="807" spans="1:16" x14ac:dyDescent="0.3">
      <c r="A807" t="s">
        <v>879</v>
      </c>
      <c r="B807" s="1">
        <v>45418</v>
      </c>
      <c r="C807" t="s">
        <v>17</v>
      </c>
      <c r="D807" t="s">
        <v>18</v>
      </c>
      <c r="E807" t="s">
        <v>111</v>
      </c>
      <c r="F807" t="s">
        <v>28</v>
      </c>
      <c r="G807" t="s">
        <v>85</v>
      </c>
      <c r="H807">
        <v>2</v>
      </c>
      <c r="I807">
        <v>8000</v>
      </c>
      <c r="J807">
        <v>0</v>
      </c>
      <c r="K807">
        <v>16000</v>
      </c>
      <c r="L807">
        <v>8800</v>
      </c>
      <c r="M807">
        <v>7200</v>
      </c>
      <c r="N807" t="s">
        <v>49</v>
      </c>
      <c r="O807" t="s">
        <v>50</v>
      </c>
      <c r="P807" t="s">
        <v>24</v>
      </c>
    </row>
    <row r="808" spans="1:16" x14ac:dyDescent="0.3">
      <c r="A808" t="s">
        <v>880</v>
      </c>
      <c r="B808" s="1">
        <v>45350</v>
      </c>
      <c r="C808" t="s">
        <v>46</v>
      </c>
      <c r="D808" t="s">
        <v>55</v>
      </c>
      <c r="E808" t="s">
        <v>56</v>
      </c>
      <c r="F808" t="s">
        <v>28</v>
      </c>
      <c r="G808" t="s">
        <v>71</v>
      </c>
      <c r="H808">
        <v>8</v>
      </c>
      <c r="I808">
        <v>35000</v>
      </c>
      <c r="J808">
        <v>5</v>
      </c>
      <c r="K808">
        <v>266000</v>
      </c>
      <c r="L808">
        <v>146300</v>
      </c>
      <c r="M808">
        <v>119700</v>
      </c>
      <c r="N808" t="s">
        <v>22</v>
      </c>
      <c r="O808" t="s">
        <v>23</v>
      </c>
      <c r="P808" t="s">
        <v>24</v>
      </c>
    </row>
    <row r="809" spans="1:16" x14ac:dyDescent="0.3">
      <c r="A809" t="s">
        <v>881</v>
      </c>
      <c r="B809" s="1">
        <v>45519</v>
      </c>
      <c r="C809" t="s">
        <v>26</v>
      </c>
      <c r="D809" t="s">
        <v>27</v>
      </c>
      <c r="E809" t="s">
        <v>111</v>
      </c>
      <c r="F809" t="s">
        <v>20</v>
      </c>
      <c r="G809" t="s">
        <v>115</v>
      </c>
      <c r="H809">
        <v>9</v>
      </c>
      <c r="I809">
        <v>2500</v>
      </c>
      <c r="J809">
        <v>15</v>
      </c>
      <c r="K809">
        <v>19125</v>
      </c>
      <c r="L809">
        <v>7650</v>
      </c>
      <c r="M809">
        <v>11475</v>
      </c>
      <c r="N809" t="s">
        <v>30</v>
      </c>
      <c r="O809" t="s">
        <v>44</v>
      </c>
      <c r="P809" t="s">
        <v>24</v>
      </c>
    </row>
    <row r="810" spans="1:16" x14ac:dyDescent="0.3">
      <c r="A810" t="s">
        <v>882</v>
      </c>
      <c r="B810" s="1">
        <v>44612</v>
      </c>
      <c r="C810" t="s">
        <v>26</v>
      </c>
      <c r="D810" t="s">
        <v>27</v>
      </c>
      <c r="E810" t="s">
        <v>73</v>
      </c>
      <c r="F810" t="s">
        <v>28</v>
      </c>
      <c r="G810" t="s">
        <v>29</v>
      </c>
      <c r="H810">
        <v>48</v>
      </c>
      <c r="I810">
        <v>15000</v>
      </c>
      <c r="J810">
        <v>15</v>
      </c>
      <c r="K810">
        <v>612000</v>
      </c>
      <c r="L810">
        <v>336600</v>
      </c>
      <c r="M810">
        <v>275400</v>
      </c>
      <c r="N810" t="s">
        <v>30</v>
      </c>
      <c r="O810" t="s">
        <v>35</v>
      </c>
      <c r="P810" t="s">
        <v>24</v>
      </c>
    </row>
    <row r="811" spans="1:16" x14ac:dyDescent="0.3">
      <c r="A811" t="s">
        <v>883</v>
      </c>
      <c r="B811" s="1">
        <v>45082</v>
      </c>
      <c r="C811" t="s">
        <v>58</v>
      </c>
      <c r="D811" t="s">
        <v>59</v>
      </c>
      <c r="E811" t="s">
        <v>78</v>
      </c>
      <c r="F811" t="s">
        <v>20</v>
      </c>
      <c r="G811" t="s">
        <v>21</v>
      </c>
      <c r="H811">
        <v>44</v>
      </c>
      <c r="I811">
        <v>3500</v>
      </c>
      <c r="J811">
        <v>20</v>
      </c>
      <c r="K811">
        <v>123200</v>
      </c>
      <c r="L811">
        <v>49280</v>
      </c>
      <c r="M811">
        <v>73920</v>
      </c>
      <c r="N811" t="s">
        <v>49</v>
      </c>
      <c r="O811" t="s">
        <v>35</v>
      </c>
      <c r="P811" t="s">
        <v>24</v>
      </c>
    </row>
    <row r="812" spans="1:16" x14ac:dyDescent="0.3">
      <c r="A812" t="s">
        <v>884</v>
      </c>
      <c r="B812" s="1">
        <v>45586</v>
      </c>
      <c r="C812" t="s">
        <v>26</v>
      </c>
      <c r="D812" t="s">
        <v>69</v>
      </c>
      <c r="E812" t="s">
        <v>73</v>
      </c>
      <c r="F812" t="s">
        <v>65</v>
      </c>
      <c r="G812" t="s">
        <v>117</v>
      </c>
      <c r="H812">
        <v>39</v>
      </c>
      <c r="I812">
        <v>1200</v>
      </c>
      <c r="J812">
        <v>0</v>
      </c>
      <c r="K812">
        <v>46800</v>
      </c>
      <c r="L812">
        <v>21060</v>
      </c>
      <c r="M812">
        <v>25740</v>
      </c>
      <c r="N812" t="s">
        <v>49</v>
      </c>
      <c r="O812" t="s">
        <v>44</v>
      </c>
      <c r="P812" t="s">
        <v>24</v>
      </c>
    </row>
    <row r="813" spans="1:16" x14ac:dyDescent="0.3">
      <c r="A813" t="s">
        <v>885</v>
      </c>
      <c r="B813" s="1">
        <v>45028</v>
      </c>
      <c r="C813" t="s">
        <v>46</v>
      </c>
      <c r="D813" t="s">
        <v>47</v>
      </c>
      <c r="E813" t="s">
        <v>52</v>
      </c>
      <c r="F813" t="s">
        <v>28</v>
      </c>
      <c r="G813" t="s">
        <v>85</v>
      </c>
      <c r="H813">
        <v>2</v>
      </c>
      <c r="I813">
        <v>8000</v>
      </c>
      <c r="J813">
        <v>0</v>
      </c>
      <c r="K813">
        <v>16000</v>
      </c>
      <c r="L813">
        <v>8800</v>
      </c>
      <c r="M813">
        <v>7200</v>
      </c>
      <c r="N813" t="s">
        <v>30</v>
      </c>
      <c r="O813" t="s">
        <v>35</v>
      </c>
      <c r="P813" t="s">
        <v>24</v>
      </c>
    </row>
    <row r="814" spans="1:16" x14ac:dyDescent="0.3">
      <c r="A814" t="s">
        <v>886</v>
      </c>
      <c r="B814" s="1">
        <v>44989</v>
      </c>
      <c r="C814" t="s">
        <v>46</v>
      </c>
      <c r="D814" t="s">
        <v>47</v>
      </c>
      <c r="E814" t="s">
        <v>56</v>
      </c>
      <c r="F814" t="s">
        <v>65</v>
      </c>
      <c r="G814" t="s">
        <v>79</v>
      </c>
      <c r="H814">
        <v>7</v>
      </c>
      <c r="I814">
        <v>900</v>
      </c>
      <c r="J814">
        <v>10</v>
      </c>
      <c r="K814">
        <v>5670</v>
      </c>
      <c r="L814">
        <v>2551.5</v>
      </c>
      <c r="M814">
        <v>3118.5</v>
      </c>
      <c r="N814" t="s">
        <v>22</v>
      </c>
      <c r="O814" t="s">
        <v>44</v>
      </c>
      <c r="P814" t="s">
        <v>24</v>
      </c>
    </row>
    <row r="815" spans="1:16" x14ac:dyDescent="0.3">
      <c r="A815" t="s">
        <v>887</v>
      </c>
      <c r="B815" s="1">
        <v>44975</v>
      </c>
      <c r="C815" t="s">
        <v>58</v>
      </c>
      <c r="D815" t="s">
        <v>59</v>
      </c>
      <c r="E815" t="s">
        <v>52</v>
      </c>
      <c r="F815" t="s">
        <v>20</v>
      </c>
      <c r="G815" t="s">
        <v>74</v>
      </c>
      <c r="H815">
        <v>7</v>
      </c>
      <c r="I815">
        <v>4200</v>
      </c>
      <c r="J815">
        <v>10</v>
      </c>
      <c r="K815">
        <v>26460</v>
      </c>
      <c r="L815">
        <v>10584</v>
      </c>
      <c r="M815">
        <v>15876</v>
      </c>
      <c r="N815" t="s">
        <v>30</v>
      </c>
      <c r="O815" t="s">
        <v>35</v>
      </c>
      <c r="P815" t="s">
        <v>24</v>
      </c>
    </row>
    <row r="816" spans="1:16" x14ac:dyDescent="0.3">
      <c r="A816" t="s">
        <v>888</v>
      </c>
      <c r="B816" s="1">
        <v>45343</v>
      </c>
      <c r="C816" t="s">
        <v>17</v>
      </c>
      <c r="D816" t="s">
        <v>18</v>
      </c>
      <c r="E816" t="s">
        <v>32</v>
      </c>
      <c r="F816" t="s">
        <v>20</v>
      </c>
      <c r="G816" t="s">
        <v>115</v>
      </c>
      <c r="H816">
        <v>15</v>
      </c>
      <c r="I816">
        <v>2500</v>
      </c>
      <c r="J816">
        <v>0</v>
      </c>
      <c r="K816">
        <v>37500</v>
      </c>
      <c r="L816">
        <v>15000</v>
      </c>
      <c r="M816">
        <v>22500</v>
      </c>
      <c r="N816" t="s">
        <v>22</v>
      </c>
      <c r="O816" t="s">
        <v>67</v>
      </c>
      <c r="P816" t="s">
        <v>24</v>
      </c>
    </row>
    <row r="817" spans="1:16" x14ac:dyDescent="0.3">
      <c r="A817" t="s">
        <v>889</v>
      </c>
      <c r="B817" s="1">
        <v>45262</v>
      </c>
      <c r="C817" t="s">
        <v>26</v>
      </c>
      <c r="D817" t="s">
        <v>27</v>
      </c>
      <c r="E817" t="s">
        <v>32</v>
      </c>
      <c r="F817" t="s">
        <v>33</v>
      </c>
      <c r="G817" t="s">
        <v>43</v>
      </c>
      <c r="H817">
        <v>32</v>
      </c>
      <c r="I817">
        <v>4000</v>
      </c>
      <c r="J817">
        <v>0</v>
      </c>
      <c r="K817">
        <v>128000</v>
      </c>
      <c r="L817">
        <v>64000</v>
      </c>
      <c r="M817">
        <v>64000</v>
      </c>
      <c r="N817" t="s">
        <v>22</v>
      </c>
      <c r="O817" t="s">
        <v>44</v>
      </c>
      <c r="P817" t="s">
        <v>40</v>
      </c>
    </row>
    <row r="818" spans="1:16" x14ac:dyDescent="0.3">
      <c r="A818" t="s">
        <v>890</v>
      </c>
      <c r="B818" s="1">
        <v>45050</v>
      </c>
      <c r="C818" t="s">
        <v>17</v>
      </c>
      <c r="D818" t="s">
        <v>42</v>
      </c>
      <c r="E818" t="s">
        <v>32</v>
      </c>
      <c r="F818" t="s">
        <v>20</v>
      </c>
      <c r="G818" t="s">
        <v>61</v>
      </c>
      <c r="H818">
        <v>12</v>
      </c>
      <c r="I818">
        <v>800</v>
      </c>
      <c r="J818">
        <v>10</v>
      </c>
      <c r="K818">
        <v>8640</v>
      </c>
      <c r="L818">
        <v>3456</v>
      </c>
      <c r="M818">
        <v>5184</v>
      </c>
      <c r="N818" t="s">
        <v>30</v>
      </c>
      <c r="O818" t="s">
        <v>50</v>
      </c>
      <c r="P818" t="s">
        <v>24</v>
      </c>
    </row>
    <row r="819" spans="1:16" x14ac:dyDescent="0.3">
      <c r="A819" t="s">
        <v>891</v>
      </c>
      <c r="B819" s="1">
        <v>44612</v>
      </c>
      <c r="C819" t="s">
        <v>58</v>
      </c>
      <c r="D819" t="s">
        <v>59</v>
      </c>
      <c r="E819" t="s">
        <v>111</v>
      </c>
      <c r="F819" t="s">
        <v>20</v>
      </c>
      <c r="G819" t="s">
        <v>53</v>
      </c>
      <c r="H819">
        <v>38</v>
      </c>
      <c r="I819">
        <v>600</v>
      </c>
      <c r="J819">
        <v>0</v>
      </c>
      <c r="K819">
        <v>22800</v>
      </c>
      <c r="L819">
        <v>9120</v>
      </c>
      <c r="M819">
        <v>13680</v>
      </c>
      <c r="N819" t="s">
        <v>30</v>
      </c>
      <c r="O819" t="s">
        <v>67</v>
      </c>
      <c r="P819" t="s">
        <v>24</v>
      </c>
    </row>
    <row r="820" spans="1:16" x14ac:dyDescent="0.3">
      <c r="A820" t="s">
        <v>892</v>
      </c>
      <c r="B820" s="1">
        <v>44783</v>
      </c>
      <c r="C820" t="s">
        <v>46</v>
      </c>
      <c r="D820" t="s">
        <v>55</v>
      </c>
      <c r="E820" t="s">
        <v>19</v>
      </c>
      <c r="F820" t="s">
        <v>28</v>
      </c>
      <c r="G820" t="s">
        <v>95</v>
      </c>
      <c r="H820">
        <v>9</v>
      </c>
      <c r="I820">
        <v>75000</v>
      </c>
      <c r="J820">
        <v>10</v>
      </c>
      <c r="K820">
        <v>607500</v>
      </c>
      <c r="L820">
        <v>334125</v>
      </c>
      <c r="M820">
        <v>273375</v>
      </c>
      <c r="N820" t="s">
        <v>49</v>
      </c>
      <c r="O820" t="s">
        <v>44</v>
      </c>
      <c r="P820" t="s">
        <v>24</v>
      </c>
    </row>
    <row r="821" spans="1:16" x14ac:dyDescent="0.3">
      <c r="A821" t="s">
        <v>893</v>
      </c>
      <c r="B821" s="1">
        <v>44847</v>
      </c>
      <c r="C821" t="s">
        <v>46</v>
      </c>
      <c r="D821" t="s">
        <v>47</v>
      </c>
      <c r="E821" t="s">
        <v>19</v>
      </c>
      <c r="F821" t="s">
        <v>65</v>
      </c>
      <c r="G821" t="s">
        <v>124</v>
      </c>
      <c r="H821">
        <v>9</v>
      </c>
      <c r="I821">
        <v>18000</v>
      </c>
      <c r="J821">
        <v>10</v>
      </c>
      <c r="K821">
        <v>145800</v>
      </c>
      <c r="L821">
        <v>65610</v>
      </c>
      <c r="M821">
        <v>80190</v>
      </c>
      <c r="N821" t="s">
        <v>22</v>
      </c>
      <c r="O821" t="s">
        <v>35</v>
      </c>
      <c r="P821" t="s">
        <v>24</v>
      </c>
    </row>
    <row r="822" spans="1:16" x14ac:dyDescent="0.3">
      <c r="A822" t="s">
        <v>894</v>
      </c>
      <c r="B822" s="1">
        <v>45591</v>
      </c>
      <c r="C822" t="s">
        <v>58</v>
      </c>
      <c r="D822" t="s">
        <v>64</v>
      </c>
      <c r="E822" t="s">
        <v>73</v>
      </c>
      <c r="F822" t="s">
        <v>28</v>
      </c>
      <c r="G822" t="s">
        <v>87</v>
      </c>
      <c r="H822">
        <v>47</v>
      </c>
      <c r="I822">
        <v>45000</v>
      </c>
      <c r="J822">
        <v>10</v>
      </c>
      <c r="K822">
        <v>1903500</v>
      </c>
      <c r="L822">
        <v>1046925</v>
      </c>
      <c r="M822">
        <v>856575</v>
      </c>
      <c r="N822" t="s">
        <v>30</v>
      </c>
      <c r="O822" t="s">
        <v>44</v>
      </c>
      <c r="P822" t="s">
        <v>24</v>
      </c>
    </row>
    <row r="823" spans="1:16" x14ac:dyDescent="0.3">
      <c r="A823" t="s">
        <v>895</v>
      </c>
      <c r="B823" s="1">
        <v>45598</v>
      </c>
      <c r="C823" t="s">
        <v>46</v>
      </c>
      <c r="D823" t="s">
        <v>47</v>
      </c>
      <c r="E823" t="s">
        <v>38</v>
      </c>
      <c r="F823" t="s">
        <v>65</v>
      </c>
      <c r="G823" t="s">
        <v>79</v>
      </c>
      <c r="H823">
        <v>21</v>
      </c>
      <c r="I823">
        <v>900</v>
      </c>
      <c r="J823">
        <v>5</v>
      </c>
      <c r="K823">
        <v>17955</v>
      </c>
      <c r="L823">
        <v>8079.75</v>
      </c>
      <c r="M823">
        <v>9875.25</v>
      </c>
      <c r="N823" t="s">
        <v>22</v>
      </c>
      <c r="O823" t="s">
        <v>35</v>
      </c>
      <c r="P823" t="s">
        <v>24</v>
      </c>
    </row>
    <row r="824" spans="1:16" x14ac:dyDescent="0.3">
      <c r="A824" t="s">
        <v>896</v>
      </c>
      <c r="B824" s="1">
        <v>44709</v>
      </c>
      <c r="C824" t="s">
        <v>58</v>
      </c>
      <c r="D824" t="s">
        <v>84</v>
      </c>
      <c r="E824" t="s">
        <v>19</v>
      </c>
      <c r="F824" t="s">
        <v>28</v>
      </c>
      <c r="G824" t="s">
        <v>87</v>
      </c>
      <c r="H824">
        <v>14</v>
      </c>
      <c r="I824">
        <v>45000</v>
      </c>
      <c r="J824">
        <v>5</v>
      </c>
      <c r="K824">
        <v>598500</v>
      </c>
      <c r="L824">
        <v>329175</v>
      </c>
      <c r="M824">
        <v>269325</v>
      </c>
      <c r="N824" t="s">
        <v>30</v>
      </c>
      <c r="O824" t="s">
        <v>67</v>
      </c>
      <c r="P824" t="s">
        <v>24</v>
      </c>
    </row>
    <row r="825" spans="1:16" x14ac:dyDescent="0.3">
      <c r="A825" t="s">
        <v>897</v>
      </c>
      <c r="B825" s="1">
        <v>45653</v>
      </c>
      <c r="C825" t="s">
        <v>46</v>
      </c>
      <c r="D825" t="s">
        <v>47</v>
      </c>
      <c r="E825" t="s">
        <v>111</v>
      </c>
      <c r="F825" t="s">
        <v>28</v>
      </c>
      <c r="G825" t="s">
        <v>85</v>
      </c>
      <c r="H825">
        <v>47</v>
      </c>
      <c r="I825">
        <v>8000</v>
      </c>
      <c r="J825">
        <v>15</v>
      </c>
      <c r="K825">
        <v>319600</v>
      </c>
      <c r="L825">
        <v>175780</v>
      </c>
      <c r="M825">
        <v>143820</v>
      </c>
      <c r="N825" t="s">
        <v>30</v>
      </c>
      <c r="O825" t="s">
        <v>44</v>
      </c>
      <c r="P825" t="s">
        <v>24</v>
      </c>
    </row>
    <row r="826" spans="1:16" x14ac:dyDescent="0.3">
      <c r="A826" t="s">
        <v>898</v>
      </c>
      <c r="B826" s="1">
        <v>45030</v>
      </c>
      <c r="C826" t="s">
        <v>46</v>
      </c>
      <c r="D826" t="s">
        <v>47</v>
      </c>
      <c r="E826" t="s">
        <v>73</v>
      </c>
      <c r="F826" t="s">
        <v>33</v>
      </c>
      <c r="G826" t="s">
        <v>43</v>
      </c>
      <c r="H826">
        <v>29</v>
      </c>
      <c r="I826">
        <v>4000</v>
      </c>
      <c r="J826">
        <v>5</v>
      </c>
      <c r="K826">
        <v>110200</v>
      </c>
      <c r="L826">
        <v>55100</v>
      </c>
      <c r="M826">
        <v>55100</v>
      </c>
      <c r="N826" t="s">
        <v>49</v>
      </c>
      <c r="O826" t="s">
        <v>35</v>
      </c>
      <c r="P826" t="s">
        <v>24</v>
      </c>
    </row>
    <row r="827" spans="1:16" x14ac:dyDescent="0.3">
      <c r="A827" t="s">
        <v>899</v>
      </c>
      <c r="B827" s="1">
        <v>45273</v>
      </c>
      <c r="C827" t="s">
        <v>58</v>
      </c>
      <c r="D827" t="s">
        <v>84</v>
      </c>
      <c r="E827" t="s">
        <v>60</v>
      </c>
      <c r="F827" t="s">
        <v>65</v>
      </c>
      <c r="G827" t="s">
        <v>66</v>
      </c>
      <c r="H827">
        <v>33</v>
      </c>
      <c r="I827">
        <v>5500</v>
      </c>
      <c r="J827">
        <v>20</v>
      </c>
      <c r="K827">
        <v>145200</v>
      </c>
      <c r="L827">
        <v>65340</v>
      </c>
      <c r="M827">
        <v>79860</v>
      </c>
      <c r="N827" t="s">
        <v>30</v>
      </c>
      <c r="O827" t="s">
        <v>23</v>
      </c>
      <c r="P827" t="s">
        <v>24</v>
      </c>
    </row>
    <row r="828" spans="1:16" x14ac:dyDescent="0.3">
      <c r="A828" t="s">
        <v>900</v>
      </c>
      <c r="B828" s="1">
        <v>44617</v>
      </c>
      <c r="C828" t="s">
        <v>58</v>
      </c>
      <c r="D828" t="s">
        <v>59</v>
      </c>
      <c r="E828" t="s">
        <v>52</v>
      </c>
      <c r="F828" t="s">
        <v>33</v>
      </c>
      <c r="G828" t="s">
        <v>43</v>
      </c>
      <c r="H828">
        <v>35</v>
      </c>
      <c r="I828">
        <v>4000</v>
      </c>
      <c r="J828">
        <v>5</v>
      </c>
      <c r="K828">
        <v>133000</v>
      </c>
      <c r="L828">
        <v>66500</v>
      </c>
      <c r="M828">
        <v>66500</v>
      </c>
      <c r="N828" t="s">
        <v>22</v>
      </c>
      <c r="O828" t="s">
        <v>44</v>
      </c>
      <c r="P828" t="s">
        <v>40</v>
      </c>
    </row>
    <row r="829" spans="1:16" x14ac:dyDescent="0.3">
      <c r="A829" t="s">
        <v>901</v>
      </c>
      <c r="B829" s="1">
        <v>45059</v>
      </c>
      <c r="C829" t="s">
        <v>58</v>
      </c>
      <c r="D829" t="s">
        <v>59</v>
      </c>
      <c r="E829" t="s">
        <v>60</v>
      </c>
      <c r="F829" t="s">
        <v>33</v>
      </c>
      <c r="G829" t="s">
        <v>48</v>
      </c>
      <c r="H829">
        <v>36</v>
      </c>
      <c r="I829">
        <v>1500</v>
      </c>
      <c r="J829">
        <v>20</v>
      </c>
      <c r="K829">
        <v>43200</v>
      </c>
      <c r="L829">
        <v>21600</v>
      </c>
      <c r="M829">
        <v>21600</v>
      </c>
      <c r="N829" t="s">
        <v>30</v>
      </c>
      <c r="O829" t="s">
        <v>50</v>
      </c>
      <c r="P829" t="s">
        <v>24</v>
      </c>
    </row>
    <row r="830" spans="1:16" x14ac:dyDescent="0.3">
      <c r="A830" t="s">
        <v>902</v>
      </c>
      <c r="B830" s="1">
        <v>44827</v>
      </c>
      <c r="C830" t="s">
        <v>58</v>
      </c>
      <c r="D830" t="s">
        <v>84</v>
      </c>
      <c r="E830" t="s">
        <v>78</v>
      </c>
      <c r="F830" t="s">
        <v>20</v>
      </c>
      <c r="G830" t="s">
        <v>21</v>
      </c>
      <c r="H830">
        <v>1</v>
      </c>
      <c r="I830">
        <v>3500</v>
      </c>
      <c r="J830">
        <v>20</v>
      </c>
      <c r="K830">
        <v>2800</v>
      </c>
      <c r="L830">
        <v>1120</v>
      </c>
      <c r="M830">
        <v>1680</v>
      </c>
      <c r="N830" t="s">
        <v>49</v>
      </c>
      <c r="O830" t="s">
        <v>23</v>
      </c>
      <c r="P830" t="s">
        <v>24</v>
      </c>
    </row>
    <row r="831" spans="1:16" x14ac:dyDescent="0.3">
      <c r="A831" t="s">
        <v>903</v>
      </c>
      <c r="B831" s="1">
        <v>45364</v>
      </c>
      <c r="C831" t="s">
        <v>17</v>
      </c>
      <c r="D831" t="s">
        <v>37</v>
      </c>
      <c r="E831" t="s">
        <v>60</v>
      </c>
      <c r="F831" t="s">
        <v>33</v>
      </c>
      <c r="G831" t="s">
        <v>43</v>
      </c>
      <c r="H831">
        <v>5</v>
      </c>
      <c r="I831">
        <v>4000</v>
      </c>
      <c r="J831">
        <v>15</v>
      </c>
      <c r="K831">
        <v>17000</v>
      </c>
      <c r="L831">
        <v>8500</v>
      </c>
      <c r="M831">
        <v>8500</v>
      </c>
      <c r="N831" t="s">
        <v>30</v>
      </c>
      <c r="O831" t="s">
        <v>23</v>
      </c>
      <c r="P831" t="s">
        <v>24</v>
      </c>
    </row>
    <row r="832" spans="1:16" x14ac:dyDescent="0.3">
      <c r="A832" t="s">
        <v>904</v>
      </c>
      <c r="B832" s="1">
        <v>44872</v>
      </c>
      <c r="C832" t="s">
        <v>58</v>
      </c>
      <c r="D832" t="s">
        <v>59</v>
      </c>
      <c r="E832" t="s">
        <v>70</v>
      </c>
      <c r="F832" t="s">
        <v>65</v>
      </c>
      <c r="G832" t="s">
        <v>124</v>
      </c>
      <c r="H832">
        <v>45</v>
      </c>
      <c r="I832">
        <v>18000</v>
      </c>
      <c r="J832">
        <v>0</v>
      </c>
      <c r="K832">
        <v>810000</v>
      </c>
      <c r="L832">
        <v>364500</v>
      </c>
      <c r="M832">
        <v>445500</v>
      </c>
      <c r="N832" t="s">
        <v>49</v>
      </c>
      <c r="O832" t="s">
        <v>44</v>
      </c>
      <c r="P832" t="s">
        <v>24</v>
      </c>
    </row>
    <row r="833" spans="1:16" x14ac:dyDescent="0.3">
      <c r="A833" t="s">
        <v>905</v>
      </c>
      <c r="B833" s="1">
        <v>45032</v>
      </c>
      <c r="C833" t="s">
        <v>26</v>
      </c>
      <c r="D833" t="s">
        <v>69</v>
      </c>
      <c r="E833" t="s">
        <v>56</v>
      </c>
      <c r="F833" t="s">
        <v>20</v>
      </c>
      <c r="G833" t="s">
        <v>61</v>
      </c>
      <c r="H833">
        <v>39</v>
      </c>
      <c r="I833">
        <v>800</v>
      </c>
      <c r="J833">
        <v>15</v>
      </c>
      <c r="K833">
        <v>26520</v>
      </c>
      <c r="L833">
        <v>10608</v>
      </c>
      <c r="M833">
        <v>15912</v>
      </c>
      <c r="N833" t="s">
        <v>49</v>
      </c>
      <c r="O833" t="s">
        <v>44</v>
      </c>
      <c r="P833" t="s">
        <v>24</v>
      </c>
    </row>
    <row r="834" spans="1:16" x14ac:dyDescent="0.3">
      <c r="A834" t="s">
        <v>906</v>
      </c>
      <c r="B834" s="1">
        <v>44866</v>
      </c>
      <c r="C834" t="s">
        <v>26</v>
      </c>
      <c r="D834" t="s">
        <v>27</v>
      </c>
      <c r="E834" t="s">
        <v>32</v>
      </c>
      <c r="F834" t="s">
        <v>65</v>
      </c>
      <c r="G834" t="s">
        <v>79</v>
      </c>
      <c r="H834">
        <v>6</v>
      </c>
      <c r="I834">
        <v>900</v>
      </c>
      <c r="J834">
        <v>20</v>
      </c>
      <c r="K834">
        <v>4320</v>
      </c>
      <c r="L834">
        <v>1944</v>
      </c>
      <c r="M834">
        <v>2376</v>
      </c>
      <c r="N834" t="s">
        <v>49</v>
      </c>
      <c r="O834" t="s">
        <v>44</v>
      </c>
      <c r="P834" t="s">
        <v>24</v>
      </c>
    </row>
    <row r="835" spans="1:16" x14ac:dyDescent="0.3">
      <c r="A835" t="s">
        <v>907</v>
      </c>
      <c r="B835" s="1">
        <v>45391</v>
      </c>
      <c r="C835" t="s">
        <v>17</v>
      </c>
      <c r="D835" t="s">
        <v>42</v>
      </c>
      <c r="E835" t="s">
        <v>111</v>
      </c>
      <c r="F835" t="s">
        <v>65</v>
      </c>
      <c r="G835" t="s">
        <v>79</v>
      </c>
      <c r="H835">
        <v>20</v>
      </c>
      <c r="I835">
        <v>900</v>
      </c>
      <c r="J835">
        <v>15</v>
      </c>
      <c r="K835">
        <v>15300</v>
      </c>
      <c r="L835">
        <v>6885</v>
      </c>
      <c r="M835">
        <v>8415</v>
      </c>
      <c r="N835" t="s">
        <v>30</v>
      </c>
      <c r="O835" t="s">
        <v>67</v>
      </c>
      <c r="P835" t="s">
        <v>24</v>
      </c>
    </row>
    <row r="836" spans="1:16" x14ac:dyDescent="0.3">
      <c r="A836" t="s">
        <v>908</v>
      </c>
      <c r="B836" s="1">
        <v>45257</v>
      </c>
      <c r="C836" t="s">
        <v>46</v>
      </c>
      <c r="D836" t="s">
        <v>55</v>
      </c>
      <c r="E836" t="s">
        <v>19</v>
      </c>
      <c r="F836" t="s">
        <v>65</v>
      </c>
      <c r="G836" t="s">
        <v>124</v>
      </c>
      <c r="H836">
        <v>1</v>
      </c>
      <c r="I836">
        <v>18000</v>
      </c>
      <c r="J836">
        <v>5</v>
      </c>
      <c r="K836">
        <v>17100</v>
      </c>
      <c r="L836">
        <v>7695</v>
      </c>
      <c r="M836">
        <v>9405</v>
      </c>
      <c r="N836" t="s">
        <v>30</v>
      </c>
      <c r="O836" t="s">
        <v>35</v>
      </c>
      <c r="P836" t="s">
        <v>24</v>
      </c>
    </row>
    <row r="837" spans="1:16" x14ac:dyDescent="0.3">
      <c r="A837" t="s">
        <v>909</v>
      </c>
      <c r="B837" s="1">
        <v>44706</v>
      </c>
      <c r="C837" t="s">
        <v>58</v>
      </c>
      <c r="D837" t="s">
        <v>64</v>
      </c>
      <c r="E837" t="s">
        <v>32</v>
      </c>
      <c r="F837" t="s">
        <v>33</v>
      </c>
      <c r="G837" t="s">
        <v>48</v>
      </c>
      <c r="H837">
        <v>11</v>
      </c>
      <c r="I837">
        <v>1500</v>
      </c>
      <c r="J837">
        <v>5</v>
      </c>
      <c r="K837">
        <v>15675</v>
      </c>
      <c r="L837">
        <v>7837.5</v>
      </c>
      <c r="M837">
        <v>7837.5</v>
      </c>
      <c r="N837" t="s">
        <v>30</v>
      </c>
      <c r="O837" t="s">
        <v>44</v>
      </c>
      <c r="P837" t="s">
        <v>24</v>
      </c>
    </row>
    <row r="838" spans="1:16" x14ac:dyDescent="0.3">
      <c r="A838" t="s">
        <v>910</v>
      </c>
      <c r="B838" s="1">
        <v>44942</v>
      </c>
      <c r="C838" t="s">
        <v>46</v>
      </c>
      <c r="D838" t="s">
        <v>47</v>
      </c>
      <c r="E838" t="s">
        <v>60</v>
      </c>
      <c r="F838" t="s">
        <v>20</v>
      </c>
      <c r="G838" t="s">
        <v>74</v>
      </c>
      <c r="H838">
        <v>13</v>
      </c>
      <c r="I838">
        <v>4200</v>
      </c>
      <c r="J838">
        <v>0</v>
      </c>
      <c r="K838">
        <v>54600</v>
      </c>
      <c r="L838">
        <v>21840</v>
      </c>
      <c r="M838">
        <v>32760</v>
      </c>
      <c r="N838" t="s">
        <v>30</v>
      </c>
      <c r="O838" t="s">
        <v>50</v>
      </c>
      <c r="P838" t="s">
        <v>24</v>
      </c>
    </row>
    <row r="839" spans="1:16" x14ac:dyDescent="0.3">
      <c r="A839" t="s">
        <v>911</v>
      </c>
      <c r="B839" s="1">
        <v>45366</v>
      </c>
      <c r="C839" t="s">
        <v>26</v>
      </c>
      <c r="D839" t="s">
        <v>27</v>
      </c>
      <c r="E839" t="s">
        <v>52</v>
      </c>
      <c r="F839" t="s">
        <v>33</v>
      </c>
      <c r="G839" t="s">
        <v>39</v>
      </c>
      <c r="H839">
        <v>25</v>
      </c>
      <c r="I839">
        <v>5000</v>
      </c>
      <c r="J839">
        <v>0</v>
      </c>
      <c r="K839">
        <v>125000</v>
      </c>
      <c r="L839">
        <v>62500</v>
      </c>
      <c r="M839">
        <v>62500</v>
      </c>
      <c r="N839" t="s">
        <v>30</v>
      </c>
      <c r="O839" t="s">
        <v>50</v>
      </c>
      <c r="P839" t="s">
        <v>24</v>
      </c>
    </row>
    <row r="840" spans="1:16" x14ac:dyDescent="0.3">
      <c r="A840" t="s">
        <v>912</v>
      </c>
      <c r="B840" s="1">
        <v>44611</v>
      </c>
      <c r="C840" t="s">
        <v>46</v>
      </c>
      <c r="D840" t="s">
        <v>55</v>
      </c>
      <c r="E840" t="s">
        <v>60</v>
      </c>
      <c r="F840" t="s">
        <v>28</v>
      </c>
      <c r="G840" t="s">
        <v>95</v>
      </c>
      <c r="H840">
        <v>4</v>
      </c>
      <c r="I840">
        <v>75000</v>
      </c>
      <c r="J840">
        <v>10</v>
      </c>
      <c r="K840">
        <v>270000</v>
      </c>
      <c r="L840">
        <v>148500</v>
      </c>
      <c r="M840">
        <v>121500</v>
      </c>
      <c r="N840" t="s">
        <v>22</v>
      </c>
      <c r="O840" t="s">
        <v>67</v>
      </c>
      <c r="P840" t="s">
        <v>24</v>
      </c>
    </row>
    <row r="841" spans="1:16" x14ac:dyDescent="0.3">
      <c r="A841" t="s">
        <v>913</v>
      </c>
      <c r="B841" s="1">
        <v>44624</v>
      </c>
      <c r="C841" t="s">
        <v>46</v>
      </c>
      <c r="D841" t="s">
        <v>47</v>
      </c>
      <c r="E841" t="s">
        <v>32</v>
      </c>
      <c r="F841" t="s">
        <v>33</v>
      </c>
      <c r="G841" t="s">
        <v>48</v>
      </c>
      <c r="H841">
        <v>31</v>
      </c>
      <c r="I841">
        <v>1500</v>
      </c>
      <c r="J841">
        <v>10</v>
      </c>
      <c r="K841">
        <v>41850</v>
      </c>
      <c r="L841">
        <v>20925</v>
      </c>
      <c r="M841">
        <v>20925</v>
      </c>
      <c r="N841" t="s">
        <v>49</v>
      </c>
      <c r="O841" t="s">
        <v>50</v>
      </c>
      <c r="P841" t="s">
        <v>40</v>
      </c>
    </row>
    <row r="842" spans="1:16" x14ac:dyDescent="0.3">
      <c r="A842" t="s">
        <v>914</v>
      </c>
      <c r="B842" s="1">
        <v>45282</v>
      </c>
      <c r="C842" t="s">
        <v>17</v>
      </c>
      <c r="D842" t="s">
        <v>37</v>
      </c>
      <c r="E842" t="s">
        <v>19</v>
      </c>
      <c r="F842" t="s">
        <v>33</v>
      </c>
      <c r="G842" t="s">
        <v>48</v>
      </c>
      <c r="H842">
        <v>25</v>
      </c>
      <c r="I842">
        <v>1500</v>
      </c>
      <c r="J842">
        <v>20</v>
      </c>
      <c r="K842">
        <v>30000</v>
      </c>
      <c r="L842">
        <v>15000</v>
      </c>
      <c r="M842">
        <v>15000</v>
      </c>
      <c r="N842" t="s">
        <v>49</v>
      </c>
      <c r="O842" t="s">
        <v>50</v>
      </c>
      <c r="P842" t="s">
        <v>24</v>
      </c>
    </row>
    <row r="843" spans="1:16" x14ac:dyDescent="0.3">
      <c r="A843" t="s">
        <v>915</v>
      </c>
      <c r="B843" s="1">
        <v>44743</v>
      </c>
      <c r="C843" t="s">
        <v>58</v>
      </c>
      <c r="D843" t="s">
        <v>64</v>
      </c>
      <c r="E843" t="s">
        <v>32</v>
      </c>
      <c r="F843" t="s">
        <v>20</v>
      </c>
      <c r="G843" t="s">
        <v>21</v>
      </c>
      <c r="H843">
        <v>39</v>
      </c>
      <c r="I843">
        <v>3500</v>
      </c>
      <c r="J843">
        <v>0</v>
      </c>
      <c r="K843">
        <v>136500</v>
      </c>
      <c r="L843">
        <v>54600</v>
      </c>
      <c r="M843">
        <v>81900</v>
      </c>
      <c r="N843" t="s">
        <v>49</v>
      </c>
      <c r="O843" t="s">
        <v>44</v>
      </c>
      <c r="P843" t="s">
        <v>40</v>
      </c>
    </row>
    <row r="844" spans="1:16" x14ac:dyDescent="0.3">
      <c r="A844" t="s">
        <v>916</v>
      </c>
      <c r="B844" s="1">
        <v>45275</v>
      </c>
      <c r="C844" t="s">
        <v>58</v>
      </c>
      <c r="D844" t="s">
        <v>64</v>
      </c>
      <c r="E844" t="s">
        <v>32</v>
      </c>
      <c r="F844" t="s">
        <v>20</v>
      </c>
      <c r="G844" t="s">
        <v>21</v>
      </c>
      <c r="H844">
        <v>41</v>
      </c>
      <c r="I844">
        <v>3500</v>
      </c>
      <c r="J844">
        <v>10</v>
      </c>
      <c r="K844">
        <v>129150</v>
      </c>
      <c r="L844">
        <v>51660</v>
      </c>
      <c r="M844">
        <v>77490</v>
      </c>
      <c r="N844" t="s">
        <v>22</v>
      </c>
      <c r="O844" t="s">
        <v>50</v>
      </c>
      <c r="P844" t="s">
        <v>24</v>
      </c>
    </row>
    <row r="845" spans="1:16" x14ac:dyDescent="0.3">
      <c r="A845" t="s">
        <v>917</v>
      </c>
      <c r="B845" s="1">
        <v>44646</v>
      </c>
      <c r="C845" t="s">
        <v>17</v>
      </c>
      <c r="D845" t="s">
        <v>42</v>
      </c>
      <c r="E845" t="s">
        <v>60</v>
      </c>
      <c r="F845" t="s">
        <v>20</v>
      </c>
      <c r="G845" t="s">
        <v>53</v>
      </c>
      <c r="H845">
        <v>32</v>
      </c>
      <c r="I845">
        <v>600</v>
      </c>
      <c r="J845">
        <v>15</v>
      </c>
      <c r="K845">
        <v>16320</v>
      </c>
      <c r="L845">
        <v>6528</v>
      </c>
      <c r="M845">
        <v>9792</v>
      </c>
      <c r="N845" t="s">
        <v>30</v>
      </c>
      <c r="O845" t="s">
        <v>50</v>
      </c>
      <c r="P845" t="s">
        <v>40</v>
      </c>
    </row>
    <row r="846" spans="1:16" x14ac:dyDescent="0.3">
      <c r="A846" t="s">
        <v>918</v>
      </c>
      <c r="B846" s="1">
        <v>45398</v>
      </c>
      <c r="C846" t="s">
        <v>26</v>
      </c>
      <c r="D846" t="s">
        <v>69</v>
      </c>
      <c r="E846" t="s">
        <v>73</v>
      </c>
      <c r="F846" t="s">
        <v>20</v>
      </c>
      <c r="G846" t="s">
        <v>74</v>
      </c>
      <c r="H846">
        <v>34</v>
      </c>
      <c r="I846">
        <v>4200</v>
      </c>
      <c r="J846">
        <v>20</v>
      </c>
      <c r="K846">
        <v>114240</v>
      </c>
      <c r="L846">
        <v>45696</v>
      </c>
      <c r="M846">
        <v>68544</v>
      </c>
      <c r="N846" t="s">
        <v>30</v>
      </c>
      <c r="O846" t="s">
        <v>44</v>
      </c>
      <c r="P846" t="s">
        <v>40</v>
      </c>
    </row>
    <row r="847" spans="1:16" x14ac:dyDescent="0.3">
      <c r="A847" t="s">
        <v>919</v>
      </c>
      <c r="B847" s="1">
        <v>45530</v>
      </c>
      <c r="C847" t="s">
        <v>26</v>
      </c>
      <c r="D847" t="s">
        <v>69</v>
      </c>
      <c r="E847" t="s">
        <v>111</v>
      </c>
      <c r="F847" t="s">
        <v>65</v>
      </c>
      <c r="G847" t="s">
        <v>104</v>
      </c>
      <c r="H847">
        <v>29</v>
      </c>
      <c r="I847">
        <v>3000</v>
      </c>
      <c r="J847">
        <v>0</v>
      </c>
      <c r="K847">
        <v>87000</v>
      </c>
      <c r="L847">
        <v>39150</v>
      </c>
      <c r="M847">
        <v>47850</v>
      </c>
      <c r="N847" t="s">
        <v>22</v>
      </c>
      <c r="O847" t="s">
        <v>67</v>
      </c>
      <c r="P847" t="s">
        <v>24</v>
      </c>
    </row>
    <row r="848" spans="1:16" x14ac:dyDescent="0.3">
      <c r="A848" t="s">
        <v>920</v>
      </c>
      <c r="B848" s="1">
        <v>45024</v>
      </c>
      <c r="C848" t="s">
        <v>46</v>
      </c>
      <c r="D848" t="s">
        <v>47</v>
      </c>
      <c r="E848" t="s">
        <v>52</v>
      </c>
      <c r="F848" t="s">
        <v>28</v>
      </c>
      <c r="G848" t="s">
        <v>85</v>
      </c>
      <c r="H848">
        <v>46</v>
      </c>
      <c r="I848">
        <v>8000</v>
      </c>
      <c r="J848">
        <v>0</v>
      </c>
      <c r="K848">
        <v>368000</v>
      </c>
      <c r="L848">
        <v>202400</v>
      </c>
      <c r="M848">
        <v>165600</v>
      </c>
      <c r="N848" t="s">
        <v>49</v>
      </c>
      <c r="O848" t="s">
        <v>23</v>
      </c>
      <c r="P848" t="s">
        <v>24</v>
      </c>
    </row>
    <row r="849" spans="1:16" x14ac:dyDescent="0.3">
      <c r="A849" t="s">
        <v>921</v>
      </c>
      <c r="B849" s="1">
        <v>45085</v>
      </c>
      <c r="C849" t="s">
        <v>17</v>
      </c>
      <c r="D849" t="s">
        <v>42</v>
      </c>
      <c r="E849" t="s">
        <v>60</v>
      </c>
      <c r="F849" t="s">
        <v>28</v>
      </c>
      <c r="G849" t="s">
        <v>87</v>
      </c>
      <c r="H849">
        <v>35</v>
      </c>
      <c r="I849">
        <v>45000</v>
      </c>
      <c r="J849">
        <v>15</v>
      </c>
      <c r="K849">
        <v>1338750</v>
      </c>
      <c r="L849">
        <v>736312.5</v>
      </c>
      <c r="M849">
        <v>602437.5</v>
      </c>
      <c r="N849" t="s">
        <v>22</v>
      </c>
      <c r="O849" t="s">
        <v>50</v>
      </c>
      <c r="P849" t="s">
        <v>24</v>
      </c>
    </row>
    <row r="850" spans="1:16" x14ac:dyDescent="0.3">
      <c r="A850" t="s">
        <v>922</v>
      </c>
      <c r="B850" s="1">
        <v>45004</v>
      </c>
      <c r="C850" t="s">
        <v>26</v>
      </c>
      <c r="D850" t="s">
        <v>69</v>
      </c>
      <c r="E850" t="s">
        <v>32</v>
      </c>
      <c r="F850" t="s">
        <v>65</v>
      </c>
      <c r="G850" t="s">
        <v>79</v>
      </c>
      <c r="H850">
        <v>28</v>
      </c>
      <c r="I850">
        <v>900</v>
      </c>
      <c r="J850">
        <v>5</v>
      </c>
      <c r="K850">
        <v>23940</v>
      </c>
      <c r="L850">
        <v>10773</v>
      </c>
      <c r="M850">
        <v>13167</v>
      </c>
      <c r="N850" t="s">
        <v>49</v>
      </c>
      <c r="O850" t="s">
        <v>35</v>
      </c>
      <c r="P850" t="s">
        <v>24</v>
      </c>
    </row>
    <row r="851" spans="1:16" x14ac:dyDescent="0.3">
      <c r="A851" t="s">
        <v>923</v>
      </c>
      <c r="B851" s="1">
        <v>45110</v>
      </c>
      <c r="C851" t="s">
        <v>26</v>
      </c>
      <c r="D851" t="s">
        <v>27</v>
      </c>
      <c r="E851" t="s">
        <v>70</v>
      </c>
      <c r="F851" t="s">
        <v>20</v>
      </c>
      <c r="G851" t="s">
        <v>21</v>
      </c>
      <c r="H851">
        <v>37</v>
      </c>
      <c r="I851">
        <v>3500</v>
      </c>
      <c r="J851">
        <v>10</v>
      </c>
      <c r="K851">
        <v>116550</v>
      </c>
      <c r="L851">
        <v>46620</v>
      </c>
      <c r="M851">
        <v>69930</v>
      </c>
      <c r="N851" t="s">
        <v>49</v>
      </c>
      <c r="O851" t="s">
        <v>23</v>
      </c>
      <c r="P851" t="s">
        <v>24</v>
      </c>
    </row>
    <row r="852" spans="1:16" x14ac:dyDescent="0.3">
      <c r="A852" t="s">
        <v>924</v>
      </c>
      <c r="B852" s="1">
        <v>44571</v>
      </c>
      <c r="C852" t="s">
        <v>26</v>
      </c>
      <c r="D852" t="s">
        <v>27</v>
      </c>
      <c r="E852" t="s">
        <v>32</v>
      </c>
      <c r="F852" t="s">
        <v>65</v>
      </c>
      <c r="G852" t="s">
        <v>124</v>
      </c>
      <c r="H852">
        <v>50</v>
      </c>
      <c r="I852">
        <v>18000</v>
      </c>
      <c r="J852">
        <v>10</v>
      </c>
      <c r="K852">
        <v>810000</v>
      </c>
      <c r="L852">
        <v>364500</v>
      </c>
      <c r="M852">
        <v>445500</v>
      </c>
      <c r="N852" t="s">
        <v>22</v>
      </c>
      <c r="O852" t="s">
        <v>67</v>
      </c>
      <c r="P852" t="s">
        <v>24</v>
      </c>
    </row>
    <row r="853" spans="1:16" x14ac:dyDescent="0.3">
      <c r="A853" t="s">
        <v>925</v>
      </c>
      <c r="B853" s="1">
        <v>44989</v>
      </c>
      <c r="C853" t="s">
        <v>58</v>
      </c>
      <c r="D853" t="s">
        <v>84</v>
      </c>
      <c r="E853" t="s">
        <v>111</v>
      </c>
      <c r="F853" t="s">
        <v>65</v>
      </c>
      <c r="G853" t="s">
        <v>124</v>
      </c>
      <c r="H853">
        <v>10</v>
      </c>
      <c r="I853">
        <v>18000</v>
      </c>
      <c r="J853">
        <v>10</v>
      </c>
      <c r="K853">
        <v>162000</v>
      </c>
      <c r="L853">
        <v>72900</v>
      </c>
      <c r="M853">
        <v>89100</v>
      </c>
      <c r="N853" t="s">
        <v>49</v>
      </c>
      <c r="O853" t="s">
        <v>23</v>
      </c>
      <c r="P853" t="s">
        <v>24</v>
      </c>
    </row>
    <row r="854" spans="1:16" x14ac:dyDescent="0.3">
      <c r="A854" t="s">
        <v>926</v>
      </c>
      <c r="B854" s="1">
        <v>44854</v>
      </c>
      <c r="C854" t="s">
        <v>17</v>
      </c>
      <c r="D854" t="s">
        <v>18</v>
      </c>
      <c r="E854" t="s">
        <v>56</v>
      </c>
      <c r="F854" t="s">
        <v>33</v>
      </c>
      <c r="G854" t="s">
        <v>34</v>
      </c>
      <c r="H854">
        <v>33</v>
      </c>
      <c r="I854">
        <v>25000</v>
      </c>
      <c r="J854">
        <v>0</v>
      </c>
      <c r="K854">
        <v>825000</v>
      </c>
      <c r="L854">
        <v>412500</v>
      </c>
      <c r="M854">
        <v>412500</v>
      </c>
      <c r="N854" t="s">
        <v>22</v>
      </c>
      <c r="O854" t="s">
        <v>67</v>
      </c>
      <c r="P854" t="s">
        <v>24</v>
      </c>
    </row>
    <row r="855" spans="1:16" x14ac:dyDescent="0.3">
      <c r="A855" t="s">
        <v>927</v>
      </c>
      <c r="B855" s="1">
        <v>45494</v>
      </c>
      <c r="C855" t="s">
        <v>46</v>
      </c>
      <c r="D855" t="s">
        <v>55</v>
      </c>
      <c r="E855" t="s">
        <v>73</v>
      </c>
      <c r="F855" t="s">
        <v>65</v>
      </c>
      <c r="G855" t="s">
        <v>117</v>
      </c>
      <c r="H855">
        <v>22</v>
      </c>
      <c r="I855">
        <v>1200</v>
      </c>
      <c r="J855">
        <v>5</v>
      </c>
      <c r="K855">
        <v>25080</v>
      </c>
      <c r="L855">
        <v>11286</v>
      </c>
      <c r="M855">
        <v>13794</v>
      </c>
      <c r="N855" t="s">
        <v>22</v>
      </c>
      <c r="O855" t="s">
        <v>44</v>
      </c>
      <c r="P855" t="s">
        <v>24</v>
      </c>
    </row>
    <row r="856" spans="1:16" x14ac:dyDescent="0.3">
      <c r="A856" t="s">
        <v>928</v>
      </c>
      <c r="B856" s="1">
        <v>44679</v>
      </c>
      <c r="C856" t="s">
        <v>46</v>
      </c>
      <c r="D856" t="s">
        <v>55</v>
      </c>
      <c r="E856" t="s">
        <v>32</v>
      </c>
      <c r="F856" t="s">
        <v>33</v>
      </c>
      <c r="G856" t="s">
        <v>76</v>
      </c>
      <c r="H856">
        <v>2</v>
      </c>
      <c r="I856">
        <v>8500</v>
      </c>
      <c r="J856">
        <v>20</v>
      </c>
      <c r="K856">
        <v>13600</v>
      </c>
      <c r="L856">
        <v>6800</v>
      </c>
      <c r="M856">
        <v>6800</v>
      </c>
      <c r="N856" t="s">
        <v>49</v>
      </c>
      <c r="O856" t="s">
        <v>23</v>
      </c>
      <c r="P856" t="s">
        <v>24</v>
      </c>
    </row>
    <row r="857" spans="1:16" x14ac:dyDescent="0.3">
      <c r="A857" t="s">
        <v>929</v>
      </c>
      <c r="B857" s="1">
        <v>45485</v>
      </c>
      <c r="C857" t="s">
        <v>58</v>
      </c>
      <c r="D857" t="s">
        <v>59</v>
      </c>
      <c r="E857" t="s">
        <v>52</v>
      </c>
      <c r="F857" t="s">
        <v>33</v>
      </c>
      <c r="G857" t="s">
        <v>34</v>
      </c>
      <c r="H857">
        <v>45</v>
      </c>
      <c r="I857">
        <v>25000</v>
      </c>
      <c r="J857">
        <v>5</v>
      </c>
      <c r="K857">
        <v>1068750</v>
      </c>
      <c r="L857">
        <v>534375</v>
      </c>
      <c r="M857">
        <v>534375</v>
      </c>
      <c r="N857" t="s">
        <v>49</v>
      </c>
      <c r="O857" t="s">
        <v>35</v>
      </c>
      <c r="P857" t="s">
        <v>40</v>
      </c>
    </row>
    <row r="858" spans="1:16" x14ac:dyDescent="0.3">
      <c r="A858" t="s">
        <v>930</v>
      </c>
      <c r="B858" s="1">
        <v>44815</v>
      </c>
      <c r="C858" t="s">
        <v>26</v>
      </c>
      <c r="D858" t="s">
        <v>69</v>
      </c>
      <c r="E858" t="s">
        <v>60</v>
      </c>
      <c r="F858" t="s">
        <v>20</v>
      </c>
      <c r="G858" t="s">
        <v>53</v>
      </c>
      <c r="H858">
        <v>9</v>
      </c>
      <c r="I858">
        <v>600</v>
      </c>
      <c r="J858">
        <v>15</v>
      </c>
      <c r="K858">
        <v>4590</v>
      </c>
      <c r="L858">
        <v>1836</v>
      </c>
      <c r="M858">
        <v>2754</v>
      </c>
      <c r="N858" t="s">
        <v>49</v>
      </c>
      <c r="O858" t="s">
        <v>44</v>
      </c>
      <c r="P858" t="s">
        <v>24</v>
      </c>
    </row>
    <row r="859" spans="1:16" x14ac:dyDescent="0.3">
      <c r="A859" t="s">
        <v>931</v>
      </c>
      <c r="B859" s="1">
        <v>44964</v>
      </c>
      <c r="C859" t="s">
        <v>46</v>
      </c>
      <c r="D859" t="s">
        <v>47</v>
      </c>
      <c r="E859" t="s">
        <v>70</v>
      </c>
      <c r="F859" t="s">
        <v>28</v>
      </c>
      <c r="G859" t="s">
        <v>87</v>
      </c>
      <c r="H859">
        <v>25</v>
      </c>
      <c r="I859">
        <v>45000</v>
      </c>
      <c r="J859">
        <v>15</v>
      </c>
      <c r="K859">
        <v>956250</v>
      </c>
      <c r="L859">
        <v>525937.5</v>
      </c>
      <c r="M859">
        <v>430312.5</v>
      </c>
      <c r="N859" t="s">
        <v>30</v>
      </c>
      <c r="O859" t="s">
        <v>35</v>
      </c>
      <c r="P859" t="s">
        <v>24</v>
      </c>
    </row>
    <row r="860" spans="1:16" x14ac:dyDescent="0.3">
      <c r="A860" t="s">
        <v>932</v>
      </c>
      <c r="B860" s="1">
        <v>45246</v>
      </c>
      <c r="C860" t="s">
        <v>46</v>
      </c>
      <c r="D860" t="s">
        <v>47</v>
      </c>
      <c r="E860" t="s">
        <v>52</v>
      </c>
      <c r="F860" t="s">
        <v>33</v>
      </c>
      <c r="G860" t="s">
        <v>43</v>
      </c>
      <c r="H860">
        <v>28</v>
      </c>
      <c r="I860">
        <v>4000</v>
      </c>
      <c r="J860">
        <v>5</v>
      </c>
      <c r="K860">
        <v>106400</v>
      </c>
      <c r="L860">
        <v>53200</v>
      </c>
      <c r="M860">
        <v>53200</v>
      </c>
      <c r="N860" t="s">
        <v>30</v>
      </c>
      <c r="O860" t="s">
        <v>35</v>
      </c>
      <c r="P860" t="s">
        <v>24</v>
      </c>
    </row>
    <row r="861" spans="1:16" x14ac:dyDescent="0.3">
      <c r="A861" t="s">
        <v>933</v>
      </c>
      <c r="B861" s="1">
        <v>44781</v>
      </c>
      <c r="C861" t="s">
        <v>58</v>
      </c>
      <c r="D861" t="s">
        <v>59</v>
      </c>
      <c r="E861" t="s">
        <v>73</v>
      </c>
      <c r="F861" t="s">
        <v>20</v>
      </c>
      <c r="G861" t="s">
        <v>115</v>
      </c>
      <c r="H861">
        <v>50</v>
      </c>
      <c r="I861">
        <v>2500</v>
      </c>
      <c r="J861">
        <v>0</v>
      </c>
      <c r="K861">
        <v>125000</v>
      </c>
      <c r="L861">
        <v>50000</v>
      </c>
      <c r="M861">
        <v>75000</v>
      </c>
      <c r="N861" t="s">
        <v>22</v>
      </c>
      <c r="O861" t="s">
        <v>23</v>
      </c>
      <c r="P861" t="s">
        <v>24</v>
      </c>
    </row>
    <row r="862" spans="1:16" x14ac:dyDescent="0.3">
      <c r="A862" t="s">
        <v>934</v>
      </c>
      <c r="B862" s="1">
        <v>45098</v>
      </c>
      <c r="C862" t="s">
        <v>58</v>
      </c>
      <c r="D862" t="s">
        <v>59</v>
      </c>
      <c r="E862" t="s">
        <v>56</v>
      </c>
      <c r="F862" t="s">
        <v>28</v>
      </c>
      <c r="G862" t="s">
        <v>95</v>
      </c>
      <c r="H862">
        <v>6</v>
      </c>
      <c r="I862">
        <v>75000</v>
      </c>
      <c r="J862">
        <v>0</v>
      </c>
      <c r="K862">
        <v>450000</v>
      </c>
      <c r="L862">
        <v>247500</v>
      </c>
      <c r="M862">
        <v>202500</v>
      </c>
      <c r="N862" t="s">
        <v>22</v>
      </c>
      <c r="O862" t="s">
        <v>67</v>
      </c>
      <c r="P862" t="s">
        <v>24</v>
      </c>
    </row>
    <row r="863" spans="1:16" x14ac:dyDescent="0.3">
      <c r="A863" t="s">
        <v>935</v>
      </c>
      <c r="B863" s="1">
        <v>44986</v>
      </c>
      <c r="C863" t="s">
        <v>58</v>
      </c>
      <c r="D863" t="s">
        <v>59</v>
      </c>
      <c r="E863" t="s">
        <v>52</v>
      </c>
      <c r="F863" t="s">
        <v>20</v>
      </c>
      <c r="G863" t="s">
        <v>115</v>
      </c>
      <c r="H863">
        <v>31</v>
      </c>
      <c r="I863">
        <v>2500</v>
      </c>
      <c r="J863">
        <v>15</v>
      </c>
      <c r="K863">
        <v>65875</v>
      </c>
      <c r="L863">
        <v>26350</v>
      </c>
      <c r="M863">
        <v>39525</v>
      </c>
      <c r="N863" t="s">
        <v>22</v>
      </c>
      <c r="O863" t="s">
        <v>44</v>
      </c>
      <c r="P863" t="s">
        <v>24</v>
      </c>
    </row>
    <row r="864" spans="1:16" x14ac:dyDescent="0.3">
      <c r="A864" t="s">
        <v>936</v>
      </c>
      <c r="B864" s="1">
        <v>44753</v>
      </c>
      <c r="C864" t="s">
        <v>26</v>
      </c>
      <c r="D864" t="s">
        <v>27</v>
      </c>
      <c r="E864" t="s">
        <v>32</v>
      </c>
      <c r="F864" t="s">
        <v>28</v>
      </c>
      <c r="G864" t="s">
        <v>85</v>
      </c>
      <c r="H864">
        <v>36</v>
      </c>
      <c r="I864">
        <v>8000</v>
      </c>
      <c r="J864">
        <v>20</v>
      </c>
      <c r="K864">
        <v>230400</v>
      </c>
      <c r="L864">
        <v>126720</v>
      </c>
      <c r="M864">
        <v>103680</v>
      </c>
      <c r="N864" t="s">
        <v>49</v>
      </c>
      <c r="O864" t="s">
        <v>35</v>
      </c>
      <c r="P864" t="s">
        <v>40</v>
      </c>
    </row>
    <row r="865" spans="1:16" x14ac:dyDescent="0.3">
      <c r="A865" t="s">
        <v>937</v>
      </c>
      <c r="B865" s="1">
        <v>45592</v>
      </c>
      <c r="C865" t="s">
        <v>26</v>
      </c>
      <c r="D865" t="s">
        <v>27</v>
      </c>
      <c r="E865" t="s">
        <v>52</v>
      </c>
      <c r="F865" t="s">
        <v>20</v>
      </c>
      <c r="G865" t="s">
        <v>53</v>
      </c>
      <c r="H865">
        <v>45</v>
      </c>
      <c r="I865">
        <v>600</v>
      </c>
      <c r="J865">
        <v>5</v>
      </c>
      <c r="K865">
        <v>25650</v>
      </c>
      <c r="L865">
        <v>10260</v>
      </c>
      <c r="M865">
        <v>15390</v>
      </c>
      <c r="N865" t="s">
        <v>22</v>
      </c>
      <c r="O865" t="s">
        <v>23</v>
      </c>
      <c r="P865" t="s">
        <v>24</v>
      </c>
    </row>
    <row r="866" spans="1:16" x14ac:dyDescent="0.3">
      <c r="A866" t="s">
        <v>938</v>
      </c>
      <c r="B866" s="1">
        <v>45173</v>
      </c>
      <c r="C866" t="s">
        <v>26</v>
      </c>
      <c r="D866" t="s">
        <v>27</v>
      </c>
      <c r="E866" t="s">
        <v>38</v>
      </c>
      <c r="F866" t="s">
        <v>20</v>
      </c>
      <c r="G866" t="s">
        <v>74</v>
      </c>
      <c r="H866">
        <v>6</v>
      </c>
      <c r="I866">
        <v>4200</v>
      </c>
      <c r="J866">
        <v>20</v>
      </c>
      <c r="K866">
        <v>20160</v>
      </c>
      <c r="L866">
        <v>8064</v>
      </c>
      <c r="M866">
        <v>12096</v>
      </c>
      <c r="N866" t="s">
        <v>30</v>
      </c>
      <c r="O866" t="s">
        <v>35</v>
      </c>
      <c r="P866" t="s">
        <v>24</v>
      </c>
    </row>
    <row r="867" spans="1:16" x14ac:dyDescent="0.3">
      <c r="A867" t="s">
        <v>939</v>
      </c>
      <c r="B867" s="1">
        <v>44790</v>
      </c>
      <c r="C867" t="s">
        <v>17</v>
      </c>
      <c r="D867" t="s">
        <v>37</v>
      </c>
      <c r="E867" t="s">
        <v>111</v>
      </c>
      <c r="F867" t="s">
        <v>20</v>
      </c>
      <c r="G867" t="s">
        <v>115</v>
      </c>
      <c r="H867">
        <v>43</v>
      </c>
      <c r="I867">
        <v>2500</v>
      </c>
      <c r="J867">
        <v>0</v>
      </c>
      <c r="K867">
        <v>107500</v>
      </c>
      <c r="L867">
        <v>43000</v>
      </c>
      <c r="M867">
        <v>64500</v>
      </c>
      <c r="N867" t="s">
        <v>49</v>
      </c>
      <c r="O867" t="s">
        <v>35</v>
      </c>
      <c r="P867" t="s">
        <v>24</v>
      </c>
    </row>
    <row r="868" spans="1:16" x14ac:dyDescent="0.3">
      <c r="A868" t="s">
        <v>940</v>
      </c>
      <c r="B868" s="1">
        <v>45591</v>
      </c>
      <c r="C868" t="s">
        <v>17</v>
      </c>
      <c r="D868" t="s">
        <v>42</v>
      </c>
      <c r="E868" t="s">
        <v>111</v>
      </c>
      <c r="F868" t="s">
        <v>65</v>
      </c>
      <c r="G868" t="s">
        <v>104</v>
      </c>
      <c r="H868">
        <v>37</v>
      </c>
      <c r="I868">
        <v>3000</v>
      </c>
      <c r="J868">
        <v>15</v>
      </c>
      <c r="K868">
        <v>94350</v>
      </c>
      <c r="L868">
        <v>42457.5</v>
      </c>
      <c r="M868">
        <v>51892.5</v>
      </c>
      <c r="N868" t="s">
        <v>22</v>
      </c>
      <c r="O868" t="s">
        <v>50</v>
      </c>
      <c r="P868" t="s">
        <v>24</v>
      </c>
    </row>
    <row r="869" spans="1:16" x14ac:dyDescent="0.3">
      <c r="A869" t="s">
        <v>941</v>
      </c>
      <c r="B869" s="1">
        <v>45613</v>
      </c>
      <c r="C869" t="s">
        <v>46</v>
      </c>
      <c r="D869" t="s">
        <v>47</v>
      </c>
      <c r="E869" t="s">
        <v>56</v>
      </c>
      <c r="F869" t="s">
        <v>20</v>
      </c>
      <c r="G869" t="s">
        <v>21</v>
      </c>
      <c r="H869">
        <v>13</v>
      </c>
      <c r="I869">
        <v>3500</v>
      </c>
      <c r="J869">
        <v>5</v>
      </c>
      <c r="K869">
        <v>43225</v>
      </c>
      <c r="L869">
        <v>17290</v>
      </c>
      <c r="M869">
        <v>25935</v>
      </c>
      <c r="N869" t="s">
        <v>30</v>
      </c>
      <c r="O869" t="s">
        <v>44</v>
      </c>
      <c r="P869" t="s">
        <v>24</v>
      </c>
    </row>
    <row r="870" spans="1:16" x14ac:dyDescent="0.3">
      <c r="A870" t="s">
        <v>942</v>
      </c>
      <c r="B870" s="1">
        <v>45633</v>
      </c>
      <c r="C870" t="s">
        <v>17</v>
      </c>
      <c r="D870" t="s">
        <v>37</v>
      </c>
      <c r="E870" t="s">
        <v>78</v>
      </c>
      <c r="F870" t="s">
        <v>65</v>
      </c>
      <c r="G870" t="s">
        <v>117</v>
      </c>
      <c r="H870">
        <v>36</v>
      </c>
      <c r="I870">
        <v>1200</v>
      </c>
      <c r="J870">
        <v>10</v>
      </c>
      <c r="K870">
        <v>38880</v>
      </c>
      <c r="L870">
        <v>17496</v>
      </c>
      <c r="M870">
        <v>21384</v>
      </c>
      <c r="N870" t="s">
        <v>49</v>
      </c>
      <c r="O870" t="s">
        <v>44</v>
      </c>
      <c r="P870" t="s">
        <v>24</v>
      </c>
    </row>
    <row r="871" spans="1:16" x14ac:dyDescent="0.3">
      <c r="A871" t="s">
        <v>943</v>
      </c>
      <c r="B871" s="1">
        <v>45337</v>
      </c>
      <c r="C871" t="s">
        <v>26</v>
      </c>
      <c r="D871" t="s">
        <v>69</v>
      </c>
      <c r="E871" t="s">
        <v>32</v>
      </c>
      <c r="F871" t="s">
        <v>20</v>
      </c>
      <c r="G871" t="s">
        <v>53</v>
      </c>
      <c r="H871">
        <v>14</v>
      </c>
      <c r="I871">
        <v>600</v>
      </c>
      <c r="J871">
        <v>0</v>
      </c>
      <c r="K871">
        <v>8400</v>
      </c>
      <c r="L871">
        <v>3360</v>
      </c>
      <c r="M871">
        <v>5040</v>
      </c>
      <c r="N871" t="s">
        <v>22</v>
      </c>
      <c r="O871" t="s">
        <v>44</v>
      </c>
      <c r="P871" t="s">
        <v>24</v>
      </c>
    </row>
    <row r="872" spans="1:16" x14ac:dyDescent="0.3">
      <c r="A872" t="s">
        <v>944</v>
      </c>
      <c r="B872" s="1">
        <v>45279</v>
      </c>
      <c r="C872" t="s">
        <v>46</v>
      </c>
      <c r="D872" t="s">
        <v>55</v>
      </c>
      <c r="E872" t="s">
        <v>78</v>
      </c>
      <c r="F872" t="s">
        <v>33</v>
      </c>
      <c r="G872" t="s">
        <v>48</v>
      </c>
      <c r="H872">
        <v>25</v>
      </c>
      <c r="I872">
        <v>1500</v>
      </c>
      <c r="J872">
        <v>0</v>
      </c>
      <c r="K872">
        <v>37500</v>
      </c>
      <c r="L872">
        <v>18750</v>
      </c>
      <c r="M872">
        <v>18750</v>
      </c>
      <c r="N872" t="s">
        <v>30</v>
      </c>
      <c r="O872" t="s">
        <v>35</v>
      </c>
      <c r="P872" t="s">
        <v>40</v>
      </c>
    </row>
    <row r="873" spans="1:16" x14ac:dyDescent="0.3">
      <c r="A873" t="s">
        <v>945</v>
      </c>
      <c r="B873" s="1">
        <v>45081</v>
      </c>
      <c r="C873" t="s">
        <v>26</v>
      </c>
      <c r="D873" t="s">
        <v>69</v>
      </c>
      <c r="E873" t="s">
        <v>52</v>
      </c>
      <c r="F873" t="s">
        <v>33</v>
      </c>
      <c r="G873" t="s">
        <v>39</v>
      </c>
      <c r="H873">
        <v>24</v>
      </c>
      <c r="I873">
        <v>5000</v>
      </c>
      <c r="J873">
        <v>10</v>
      </c>
      <c r="K873">
        <v>108000</v>
      </c>
      <c r="L873">
        <v>54000</v>
      </c>
      <c r="M873">
        <v>54000</v>
      </c>
      <c r="N873" t="s">
        <v>30</v>
      </c>
      <c r="O873" t="s">
        <v>44</v>
      </c>
      <c r="P873" t="s">
        <v>24</v>
      </c>
    </row>
    <row r="874" spans="1:16" x14ac:dyDescent="0.3">
      <c r="A874" t="s">
        <v>946</v>
      </c>
      <c r="B874" s="1">
        <v>45078</v>
      </c>
      <c r="C874" t="s">
        <v>26</v>
      </c>
      <c r="D874" t="s">
        <v>69</v>
      </c>
      <c r="E874" t="s">
        <v>19</v>
      </c>
      <c r="F874" t="s">
        <v>65</v>
      </c>
      <c r="G874" t="s">
        <v>117</v>
      </c>
      <c r="H874">
        <v>8</v>
      </c>
      <c r="I874">
        <v>1200</v>
      </c>
      <c r="J874">
        <v>5</v>
      </c>
      <c r="K874">
        <v>9120</v>
      </c>
      <c r="L874">
        <v>4104</v>
      </c>
      <c r="M874">
        <v>5016</v>
      </c>
      <c r="N874" t="s">
        <v>22</v>
      </c>
      <c r="O874" t="s">
        <v>50</v>
      </c>
      <c r="P874" t="s">
        <v>40</v>
      </c>
    </row>
    <row r="875" spans="1:16" x14ac:dyDescent="0.3">
      <c r="A875" t="s">
        <v>947</v>
      </c>
      <c r="B875" s="1">
        <v>45508</v>
      </c>
      <c r="C875" t="s">
        <v>17</v>
      </c>
      <c r="D875" t="s">
        <v>42</v>
      </c>
      <c r="E875" t="s">
        <v>38</v>
      </c>
      <c r="F875" t="s">
        <v>33</v>
      </c>
      <c r="G875" t="s">
        <v>43</v>
      </c>
      <c r="H875">
        <v>18</v>
      </c>
      <c r="I875">
        <v>4000</v>
      </c>
      <c r="J875">
        <v>20</v>
      </c>
      <c r="K875">
        <v>57600</v>
      </c>
      <c r="L875">
        <v>28800</v>
      </c>
      <c r="M875">
        <v>28800</v>
      </c>
      <c r="N875" t="s">
        <v>30</v>
      </c>
      <c r="O875" t="s">
        <v>44</v>
      </c>
      <c r="P875" t="s">
        <v>24</v>
      </c>
    </row>
    <row r="876" spans="1:16" x14ac:dyDescent="0.3">
      <c r="A876" t="s">
        <v>948</v>
      </c>
      <c r="B876" s="1">
        <v>45194</v>
      </c>
      <c r="C876" t="s">
        <v>58</v>
      </c>
      <c r="D876" t="s">
        <v>84</v>
      </c>
      <c r="E876" t="s">
        <v>70</v>
      </c>
      <c r="F876" t="s">
        <v>65</v>
      </c>
      <c r="G876" t="s">
        <v>66</v>
      </c>
      <c r="H876">
        <v>38</v>
      </c>
      <c r="I876">
        <v>5500</v>
      </c>
      <c r="J876">
        <v>5</v>
      </c>
      <c r="K876">
        <v>198550</v>
      </c>
      <c r="L876">
        <v>89347.5</v>
      </c>
      <c r="M876">
        <v>109202.5</v>
      </c>
      <c r="N876" t="s">
        <v>30</v>
      </c>
      <c r="O876" t="s">
        <v>67</v>
      </c>
      <c r="P876" t="s">
        <v>24</v>
      </c>
    </row>
    <row r="877" spans="1:16" x14ac:dyDescent="0.3">
      <c r="A877" t="s">
        <v>949</v>
      </c>
      <c r="B877" s="1">
        <v>44856</v>
      </c>
      <c r="C877" t="s">
        <v>46</v>
      </c>
      <c r="D877" t="s">
        <v>47</v>
      </c>
      <c r="E877" t="s">
        <v>32</v>
      </c>
      <c r="F877" t="s">
        <v>33</v>
      </c>
      <c r="G877" t="s">
        <v>39</v>
      </c>
      <c r="H877">
        <v>47</v>
      </c>
      <c r="I877">
        <v>5000</v>
      </c>
      <c r="J877">
        <v>10</v>
      </c>
      <c r="K877">
        <v>211500</v>
      </c>
      <c r="L877">
        <v>105750</v>
      </c>
      <c r="M877">
        <v>105750</v>
      </c>
      <c r="N877" t="s">
        <v>22</v>
      </c>
      <c r="O877" t="s">
        <v>67</v>
      </c>
      <c r="P877" t="s">
        <v>24</v>
      </c>
    </row>
    <row r="878" spans="1:16" x14ac:dyDescent="0.3">
      <c r="A878" t="s">
        <v>950</v>
      </c>
      <c r="B878" s="1">
        <v>45374</v>
      </c>
      <c r="C878" t="s">
        <v>58</v>
      </c>
      <c r="D878" t="s">
        <v>84</v>
      </c>
      <c r="E878" t="s">
        <v>60</v>
      </c>
      <c r="F878" t="s">
        <v>33</v>
      </c>
      <c r="G878" t="s">
        <v>48</v>
      </c>
      <c r="H878">
        <v>33</v>
      </c>
      <c r="I878">
        <v>1500</v>
      </c>
      <c r="J878">
        <v>10</v>
      </c>
      <c r="K878">
        <v>44550</v>
      </c>
      <c r="L878">
        <v>22275</v>
      </c>
      <c r="M878">
        <v>22275</v>
      </c>
      <c r="N878" t="s">
        <v>49</v>
      </c>
      <c r="O878" t="s">
        <v>67</v>
      </c>
      <c r="P878" t="s">
        <v>24</v>
      </c>
    </row>
    <row r="879" spans="1:16" x14ac:dyDescent="0.3">
      <c r="A879" t="s">
        <v>951</v>
      </c>
      <c r="B879" s="1">
        <v>44995</v>
      </c>
      <c r="C879" t="s">
        <v>26</v>
      </c>
      <c r="D879" t="s">
        <v>69</v>
      </c>
      <c r="E879" t="s">
        <v>32</v>
      </c>
      <c r="F879" t="s">
        <v>33</v>
      </c>
      <c r="G879" t="s">
        <v>39</v>
      </c>
      <c r="H879">
        <v>41</v>
      </c>
      <c r="I879">
        <v>5000</v>
      </c>
      <c r="J879">
        <v>0</v>
      </c>
      <c r="K879">
        <v>205000</v>
      </c>
      <c r="L879">
        <v>102500</v>
      </c>
      <c r="M879">
        <v>102500</v>
      </c>
      <c r="N879" t="s">
        <v>22</v>
      </c>
      <c r="O879" t="s">
        <v>44</v>
      </c>
      <c r="P879" t="s">
        <v>24</v>
      </c>
    </row>
    <row r="880" spans="1:16" x14ac:dyDescent="0.3">
      <c r="A880" t="s">
        <v>952</v>
      </c>
      <c r="B880" s="1">
        <v>44718</v>
      </c>
      <c r="C880" t="s">
        <v>26</v>
      </c>
      <c r="D880" t="s">
        <v>27</v>
      </c>
      <c r="E880" t="s">
        <v>73</v>
      </c>
      <c r="F880" t="s">
        <v>65</v>
      </c>
      <c r="G880" t="s">
        <v>117</v>
      </c>
      <c r="H880">
        <v>28</v>
      </c>
      <c r="I880">
        <v>1200</v>
      </c>
      <c r="J880">
        <v>20</v>
      </c>
      <c r="K880">
        <v>26880</v>
      </c>
      <c r="L880">
        <v>12096</v>
      </c>
      <c r="M880">
        <v>14784</v>
      </c>
      <c r="N880" t="s">
        <v>49</v>
      </c>
      <c r="O880" t="s">
        <v>23</v>
      </c>
      <c r="P880" t="s">
        <v>24</v>
      </c>
    </row>
    <row r="881" spans="1:16" x14ac:dyDescent="0.3">
      <c r="A881" t="s">
        <v>953</v>
      </c>
      <c r="B881" s="1">
        <v>45557</v>
      </c>
      <c r="C881" t="s">
        <v>26</v>
      </c>
      <c r="D881" t="s">
        <v>69</v>
      </c>
      <c r="E881" t="s">
        <v>56</v>
      </c>
      <c r="F881" t="s">
        <v>20</v>
      </c>
      <c r="G881" t="s">
        <v>21</v>
      </c>
      <c r="H881">
        <v>46</v>
      </c>
      <c r="I881">
        <v>3500</v>
      </c>
      <c r="J881">
        <v>15</v>
      </c>
      <c r="K881">
        <v>136850</v>
      </c>
      <c r="L881">
        <v>54740</v>
      </c>
      <c r="M881">
        <v>82110</v>
      </c>
      <c r="N881" t="s">
        <v>22</v>
      </c>
      <c r="O881" t="s">
        <v>50</v>
      </c>
      <c r="P881" t="s">
        <v>40</v>
      </c>
    </row>
    <row r="882" spans="1:16" x14ac:dyDescent="0.3">
      <c r="A882" t="s">
        <v>954</v>
      </c>
      <c r="B882" s="1">
        <v>45040</v>
      </c>
      <c r="C882" t="s">
        <v>26</v>
      </c>
      <c r="D882" t="s">
        <v>69</v>
      </c>
      <c r="E882" t="s">
        <v>78</v>
      </c>
      <c r="F882" t="s">
        <v>20</v>
      </c>
      <c r="G882" t="s">
        <v>74</v>
      </c>
      <c r="H882">
        <v>5</v>
      </c>
      <c r="I882">
        <v>4200</v>
      </c>
      <c r="J882">
        <v>10</v>
      </c>
      <c r="K882">
        <v>18900</v>
      </c>
      <c r="L882">
        <v>7560</v>
      </c>
      <c r="M882">
        <v>11340</v>
      </c>
      <c r="N882" t="s">
        <v>22</v>
      </c>
      <c r="O882" t="s">
        <v>50</v>
      </c>
      <c r="P882" t="s">
        <v>24</v>
      </c>
    </row>
    <row r="883" spans="1:16" x14ac:dyDescent="0.3">
      <c r="A883" t="s">
        <v>955</v>
      </c>
      <c r="B883" s="1">
        <v>44665</v>
      </c>
      <c r="C883" t="s">
        <v>58</v>
      </c>
      <c r="D883" t="s">
        <v>59</v>
      </c>
      <c r="E883" t="s">
        <v>78</v>
      </c>
      <c r="F883" t="s">
        <v>33</v>
      </c>
      <c r="G883" t="s">
        <v>39</v>
      </c>
      <c r="H883">
        <v>22</v>
      </c>
      <c r="I883">
        <v>5000</v>
      </c>
      <c r="J883">
        <v>5</v>
      </c>
      <c r="K883">
        <v>104500</v>
      </c>
      <c r="L883">
        <v>52250</v>
      </c>
      <c r="M883">
        <v>52250</v>
      </c>
      <c r="N883" t="s">
        <v>30</v>
      </c>
      <c r="O883" t="s">
        <v>50</v>
      </c>
      <c r="P883" t="s">
        <v>40</v>
      </c>
    </row>
    <row r="884" spans="1:16" x14ac:dyDescent="0.3">
      <c r="A884" t="s">
        <v>956</v>
      </c>
      <c r="B884" s="1">
        <v>45154</v>
      </c>
      <c r="C884" t="s">
        <v>17</v>
      </c>
      <c r="D884" t="s">
        <v>37</v>
      </c>
      <c r="E884" t="s">
        <v>19</v>
      </c>
      <c r="F884" t="s">
        <v>28</v>
      </c>
      <c r="G884" t="s">
        <v>29</v>
      </c>
      <c r="H884">
        <v>26</v>
      </c>
      <c r="I884">
        <v>15000</v>
      </c>
      <c r="J884">
        <v>5</v>
      </c>
      <c r="K884">
        <v>370500</v>
      </c>
      <c r="L884">
        <v>203775</v>
      </c>
      <c r="M884">
        <v>166725</v>
      </c>
      <c r="N884" t="s">
        <v>22</v>
      </c>
      <c r="O884" t="s">
        <v>67</v>
      </c>
      <c r="P884" t="s">
        <v>24</v>
      </c>
    </row>
    <row r="885" spans="1:16" x14ac:dyDescent="0.3">
      <c r="A885" t="s">
        <v>957</v>
      </c>
      <c r="B885" s="1">
        <v>44635</v>
      </c>
      <c r="C885" t="s">
        <v>58</v>
      </c>
      <c r="D885" t="s">
        <v>84</v>
      </c>
      <c r="E885" t="s">
        <v>70</v>
      </c>
      <c r="F885" t="s">
        <v>28</v>
      </c>
      <c r="G885" t="s">
        <v>29</v>
      </c>
      <c r="H885">
        <v>30</v>
      </c>
      <c r="I885">
        <v>15000</v>
      </c>
      <c r="J885">
        <v>10</v>
      </c>
      <c r="K885">
        <v>405000</v>
      </c>
      <c r="L885">
        <v>222750</v>
      </c>
      <c r="M885">
        <v>182250</v>
      </c>
      <c r="N885" t="s">
        <v>49</v>
      </c>
      <c r="O885" t="s">
        <v>35</v>
      </c>
      <c r="P885" t="s">
        <v>24</v>
      </c>
    </row>
    <row r="886" spans="1:16" x14ac:dyDescent="0.3">
      <c r="A886" t="s">
        <v>958</v>
      </c>
      <c r="B886" s="1">
        <v>44573</v>
      </c>
      <c r="C886" t="s">
        <v>46</v>
      </c>
      <c r="D886" t="s">
        <v>55</v>
      </c>
      <c r="E886" t="s">
        <v>70</v>
      </c>
      <c r="F886" t="s">
        <v>28</v>
      </c>
      <c r="G886" t="s">
        <v>95</v>
      </c>
      <c r="H886">
        <v>28</v>
      </c>
      <c r="I886">
        <v>75000</v>
      </c>
      <c r="J886">
        <v>15</v>
      </c>
      <c r="K886">
        <v>1785000</v>
      </c>
      <c r="L886">
        <v>981750</v>
      </c>
      <c r="M886">
        <v>803250</v>
      </c>
      <c r="N886" t="s">
        <v>30</v>
      </c>
      <c r="O886" t="s">
        <v>67</v>
      </c>
      <c r="P886" t="s">
        <v>24</v>
      </c>
    </row>
    <row r="887" spans="1:16" x14ac:dyDescent="0.3">
      <c r="A887" t="s">
        <v>959</v>
      </c>
      <c r="B887" s="1">
        <v>45540</v>
      </c>
      <c r="C887" t="s">
        <v>58</v>
      </c>
      <c r="D887" t="s">
        <v>84</v>
      </c>
      <c r="E887" t="s">
        <v>60</v>
      </c>
      <c r="F887" t="s">
        <v>28</v>
      </c>
      <c r="G887" t="s">
        <v>87</v>
      </c>
      <c r="H887">
        <v>50</v>
      </c>
      <c r="I887">
        <v>45000</v>
      </c>
      <c r="J887">
        <v>10</v>
      </c>
      <c r="K887">
        <v>2025000</v>
      </c>
      <c r="L887">
        <v>1113750</v>
      </c>
      <c r="M887">
        <v>911250</v>
      </c>
      <c r="N887" t="s">
        <v>49</v>
      </c>
      <c r="O887" t="s">
        <v>23</v>
      </c>
      <c r="P887" t="s">
        <v>24</v>
      </c>
    </row>
    <row r="888" spans="1:16" x14ac:dyDescent="0.3">
      <c r="A888" t="s">
        <v>960</v>
      </c>
      <c r="B888" s="1">
        <v>45270</v>
      </c>
      <c r="C888" t="s">
        <v>17</v>
      </c>
      <c r="D888" t="s">
        <v>37</v>
      </c>
      <c r="E888" t="s">
        <v>78</v>
      </c>
      <c r="F888" t="s">
        <v>33</v>
      </c>
      <c r="G888" t="s">
        <v>39</v>
      </c>
      <c r="H888">
        <v>29</v>
      </c>
      <c r="I888">
        <v>5000</v>
      </c>
      <c r="J888">
        <v>15</v>
      </c>
      <c r="K888">
        <v>123250</v>
      </c>
      <c r="L888">
        <v>61625</v>
      </c>
      <c r="M888">
        <v>61625</v>
      </c>
      <c r="N888" t="s">
        <v>30</v>
      </c>
      <c r="O888" t="s">
        <v>50</v>
      </c>
      <c r="P888" t="s">
        <v>24</v>
      </c>
    </row>
    <row r="889" spans="1:16" x14ac:dyDescent="0.3">
      <c r="A889" t="s">
        <v>961</v>
      </c>
      <c r="B889" s="1">
        <v>45383</v>
      </c>
      <c r="C889" t="s">
        <v>17</v>
      </c>
      <c r="D889" t="s">
        <v>42</v>
      </c>
      <c r="E889" t="s">
        <v>19</v>
      </c>
      <c r="F889" t="s">
        <v>28</v>
      </c>
      <c r="G889" t="s">
        <v>87</v>
      </c>
      <c r="H889">
        <v>19</v>
      </c>
      <c r="I889">
        <v>45000</v>
      </c>
      <c r="J889">
        <v>0</v>
      </c>
      <c r="K889">
        <v>855000</v>
      </c>
      <c r="L889">
        <v>470250</v>
      </c>
      <c r="M889">
        <v>384750</v>
      </c>
      <c r="N889" t="s">
        <v>49</v>
      </c>
      <c r="O889" t="s">
        <v>23</v>
      </c>
      <c r="P889" t="s">
        <v>24</v>
      </c>
    </row>
    <row r="890" spans="1:16" x14ac:dyDescent="0.3">
      <c r="A890" t="s">
        <v>962</v>
      </c>
      <c r="B890" s="1">
        <v>45201</v>
      </c>
      <c r="C890" t="s">
        <v>46</v>
      </c>
      <c r="D890" t="s">
        <v>47</v>
      </c>
      <c r="E890" t="s">
        <v>60</v>
      </c>
      <c r="F890" t="s">
        <v>33</v>
      </c>
      <c r="G890" t="s">
        <v>39</v>
      </c>
      <c r="H890">
        <v>27</v>
      </c>
      <c r="I890">
        <v>5000</v>
      </c>
      <c r="J890">
        <v>15</v>
      </c>
      <c r="K890">
        <v>114750</v>
      </c>
      <c r="L890">
        <v>57375</v>
      </c>
      <c r="M890">
        <v>57375</v>
      </c>
      <c r="N890" t="s">
        <v>49</v>
      </c>
      <c r="O890" t="s">
        <v>44</v>
      </c>
      <c r="P890" t="s">
        <v>40</v>
      </c>
    </row>
    <row r="891" spans="1:16" x14ac:dyDescent="0.3">
      <c r="A891" t="s">
        <v>963</v>
      </c>
      <c r="B891" s="1">
        <v>45194</v>
      </c>
      <c r="C891" t="s">
        <v>58</v>
      </c>
      <c r="D891" t="s">
        <v>64</v>
      </c>
      <c r="E891" t="s">
        <v>32</v>
      </c>
      <c r="F891" t="s">
        <v>20</v>
      </c>
      <c r="G891" t="s">
        <v>21</v>
      </c>
      <c r="H891">
        <v>7</v>
      </c>
      <c r="I891">
        <v>3500</v>
      </c>
      <c r="J891">
        <v>0</v>
      </c>
      <c r="K891">
        <v>24500</v>
      </c>
      <c r="L891">
        <v>9800</v>
      </c>
      <c r="M891">
        <v>14700</v>
      </c>
      <c r="N891" t="s">
        <v>30</v>
      </c>
      <c r="O891" t="s">
        <v>50</v>
      </c>
      <c r="P891" t="s">
        <v>24</v>
      </c>
    </row>
    <row r="892" spans="1:16" x14ac:dyDescent="0.3">
      <c r="A892" t="s">
        <v>964</v>
      </c>
      <c r="B892" s="1">
        <v>45536</v>
      </c>
      <c r="C892" t="s">
        <v>46</v>
      </c>
      <c r="D892" t="s">
        <v>47</v>
      </c>
      <c r="E892" t="s">
        <v>70</v>
      </c>
      <c r="F892" t="s">
        <v>65</v>
      </c>
      <c r="G892" t="s">
        <v>79</v>
      </c>
      <c r="H892">
        <v>48</v>
      </c>
      <c r="I892">
        <v>900</v>
      </c>
      <c r="J892">
        <v>0</v>
      </c>
      <c r="K892">
        <v>43200</v>
      </c>
      <c r="L892">
        <v>19440</v>
      </c>
      <c r="M892">
        <v>23760</v>
      </c>
      <c r="N892" t="s">
        <v>49</v>
      </c>
      <c r="O892" t="s">
        <v>50</v>
      </c>
      <c r="P892" t="s">
        <v>24</v>
      </c>
    </row>
    <row r="893" spans="1:16" x14ac:dyDescent="0.3">
      <c r="A893" t="s">
        <v>965</v>
      </c>
      <c r="B893" s="1">
        <v>45123</v>
      </c>
      <c r="C893" t="s">
        <v>26</v>
      </c>
      <c r="D893" t="s">
        <v>69</v>
      </c>
      <c r="E893" t="s">
        <v>19</v>
      </c>
      <c r="F893" t="s">
        <v>20</v>
      </c>
      <c r="G893" t="s">
        <v>53</v>
      </c>
      <c r="H893">
        <v>12</v>
      </c>
      <c r="I893">
        <v>600</v>
      </c>
      <c r="J893">
        <v>5</v>
      </c>
      <c r="K893">
        <v>6840</v>
      </c>
      <c r="L893">
        <v>2736</v>
      </c>
      <c r="M893">
        <v>4104</v>
      </c>
      <c r="N893" t="s">
        <v>30</v>
      </c>
      <c r="O893" t="s">
        <v>50</v>
      </c>
      <c r="P893" t="s">
        <v>24</v>
      </c>
    </row>
    <row r="894" spans="1:16" x14ac:dyDescent="0.3">
      <c r="A894" t="s">
        <v>966</v>
      </c>
      <c r="B894" s="1">
        <v>45038</v>
      </c>
      <c r="C894" t="s">
        <v>58</v>
      </c>
      <c r="D894" t="s">
        <v>84</v>
      </c>
      <c r="E894" t="s">
        <v>60</v>
      </c>
      <c r="F894" t="s">
        <v>28</v>
      </c>
      <c r="G894" t="s">
        <v>29</v>
      </c>
      <c r="H894">
        <v>40</v>
      </c>
      <c r="I894">
        <v>15000</v>
      </c>
      <c r="J894">
        <v>5</v>
      </c>
      <c r="K894">
        <v>570000</v>
      </c>
      <c r="L894">
        <v>313500</v>
      </c>
      <c r="M894">
        <v>256500</v>
      </c>
      <c r="N894" t="s">
        <v>22</v>
      </c>
      <c r="O894" t="s">
        <v>44</v>
      </c>
      <c r="P894" t="s">
        <v>24</v>
      </c>
    </row>
    <row r="895" spans="1:16" x14ac:dyDescent="0.3">
      <c r="A895" t="s">
        <v>967</v>
      </c>
      <c r="B895" s="1">
        <v>44989</v>
      </c>
      <c r="C895" t="s">
        <v>46</v>
      </c>
      <c r="D895" t="s">
        <v>55</v>
      </c>
      <c r="E895" t="s">
        <v>56</v>
      </c>
      <c r="F895" t="s">
        <v>33</v>
      </c>
      <c r="G895" t="s">
        <v>76</v>
      </c>
      <c r="H895">
        <v>10</v>
      </c>
      <c r="I895">
        <v>8500</v>
      </c>
      <c r="J895">
        <v>15</v>
      </c>
      <c r="K895">
        <v>72250</v>
      </c>
      <c r="L895">
        <v>36125</v>
      </c>
      <c r="M895">
        <v>36125</v>
      </c>
      <c r="N895" t="s">
        <v>22</v>
      </c>
      <c r="O895" t="s">
        <v>44</v>
      </c>
      <c r="P895" t="s">
        <v>24</v>
      </c>
    </row>
    <row r="896" spans="1:16" x14ac:dyDescent="0.3">
      <c r="A896" t="s">
        <v>968</v>
      </c>
      <c r="B896" s="1">
        <v>44740</v>
      </c>
      <c r="C896" t="s">
        <v>26</v>
      </c>
      <c r="D896" t="s">
        <v>69</v>
      </c>
      <c r="E896" t="s">
        <v>32</v>
      </c>
      <c r="F896" t="s">
        <v>33</v>
      </c>
      <c r="G896" t="s">
        <v>76</v>
      </c>
      <c r="H896">
        <v>15</v>
      </c>
      <c r="I896">
        <v>8500</v>
      </c>
      <c r="J896">
        <v>10</v>
      </c>
      <c r="K896">
        <v>114750</v>
      </c>
      <c r="L896">
        <v>57375</v>
      </c>
      <c r="M896">
        <v>57375</v>
      </c>
      <c r="N896" t="s">
        <v>49</v>
      </c>
      <c r="O896" t="s">
        <v>35</v>
      </c>
      <c r="P896" t="s">
        <v>24</v>
      </c>
    </row>
    <row r="897" spans="1:16" x14ac:dyDescent="0.3">
      <c r="A897" t="s">
        <v>969</v>
      </c>
      <c r="B897" s="1">
        <v>45549</v>
      </c>
      <c r="C897" t="s">
        <v>26</v>
      </c>
      <c r="D897" t="s">
        <v>69</v>
      </c>
      <c r="E897" t="s">
        <v>52</v>
      </c>
      <c r="F897" t="s">
        <v>33</v>
      </c>
      <c r="G897" t="s">
        <v>34</v>
      </c>
      <c r="H897">
        <v>18</v>
      </c>
      <c r="I897">
        <v>25000</v>
      </c>
      <c r="J897">
        <v>10</v>
      </c>
      <c r="K897">
        <v>405000</v>
      </c>
      <c r="L897">
        <v>202500</v>
      </c>
      <c r="M897">
        <v>202500</v>
      </c>
      <c r="N897" t="s">
        <v>30</v>
      </c>
      <c r="O897" t="s">
        <v>50</v>
      </c>
      <c r="P897" t="s">
        <v>24</v>
      </c>
    </row>
    <row r="898" spans="1:16" x14ac:dyDescent="0.3">
      <c r="A898" t="s">
        <v>970</v>
      </c>
      <c r="B898" s="1">
        <v>44657</v>
      </c>
      <c r="C898" t="s">
        <v>26</v>
      </c>
      <c r="D898" t="s">
        <v>27</v>
      </c>
      <c r="E898" t="s">
        <v>56</v>
      </c>
      <c r="F898" t="s">
        <v>33</v>
      </c>
      <c r="G898" t="s">
        <v>76</v>
      </c>
      <c r="H898">
        <v>19</v>
      </c>
      <c r="I898">
        <v>8500</v>
      </c>
      <c r="J898">
        <v>15</v>
      </c>
      <c r="K898">
        <v>137275</v>
      </c>
      <c r="L898">
        <v>68637.5</v>
      </c>
      <c r="M898">
        <v>68637.5</v>
      </c>
      <c r="N898" t="s">
        <v>22</v>
      </c>
      <c r="O898" t="s">
        <v>35</v>
      </c>
      <c r="P898" t="s">
        <v>24</v>
      </c>
    </row>
    <row r="899" spans="1:16" x14ac:dyDescent="0.3">
      <c r="A899" t="s">
        <v>971</v>
      </c>
      <c r="B899" s="1">
        <v>45388</v>
      </c>
      <c r="C899" t="s">
        <v>17</v>
      </c>
      <c r="D899" t="s">
        <v>37</v>
      </c>
      <c r="E899" t="s">
        <v>70</v>
      </c>
      <c r="F899" t="s">
        <v>33</v>
      </c>
      <c r="G899" t="s">
        <v>34</v>
      </c>
      <c r="H899">
        <v>8</v>
      </c>
      <c r="I899">
        <v>25000</v>
      </c>
      <c r="J899">
        <v>0</v>
      </c>
      <c r="K899">
        <v>200000</v>
      </c>
      <c r="L899">
        <v>100000</v>
      </c>
      <c r="M899">
        <v>100000</v>
      </c>
      <c r="N899" t="s">
        <v>22</v>
      </c>
      <c r="O899" t="s">
        <v>67</v>
      </c>
      <c r="P899" t="s">
        <v>24</v>
      </c>
    </row>
    <row r="900" spans="1:16" x14ac:dyDescent="0.3">
      <c r="A900" t="s">
        <v>972</v>
      </c>
      <c r="B900" s="1">
        <v>44815</v>
      </c>
      <c r="C900" t="s">
        <v>17</v>
      </c>
      <c r="D900" t="s">
        <v>42</v>
      </c>
      <c r="E900" t="s">
        <v>70</v>
      </c>
      <c r="F900" t="s">
        <v>33</v>
      </c>
      <c r="G900" t="s">
        <v>76</v>
      </c>
      <c r="H900">
        <v>42</v>
      </c>
      <c r="I900">
        <v>8500</v>
      </c>
      <c r="J900">
        <v>10</v>
      </c>
      <c r="K900">
        <v>321300</v>
      </c>
      <c r="L900">
        <v>160650</v>
      </c>
      <c r="M900">
        <v>160650</v>
      </c>
      <c r="N900" t="s">
        <v>22</v>
      </c>
      <c r="O900" t="s">
        <v>23</v>
      </c>
      <c r="P900" t="s">
        <v>24</v>
      </c>
    </row>
    <row r="901" spans="1:16" x14ac:dyDescent="0.3">
      <c r="A901" t="s">
        <v>973</v>
      </c>
      <c r="B901" s="1">
        <v>44716</v>
      </c>
      <c r="C901" t="s">
        <v>46</v>
      </c>
      <c r="D901" t="s">
        <v>47</v>
      </c>
      <c r="E901" t="s">
        <v>56</v>
      </c>
      <c r="F901" t="s">
        <v>20</v>
      </c>
      <c r="G901" t="s">
        <v>74</v>
      </c>
      <c r="H901">
        <v>46</v>
      </c>
      <c r="I901">
        <v>4200</v>
      </c>
      <c r="J901">
        <v>15</v>
      </c>
      <c r="K901">
        <v>164220</v>
      </c>
      <c r="L901">
        <v>65688</v>
      </c>
      <c r="M901">
        <v>98532</v>
      </c>
      <c r="N901" t="s">
        <v>30</v>
      </c>
      <c r="O901" t="s">
        <v>67</v>
      </c>
      <c r="P901" t="s">
        <v>24</v>
      </c>
    </row>
    <row r="902" spans="1:16" x14ac:dyDescent="0.3">
      <c r="A902" t="s">
        <v>974</v>
      </c>
      <c r="B902" s="1">
        <v>45209</v>
      </c>
      <c r="C902" t="s">
        <v>58</v>
      </c>
      <c r="D902" t="s">
        <v>84</v>
      </c>
      <c r="E902" t="s">
        <v>111</v>
      </c>
      <c r="F902" t="s">
        <v>20</v>
      </c>
      <c r="G902" t="s">
        <v>21</v>
      </c>
      <c r="H902">
        <v>9</v>
      </c>
      <c r="I902">
        <v>3500</v>
      </c>
      <c r="J902">
        <v>5</v>
      </c>
      <c r="K902">
        <v>29925</v>
      </c>
      <c r="L902">
        <v>11970</v>
      </c>
      <c r="M902">
        <v>17955</v>
      </c>
      <c r="N902" t="s">
        <v>22</v>
      </c>
      <c r="O902" t="s">
        <v>50</v>
      </c>
      <c r="P902" t="s">
        <v>24</v>
      </c>
    </row>
    <row r="903" spans="1:16" x14ac:dyDescent="0.3">
      <c r="A903" t="s">
        <v>975</v>
      </c>
      <c r="B903" s="1">
        <v>45638</v>
      </c>
      <c r="C903" t="s">
        <v>17</v>
      </c>
      <c r="D903" t="s">
        <v>37</v>
      </c>
      <c r="E903" t="s">
        <v>52</v>
      </c>
      <c r="F903" t="s">
        <v>65</v>
      </c>
      <c r="G903" t="s">
        <v>117</v>
      </c>
      <c r="H903">
        <v>31</v>
      </c>
      <c r="I903">
        <v>1200</v>
      </c>
      <c r="J903">
        <v>15</v>
      </c>
      <c r="K903">
        <v>31620</v>
      </c>
      <c r="L903">
        <v>14229</v>
      </c>
      <c r="M903">
        <v>17391</v>
      </c>
      <c r="N903" t="s">
        <v>22</v>
      </c>
      <c r="O903" t="s">
        <v>35</v>
      </c>
      <c r="P903" t="s">
        <v>40</v>
      </c>
    </row>
    <row r="904" spans="1:16" x14ac:dyDescent="0.3">
      <c r="A904" t="s">
        <v>976</v>
      </c>
      <c r="B904" s="1">
        <v>44885</v>
      </c>
      <c r="C904" t="s">
        <v>17</v>
      </c>
      <c r="D904" t="s">
        <v>42</v>
      </c>
      <c r="E904" t="s">
        <v>78</v>
      </c>
      <c r="F904" t="s">
        <v>33</v>
      </c>
      <c r="G904" t="s">
        <v>39</v>
      </c>
      <c r="H904">
        <v>37</v>
      </c>
      <c r="I904">
        <v>5000</v>
      </c>
      <c r="J904">
        <v>0</v>
      </c>
      <c r="K904">
        <v>185000</v>
      </c>
      <c r="L904">
        <v>92500</v>
      </c>
      <c r="M904">
        <v>92500</v>
      </c>
      <c r="N904" t="s">
        <v>22</v>
      </c>
      <c r="O904" t="s">
        <v>23</v>
      </c>
      <c r="P904" t="s">
        <v>24</v>
      </c>
    </row>
    <row r="905" spans="1:16" x14ac:dyDescent="0.3">
      <c r="A905" t="s">
        <v>977</v>
      </c>
      <c r="B905" s="1">
        <v>45526</v>
      </c>
      <c r="C905" t="s">
        <v>26</v>
      </c>
      <c r="D905" t="s">
        <v>27</v>
      </c>
      <c r="E905" t="s">
        <v>60</v>
      </c>
      <c r="F905" t="s">
        <v>65</v>
      </c>
      <c r="G905" t="s">
        <v>79</v>
      </c>
      <c r="H905">
        <v>50</v>
      </c>
      <c r="I905">
        <v>900</v>
      </c>
      <c r="J905">
        <v>15</v>
      </c>
      <c r="K905">
        <v>38250</v>
      </c>
      <c r="L905">
        <v>17212.5</v>
      </c>
      <c r="M905">
        <v>21037.5</v>
      </c>
      <c r="N905" t="s">
        <v>22</v>
      </c>
      <c r="O905" t="s">
        <v>50</v>
      </c>
      <c r="P905" t="s">
        <v>24</v>
      </c>
    </row>
    <row r="906" spans="1:16" x14ac:dyDescent="0.3">
      <c r="A906" t="s">
        <v>978</v>
      </c>
      <c r="B906" s="1">
        <v>44963</v>
      </c>
      <c r="C906" t="s">
        <v>26</v>
      </c>
      <c r="D906" t="s">
        <v>27</v>
      </c>
      <c r="E906" t="s">
        <v>38</v>
      </c>
      <c r="F906" t="s">
        <v>20</v>
      </c>
      <c r="G906" t="s">
        <v>53</v>
      </c>
      <c r="H906">
        <v>45</v>
      </c>
      <c r="I906">
        <v>600</v>
      </c>
      <c r="J906">
        <v>0</v>
      </c>
      <c r="K906">
        <v>27000</v>
      </c>
      <c r="L906">
        <v>10800</v>
      </c>
      <c r="M906">
        <v>16200</v>
      </c>
      <c r="N906" t="s">
        <v>49</v>
      </c>
      <c r="O906" t="s">
        <v>67</v>
      </c>
      <c r="P906" t="s">
        <v>40</v>
      </c>
    </row>
    <row r="907" spans="1:16" x14ac:dyDescent="0.3">
      <c r="A907" t="s">
        <v>979</v>
      </c>
      <c r="B907" s="1">
        <v>45574</v>
      </c>
      <c r="C907" t="s">
        <v>17</v>
      </c>
      <c r="D907" t="s">
        <v>18</v>
      </c>
      <c r="E907" t="s">
        <v>73</v>
      </c>
      <c r="F907" t="s">
        <v>33</v>
      </c>
      <c r="G907" t="s">
        <v>43</v>
      </c>
      <c r="H907">
        <v>8</v>
      </c>
      <c r="I907">
        <v>4000</v>
      </c>
      <c r="J907">
        <v>5</v>
      </c>
      <c r="K907">
        <v>30400</v>
      </c>
      <c r="L907">
        <v>15200</v>
      </c>
      <c r="M907">
        <v>15200</v>
      </c>
      <c r="N907" t="s">
        <v>30</v>
      </c>
      <c r="O907" t="s">
        <v>67</v>
      </c>
      <c r="P907" t="s">
        <v>24</v>
      </c>
    </row>
    <row r="908" spans="1:16" x14ac:dyDescent="0.3">
      <c r="A908" t="s">
        <v>980</v>
      </c>
      <c r="B908" s="1">
        <v>45026</v>
      </c>
      <c r="C908" t="s">
        <v>26</v>
      </c>
      <c r="D908" t="s">
        <v>27</v>
      </c>
      <c r="E908" t="s">
        <v>73</v>
      </c>
      <c r="F908" t="s">
        <v>20</v>
      </c>
      <c r="G908" t="s">
        <v>61</v>
      </c>
      <c r="H908">
        <v>4</v>
      </c>
      <c r="I908">
        <v>800</v>
      </c>
      <c r="J908">
        <v>5</v>
      </c>
      <c r="K908">
        <v>3040</v>
      </c>
      <c r="L908">
        <v>1216</v>
      </c>
      <c r="M908">
        <v>1824</v>
      </c>
      <c r="N908" t="s">
        <v>22</v>
      </c>
      <c r="O908" t="s">
        <v>35</v>
      </c>
      <c r="P908" t="s">
        <v>24</v>
      </c>
    </row>
    <row r="909" spans="1:16" x14ac:dyDescent="0.3">
      <c r="A909" t="s">
        <v>981</v>
      </c>
      <c r="B909" s="1">
        <v>44582</v>
      </c>
      <c r="C909" t="s">
        <v>17</v>
      </c>
      <c r="D909" t="s">
        <v>42</v>
      </c>
      <c r="E909" t="s">
        <v>38</v>
      </c>
      <c r="F909" t="s">
        <v>33</v>
      </c>
      <c r="G909" t="s">
        <v>34</v>
      </c>
      <c r="H909">
        <v>6</v>
      </c>
      <c r="I909">
        <v>25000</v>
      </c>
      <c r="J909">
        <v>20</v>
      </c>
      <c r="K909">
        <v>120000</v>
      </c>
      <c r="L909">
        <v>60000</v>
      </c>
      <c r="M909">
        <v>60000</v>
      </c>
      <c r="N909" t="s">
        <v>22</v>
      </c>
      <c r="O909" t="s">
        <v>44</v>
      </c>
      <c r="P909" t="s">
        <v>24</v>
      </c>
    </row>
    <row r="910" spans="1:16" x14ac:dyDescent="0.3">
      <c r="A910" t="s">
        <v>982</v>
      </c>
      <c r="B910" s="1">
        <v>45371</v>
      </c>
      <c r="C910" t="s">
        <v>17</v>
      </c>
      <c r="D910" t="s">
        <v>37</v>
      </c>
      <c r="E910" t="s">
        <v>56</v>
      </c>
      <c r="F910" t="s">
        <v>28</v>
      </c>
      <c r="G910" t="s">
        <v>71</v>
      </c>
      <c r="H910">
        <v>15</v>
      </c>
      <c r="I910">
        <v>35000</v>
      </c>
      <c r="J910">
        <v>10</v>
      </c>
      <c r="K910">
        <v>472500</v>
      </c>
      <c r="L910">
        <v>259875</v>
      </c>
      <c r="M910">
        <v>212625</v>
      </c>
      <c r="N910" t="s">
        <v>49</v>
      </c>
      <c r="O910" t="s">
        <v>35</v>
      </c>
      <c r="P910" t="s">
        <v>24</v>
      </c>
    </row>
    <row r="911" spans="1:16" x14ac:dyDescent="0.3">
      <c r="A911" t="s">
        <v>983</v>
      </c>
      <c r="B911" s="1">
        <v>45618</v>
      </c>
      <c r="C911" t="s">
        <v>26</v>
      </c>
      <c r="D911" t="s">
        <v>69</v>
      </c>
      <c r="E911" t="s">
        <v>73</v>
      </c>
      <c r="F911" t="s">
        <v>20</v>
      </c>
      <c r="G911" t="s">
        <v>115</v>
      </c>
      <c r="H911">
        <v>15</v>
      </c>
      <c r="I911">
        <v>2500</v>
      </c>
      <c r="J911">
        <v>10</v>
      </c>
      <c r="K911">
        <v>33750</v>
      </c>
      <c r="L911">
        <v>13500</v>
      </c>
      <c r="M911">
        <v>20250</v>
      </c>
      <c r="N911" t="s">
        <v>30</v>
      </c>
      <c r="O911" t="s">
        <v>67</v>
      </c>
      <c r="P911" t="s">
        <v>24</v>
      </c>
    </row>
    <row r="912" spans="1:16" x14ac:dyDescent="0.3">
      <c r="A912" t="s">
        <v>984</v>
      </c>
      <c r="B912" s="1">
        <v>45327</v>
      </c>
      <c r="C912" t="s">
        <v>58</v>
      </c>
      <c r="D912" t="s">
        <v>84</v>
      </c>
      <c r="E912" t="s">
        <v>32</v>
      </c>
      <c r="F912" t="s">
        <v>33</v>
      </c>
      <c r="G912" t="s">
        <v>76</v>
      </c>
      <c r="H912">
        <v>31</v>
      </c>
      <c r="I912">
        <v>8500</v>
      </c>
      <c r="J912">
        <v>0</v>
      </c>
      <c r="K912">
        <v>263500</v>
      </c>
      <c r="L912">
        <v>131750</v>
      </c>
      <c r="M912">
        <v>131750</v>
      </c>
      <c r="N912" t="s">
        <v>30</v>
      </c>
      <c r="O912" t="s">
        <v>23</v>
      </c>
      <c r="P912" t="s">
        <v>24</v>
      </c>
    </row>
    <row r="913" spans="1:16" x14ac:dyDescent="0.3">
      <c r="A913" t="s">
        <v>985</v>
      </c>
      <c r="B913" s="1">
        <v>44922</v>
      </c>
      <c r="C913" t="s">
        <v>46</v>
      </c>
      <c r="D913" t="s">
        <v>47</v>
      </c>
      <c r="E913" t="s">
        <v>38</v>
      </c>
      <c r="F913" t="s">
        <v>65</v>
      </c>
      <c r="G913" t="s">
        <v>104</v>
      </c>
      <c r="H913">
        <v>42</v>
      </c>
      <c r="I913">
        <v>3000</v>
      </c>
      <c r="J913">
        <v>10</v>
      </c>
      <c r="K913">
        <v>113400</v>
      </c>
      <c r="L913">
        <v>51030</v>
      </c>
      <c r="M913">
        <v>62370</v>
      </c>
      <c r="N913" t="s">
        <v>49</v>
      </c>
      <c r="O913" t="s">
        <v>44</v>
      </c>
      <c r="P913" t="s">
        <v>24</v>
      </c>
    </row>
    <row r="914" spans="1:16" x14ac:dyDescent="0.3">
      <c r="A914" t="s">
        <v>986</v>
      </c>
      <c r="B914" s="1">
        <v>44922</v>
      </c>
      <c r="C914" t="s">
        <v>58</v>
      </c>
      <c r="D914" t="s">
        <v>64</v>
      </c>
      <c r="E914" t="s">
        <v>38</v>
      </c>
      <c r="F914" t="s">
        <v>20</v>
      </c>
      <c r="G914" t="s">
        <v>21</v>
      </c>
      <c r="H914">
        <v>10</v>
      </c>
      <c r="I914">
        <v>3500</v>
      </c>
      <c r="J914">
        <v>0</v>
      </c>
      <c r="K914">
        <v>35000</v>
      </c>
      <c r="L914">
        <v>14000</v>
      </c>
      <c r="M914">
        <v>21000</v>
      </c>
      <c r="N914" t="s">
        <v>30</v>
      </c>
      <c r="O914" t="s">
        <v>23</v>
      </c>
      <c r="P914" t="s">
        <v>24</v>
      </c>
    </row>
    <row r="915" spans="1:16" x14ac:dyDescent="0.3">
      <c r="A915" t="s">
        <v>987</v>
      </c>
      <c r="B915" s="1">
        <v>45326</v>
      </c>
      <c r="C915" t="s">
        <v>46</v>
      </c>
      <c r="D915" t="s">
        <v>47</v>
      </c>
      <c r="E915" t="s">
        <v>38</v>
      </c>
      <c r="F915" t="s">
        <v>28</v>
      </c>
      <c r="G915" t="s">
        <v>85</v>
      </c>
      <c r="H915">
        <v>25</v>
      </c>
      <c r="I915">
        <v>8000</v>
      </c>
      <c r="J915">
        <v>0</v>
      </c>
      <c r="K915">
        <v>200000</v>
      </c>
      <c r="L915">
        <v>110000</v>
      </c>
      <c r="M915">
        <v>90000</v>
      </c>
      <c r="N915" t="s">
        <v>30</v>
      </c>
      <c r="O915" t="s">
        <v>35</v>
      </c>
      <c r="P915" t="s">
        <v>24</v>
      </c>
    </row>
    <row r="916" spans="1:16" x14ac:dyDescent="0.3">
      <c r="A916" t="s">
        <v>988</v>
      </c>
      <c r="B916" s="1">
        <v>44812</v>
      </c>
      <c r="C916" t="s">
        <v>26</v>
      </c>
      <c r="D916" t="s">
        <v>69</v>
      </c>
      <c r="E916" t="s">
        <v>78</v>
      </c>
      <c r="F916" t="s">
        <v>28</v>
      </c>
      <c r="G916" t="s">
        <v>95</v>
      </c>
      <c r="H916">
        <v>7</v>
      </c>
      <c r="I916">
        <v>75000</v>
      </c>
      <c r="J916">
        <v>20</v>
      </c>
      <c r="K916">
        <v>420000</v>
      </c>
      <c r="L916">
        <v>231000</v>
      </c>
      <c r="M916">
        <v>189000</v>
      </c>
      <c r="N916" t="s">
        <v>22</v>
      </c>
      <c r="O916" t="s">
        <v>35</v>
      </c>
      <c r="P916" t="s">
        <v>24</v>
      </c>
    </row>
    <row r="917" spans="1:16" x14ac:dyDescent="0.3">
      <c r="A917" t="s">
        <v>989</v>
      </c>
      <c r="B917" s="1">
        <v>44931</v>
      </c>
      <c r="C917" t="s">
        <v>58</v>
      </c>
      <c r="D917" t="s">
        <v>64</v>
      </c>
      <c r="E917" t="s">
        <v>60</v>
      </c>
      <c r="F917" t="s">
        <v>20</v>
      </c>
      <c r="G917" t="s">
        <v>61</v>
      </c>
      <c r="H917">
        <v>22</v>
      </c>
      <c r="I917">
        <v>800</v>
      </c>
      <c r="J917">
        <v>15</v>
      </c>
      <c r="K917">
        <v>14960</v>
      </c>
      <c r="L917">
        <v>5984</v>
      </c>
      <c r="M917">
        <v>8976</v>
      </c>
      <c r="N917" t="s">
        <v>30</v>
      </c>
      <c r="O917" t="s">
        <v>35</v>
      </c>
      <c r="P917" t="s">
        <v>24</v>
      </c>
    </row>
    <row r="918" spans="1:16" x14ac:dyDescent="0.3">
      <c r="A918" t="s">
        <v>990</v>
      </c>
      <c r="B918" s="1">
        <v>45619</v>
      </c>
      <c r="C918" t="s">
        <v>17</v>
      </c>
      <c r="D918" t="s">
        <v>42</v>
      </c>
      <c r="E918" t="s">
        <v>111</v>
      </c>
      <c r="F918" t="s">
        <v>28</v>
      </c>
      <c r="G918" t="s">
        <v>95</v>
      </c>
      <c r="H918">
        <v>3</v>
      </c>
      <c r="I918">
        <v>75000</v>
      </c>
      <c r="J918">
        <v>0</v>
      </c>
      <c r="K918">
        <v>225000</v>
      </c>
      <c r="L918">
        <v>123750</v>
      </c>
      <c r="M918">
        <v>101250</v>
      </c>
      <c r="N918" t="s">
        <v>49</v>
      </c>
      <c r="O918" t="s">
        <v>35</v>
      </c>
      <c r="P918" t="s">
        <v>40</v>
      </c>
    </row>
    <row r="919" spans="1:16" x14ac:dyDescent="0.3">
      <c r="A919" t="s">
        <v>991</v>
      </c>
      <c r="B919" s="1">
        <v>45562</v>
      </c>
      <c r="C919" t="s">
        <v>58</v>
      </c>
      <c r="D919" t="s">
        <v>84</v>
      </c>
      <c r="E919" t="s">
        <v>56</v>
      </c>
      <c r="F919" t="s">
        <v>20</v>
      </c>
      <c r="G919" t="s">
        <v>21</v>
      </c>
      <c r="H919">
        <v>15</v>
      </c>
      <c r="I919">
        <v>3500</v>
      </c>
      <c r="J919">
        <v>15</v>
      </c>
      <c r="K919">
        <v>44625</v>
      </c>
      <c r="L919">
        <v>17850</v>
      </c>
      <c r="M919">
        <v>26775</v>
      </c>
      <c r="N919" t="s">
        <v>30</v>
      </c>
      <c r="O919" t="s">
        <v>50</v>
      </c>
      <c r="P919" t="s">
        <v>24</v>
      </c>
    </row>
    <row r="920" spans="1:16" x14ac:dyDescent="0.3">
      <c r="A920" t="s">
        <v>992</v>
      </c>
      <c r="B920" s="1">
        <v>45115</v>
      </c>
      <c r="C920" t="s">
        <v>58</v>
      </c>
      <c r="D920" t="s">
        <v>64</v>
      </c>
      <c r="E920" t="s">
        <v>52</v>
      </c>
      <c r="F920" t="s">
        <v>65</v>
      </c>
      <c r="G920" t="s">
        <v>104</v>
      </c>
      <c r="H920">
        <v>8</v>
      </c>
      <c r="I920">
        <v>3000</v>
      </c>
      <c r="J920">
        <v>5</v>
      </c>
      <c r="K920">
        <v>22800</v>
      </c>
      <c r="L920">
        <v>10260</v>
      </c>
      <c r="M920">
        <v>12540</v>
      </c>
      <c r="N920" t="s">
        <v>49</v>
      </c>
      <c r="O920" t="s">
        <v>50</v>
      </c>
      <c r="P920" t="s">
        <v>24</v>
      </c>
    </row>
    <row r="921" spans="1:16" x14ac:dyDescent="0.3">
      <c r="A921" t="s">
        <v>993</v>
      </c>
      <c r="B921" s="1">
        <v>44701</v>
      </c>
      <c r="C921" t="s">
        <v>17</v>
      </c>
      <c r="D921" t="s">
        <v>18</v>
      </c>
      <c r="E921" t="s">
        <v>70</v>
      </c>
      <c r="F921" t="s">
        <v>28</v>
      </c>
      <c r="G921" t="s">
        <v>95</v>
      </c>
      <c r="H921">
        <v>39</v>
      </c>
      <c r="I921">
        <v>75000</v>
      </c>
      <c r="J921">
        <v>5</v>
      </c>
      <c r="K921">
        <v>2778750</v>
      </c>
      <c r="L921">
        <v>1528312.5</v>
      </c>
      <c r="M921">
        <v>1250437.5</v>
      </c>
      <c r="N921" t="s">
        <v>49</v>
      </c>
      <c r="O921" t="s">
        <v>67</v>
      </c>
      <c r="P921" t="s">
        <v>24</v>
      </c>
    </row>
    <row r="922" spans="1:16" x14ac:dyDescent="0.3">
      <c r="A922" t="s">
        <v>994</v>
      </c>
      <c r="B922" s="1">
        <v>45219</v>
      </c>
      <c r="C922" t="s">
        <v>46</v>
      </c>
      <c r="D922" t="s">
        <v>55</v>
      </c>
      <c r="E922" t="s">
        <v>78</v>
      </c>
      <c r="F922" t="s">
        <v>33</v>
      </c>
      <c r="G922" t="s">
        <v>43</v>
      </c>
      <c r="H922">
        <v>19</v>
      </c>
      <c r="I922">
        <v>4000</v>
      </c>
      <c r="J922">
        <v>10</v>
      </c>
      <c r="K922">
        <v>68400</v>
      </c>
      <c r="L922">
        <v>34200</v>
      </c>
      <c r="M922">
        <v>34200</v>
      </c>
      <c r="N922" t="s">
        <v>49</v>
      </c>
      <c r="O922" t="s">
        <v>23</v>
      </c>
      <c r="P922" t="s">
        <v>24</v>
      </c>
    </row>
    <row r="923" spans="1:16" x14ac:dyDescent="0.3">
      <c r="A923" t="s">
        <v>995</v>
      </c>
      <c r="B923" s="1">
        <v>45269</v>
      </c>
      <c r="C923" t="s">
        <v>26</v>
      </c>
      <c r="D923" t="s">
        <v>27</v>
      </c>
      <c r="E923" t="s">
        <v>78</v>
      </c>
      <c r="F923" t="s">
        <v>20</v>
      </c>
      <c r="G923" t="s">
        <v>61</v>
      </c>
      <c r="H923">
        <v>10</v>
      </c>
      <c r="I923">
        <v>800</v>
      </c>
      <c r="J923">
        <v>15</v>
      </c>
      <c r="K923">
        <v>6800</v>
      </c>
      <c r="L923">
        <v>2720</v>
      </c>
      <c r="M923">
        <v>4080</v>
      </c>
      <c r="N923" t="s">
        <v>22</v>
      </c>
      <c r="O923" t="s">
        <v>23</v>
      </c>
      <c r="P923" t="s">
        <v>24</v>
      </c>
    </row>
    <row r="924" spans="1:16" x14ac:dyDescent="0.3">
      <c r="A924" t="s">
        <v>996</v>
      </c>
      <c r="B924" s="1">
        <v>44685</v>
      </c>
      <c r="C924" t="s">
        <v>58</v>
      </c>
      <c r="D924" t="s">
        <v>64</v>
      </c>
      <c r="E924" t="s">
        <v>73</v>
      </c>
      <c r="F924" t="s">
        <v>20</v>
      </c>
      <c r="G924" t="s">
        <v>21</v>
      </c>
      <c r="H924">
        <v>21</v>
      </c>
      <c r="I924">
        <v>3500</v>
      </c>
      <c r="J924">
        <v>5</v>
      </c>
      <c r="K924">
        <v>69825</v>
      </c>
      <c r="L924">
        <v>27930</v>
      </c>
      <c r="M924">
        <v>41895</v>
      </c>
      <c r="N924" t="s">
        <v>49</v>
      </c>
      <c r="O924" t="s">
        <v>50</v>
      </c>
      <c r="P924" t="s">
        <v>24</v>
      </c>
    </row>
    <row r="925" spans="1:16" x14ac:dyDescent="0.3">
      <c r="A925" t="s">
        <v>997</v>
      </c>
      <c r="B925" s="1">
        <v>45185</v>
      </c>
      <c r="C925" t="s">
        <v>58</v>
      </c>
      <c r="D925" t="s">
        <v>59</v>
      </c>
      <c r="E925" t="s">
        <v>32</v>
      </c>
      <c r="F925" t="s">
        <v>33</v>
      </c>
      <c r="G925" t="s">
        <v>76</v>
      </c>
      <c r="H925">
        <v>42</v>
      </c>
      <c r="I925">
        <v>8500</v>
      </c>
      <c r="J925">
        <v>5</v>
      </c>
      <c r="K925">
        <v>339150</v>
      </c>
      <c r="L925">
        <v>169575</v>
      </c>
      <c r="M925">
        <v>169575</v>
      </c>
      <c r="N925" t="s">
        <v>49</v>
      </c>
      <c r="O925" t="s">
        <v>67</v>
      </c>
      <c r="P925" t="s">
        <v>24</v>
      </c>
    </row>
    <row r="926" spans="1:16" x14ac:dyDescent="0.3">
      <c r="A926" t="s">
        <v>998</v>
      </c>
      <c r="B926" s="1">
        <v>45522</v>
      </c>
      <c r="C926" t="s">
        <v>58</v>
      </c>
      <c r="D926" t="s">
        <v>64</v>
      </c>
      <c r="E926" t="s">
        <v>111</v>
      </c>
      <c r="F926" t="s">
        <v>20</v>
      </c>
      <c r="G926" t="s">
        <v>115</v>
      </c>
      <c r="H926">
        <v>6</v>
      </c>
      <c r="I926">
        <v>2500</v>
      </c>
      <c r="J926">
        <v>20</v>
      </c>
      <c r="K926">
        <v>12000</v>
      </c>
      <c r="L926">
        <v>4800</v>
      </c>
      <c r="M926">
        <v>7200</v>
      </c>
      <c r="N926" t="s">
        <v>22</v>
      </c>
      <c r="O926" t="s">
        <v>67</v>
      </c>
      <c r="P926" t="s">
        <v>24</v>
      </c>
    </row>
    <row r="927" spans="1:16" x14ac:dyDescent="0.3">
      <c r="A927" t="s">
        <v>999</v>
      </c>
      <c r="B927" s="1">
        <v>45008</v>
      </c>
      <c r="C927" t="s">
        <v>26</v>
      </c>
      <c r="D927" t="s">
        <v>27</v>
      </c>
      <c r="E927" t="s">
        <v>70</v>
      </c>
      <c r="F927" t="s">
        <v>28</v>
      </c>
      <c r="G927" t="s">
        <v>87</v>
      </c>
      <c r="H927">
        <v>2</v>
      </c>
      <c r="I927">
        <v>45000</v>
      </c>
      <c r="J927">
        <v>10</v>
      </c>
      <c r="K927">
        <v>81000</v>
      </c>
      <c r="L927">
        <v>44550</v>
      </c>
      <c r="M927">
        <v>36450</v>
      </c>
      <c r="N927" t="s">
        <v>49</v>
      </c>
      <c r="O927" t="s">
        <v>44</v>
      </c>
      <c r="P927" t="s">
        <v>40</v>
      </c>
    </row>
    <row r="928" spans="1:16" x14ac:dyDescent="0.3">
      <c r="A928" t="s">
        <v>1000</v>
      </c>
      <c r="B928" s="1">
        <v>44775</v>
      </c>
      <c r="C928" t="s">
        <v>17</v>
      </c>
      <c r="D928" t="s">
        <v>37</v>
      </c>
      <c r="E928" t="s">
        <v>78</v>
      </c>
      <c r="F928" t="s">
        <v>33</v>
      </c>
      <c r="G928" t="s">
        <v>48</v>
      </c>
      <c r="H928">
        <v>10</v>
      </c>
      <c r="I928">
        <v>1500</v>
      </c>
      <c r="J928">
        <v>20</v>
      </c>
      <c r="K928">
        <v>12000</v>
      </c>
      <c r="L928">
        <v>6000</v>
      </c>
      <c r="M928">
        <v>6000</v>
      </c>
      <c r="N928" t="s">
        <v>30</v>
      </c>
      <c r="O928" t="s">
        <v>44</v>
      </c>
      <c r="P928" t="s">
        <v>24</v>
      </c>
    </row>
    <row r="929" spans="1:16" x14ac:dyDescent="0.3">
      <c r="A929" t="s">
        <v>1001</v>
      </c>
      <c r="B929" s="1">
        <v>44987</v>
      </c>
      <c r="C929" t="s">
        <v>46</v>
      </c>
      <c r="D929" t="s">
        <v>47</v>
      </c>
      <c r="E929" t="s">
        <v>78</v>
      </c>
      <c r="F929" t="s">
        <v>65</v>
      </c>
      <c r="G929" t="s">
        <v>117</v>
      </c>
      <c r="H929">
        <v>45</v>
      </c>
      <c r="I929">
        <v>1200</v>
      </c>
      <c r="J929">
        <v>15</v>
      </c>
      <c r="K929">
        <v>45900</v>
      </c>
      <c r="L929">
        <v>20655</v>
      </c>
      <c r="M929">
        <v>25245</v>
      </c>
      <c r="N929" t="s">
        <v>30</v>
      </c>
      <c r="O929" t="s">
        <v>35</v>
      </c>
      <c r="P929" t="s">
        <v>24</v>
      </c>
    </row>
    <row r="930" spans="1:16" x14ac:dyDescent="0.3">
      <c r="A930" t="s">
        <v>1002</v>
      </c>
      <c r="B930" s="1">
        <v>44697</v>
      </c>
      <c r="C930" t="s">
        <v>46</v>
      </c>
      <c r="D930" t="s">
        <v>47</v>
      </c>
      <c r="E930" t="s">
        <v>78</v>
      </c>
      <c r="F930" t="s">
        <v>33</v>
      </c>
      <c r="G930" t="s">
        <v>76</v>
      </c>
      <c r="H930">
        <v>6</v>
      </c>
      <c r="I930">
        <v>8500</v>
      </c>
      <c r="J930">
        <v>5</v>
      </c>
      <c r="K930">
        <v>48450</v>
      </c>
      <c r="L930">
        <v>24225</v>
      </c>
      <c r="M930">
        <v>24225</v>
      </c>
      <c r="N930" t="s">
        <v>30</v>
      </c>
      <c r="O930" t="s">
        <v>67</v>
      </c>
      <c r="P930" t="s">
        <v>24</v>
      </c>
    </row>
    <row r="931" spans="1:16" x14ac:dyDescent="0.3">
      <c r="A931" t="s">
        <v>1003</v>
      </c>
      <c r="B931" s="1">
        <v>45356</v>
      </c>
      <c r="C931" t="s">
        <v>46</v>
      </c>
      <c r="D931" t="s">
        <v>55</v>
      </c>
      <c r="E931" t="s">
        <v>78</v>
      </c>
      <c r="F931" t="s">
        <v>33</v>
      </c>
      <c r="G931" t="s">
        <v>48</v>
      </c>
      <c r="H931">
        <v>27</v>
      </c>
      <c r="I931">
        <v>1500</v>
      </c>
      <c r="J931">
        <v>10</v>
      </c>
      <c r="K931">
        <v>36450</v>
      </c>
      <c r="L931">
        <v>18225</v>
      </c>
      <c r="M931">
        <v>18225</v>
      </c>
      <c r="N931" t="s">
        <v>22</v>
      </c>
      <c r="O931" t="s">
        <v>35</v>
      </c>
      <c r="P931" t="s">
        <v>24</v>
      </c>
    </row>
    <row r="932" spans="1:16" x14ac:dyDescent="0.3">
      <c r="A932" t="s">
        <v>1004</v>
      </c>
      <c r="B932" s="1">
        <v>45111</v>
      </c>
      <c r="C932" t="s">
        <v>46</v>
      </c>
      <c r="D932" t="s">
        <v>47</v>
      </c>
      <c r="E932" t="s">
        <v>56</v>
      </c>
      <c r="F932" t="s">
        <v>20</v>
      </c>
      <c r="G932" t="s">
        <v>53</v>
      </c>
      <c r="H932">
        <v>11</v>
      </c>
      <c r="I932">
        <v>600</v>
      </c>
      <c r="J932">
        <v>0</v>
      </c>
      <c r="K932">
        <v>6600</v>
      </c>
      <c r="L932">
        <v>2640</v>
      </c>
      <c r="M932">
        <v>3960</v>
      </c>
      <c r="N932" t="s">
        <v>49</v>
      </c>
      <c r="O932" t="s">
        <v>23</v>
      </c>
      <c r="P932" t="s">
        <v>24</v>
      </c>
    </row>
    <row r="933" spans="1:16" x14ac:dyDescent="0.3">
      <c r="A933" t="s">
        <v>1005</v>
      </c>
      <c r="B933" s="1">
        <v>45649</v>
      </c>
      <c r="C933" t="s">
        <v>17</v>
      </c>
      <c r="D933" t="s">
        <v>42</v>
      </c>
      <c r="E933" t="s">
        <v>111</v>
      </c>
      <c r="F933" t="s">
        <v>33</v>
      </c>
      <c r="G933" t="s">
        <v>76</v>
      </c>
      <c r="H933">
        <v>28</v>
      </c>
      <c r="I933">
        <v>8500</v>
      </c>
      <c r="J933">
        <v>5</v>
      </c>
      <c r="K933">
        <v>226100</v>
      </c>
      <c r="L933">
        <v>113050</v>
      </c>
      <c r="M933">
        <v>113050</v>
      </c>
      <c r="N933" t="s">
        <v>30</v>
      </c>
      <c r="O933" t="s">
        <v>67</v>
      </c>
      <c r="P933" t="s">
        <v>24</v>
      </c>
    </row>
    <row r="934" spans="1:16" x14ac:dyDescent="0.3">
      <c r="A934" t="s">
        <v>1006</v>
      </c>
      <c r="B934" s="1">
        <v>45296</v>
      </c>
      <c r="C934" t="s">
        <v>46</v>
      </c>
      <c r="D934" t="s">
        <v>55</v>
      </c>
      <c r="E934" t="s">
        <v>38</v>
      </c>
      <c r="F934" t="s">
        <v>28</v>
      </c>
      <c r="G934" t="s">
        <v>87</v>
      </c>
      <c r="H934">
        <v>26</v>
      </c>
      <c r="I934">
        <v>45000</v>
      </c>
      <c r="J934">
        <v>5</v>
      </c>
      <c r="K934">
        <v>1111500</v>
      </c>
      <c r="L934">
        <v>611325</v>
      </c>
      <c r="M934">
        <v>500175</v>
      </c>
      <c r="N934" t="s">
        <v>22</v>
      </c>
      <c r="O934" t="s">
        <v>35</v>
      </c>
      <c r="P934" t="s">
        <v>40</v>
      </c>
    </row>
    <row r="935" spans="1:16" x14ac:dyDescent="0.3">
      <c r="A935" t="s">
        <v>1007</v>
      </c>
      <c r="B935" s="1">
        <v>45459</v>
      </c>
      <c r="C935" t="s">
        <v>17</v>
      </c>
      <c r="D935" t="s">
        <v>42</v>
      </c>
      <c r="E935" t="s">
        <v>32</v>
      </c>
      <c r="F935" t="s">
        <v>65</v>
      </c>
      <c r="G935" t="s">
        <v>104</v>
      </c>
      <c r="H935">
        <v>4</v>
      </c>
      <c r="I935">
        <v>3000</v>
      </c>
      <c r="J935">
        <v>10</v>
      </c>
      <c r="K935">
        <v>10800</v>
      </c>
      <c r="L935">
        <v>4860</v>
      </c>
      <c r="M935">
        <v>5940</v>
      </c>
      <c r="N935" t="s">
        <v>30</v>
      </c>
      <c r="O935" t="s">
        <v>50</v>
      </c>
      <c r="P935" t="s">
        <v>24</v>
      </c>
    </row>
    <row r="936" spans="1:16" x14ac:dyDescent="0.3">
      <c r="A936" t="s">
        <v>1008</v>
      </c>
      <c r="B936" s="1">
        <v>44746</v>
      </c>
      <c r="C936" t="s">
        <v>26</v>
      </c>
      <c r="D936" t="s">
        <v>69</v>
      </c>
      <c r="E936" t="s">
        <v>38</v>
      </c>
      <c r="F936" t="s">
        <v>33</v>
      </c>
      <c r="G936" t="s">
        <v>39</v>
      </c>
      <c r="H936">
        <v>16</v>
      </c>
      <c r="I936">
        <v>5000</v>
      </c>
      <c r="J936">
        <v>10</v>
      </c>
      <c r="K936">
        <v>72000</v>
      </c>
      <c r="L936">
        <v>36000</v>
      </c>
      <c r="M936">
        <v>36000</v>
      </c>
      <c r="N936" t="s">
        <v>22</v>
      </c>
      <c r="O936" t="s">
        <v>35</v>
      </c>
      <c r="P936" t="s">
        <v>24</v>
      </c>
    </row>
    <row r="937" spans="1:16" x14ac:dyDescent="0.3">
      <c r="A937" t="s">
        <v>1009</v>
      </c>
      <c r="B937" s="1">
        <v>44688</v>
      </c>
      <c r="C937" t="s">
        <v>26</v>
      </c>
      <c r="D937" t="s">
        <v>69</v>
      </c>
      <c r="E937" t="s">
        <v>19</v>
      </c>
      <c r="F937" t="s">
        <v>20</v>
      </c>
      <c r="G937" t="s">
        <v>21</v>
      </c>
      <c r="H937">
        <v>16</v>
      </c>
      <c r="I937">
        <v>3500</v>
      </c>
      <c r="J937">
        <v>10</v>
      </c>
      <c r="K937">
        <v>50400</v>
      </c>
      <c r="L937">
        <v>20160</v>
      </c>
      <c r="M937">
        <v>30240</v>
      </c>
      <c r="N937" t="s">
        <v>22</v>
      </c>
      <c r="O937" t="s">
        <v>67</v>
      </c>
      <c r="P937" t="s">
        <v>24</v>
      </c>
    </row>
    <row r="938" spans="1:16" x14ac:dyDescent="0.3">
      <c r="A938" t="s">
        <v>1010</v>
      </c>
      <c r="B938" s="1">
        <v>44639</v>
      </c>
      <c r="C938" t="s">
        <v>58</v>
      </c>
      <c r="D938" t="s">
        <v>84</v>
      </c>
      <c r="E938" t="s">
        <v>56</v>
      </c>
      <c r="F938" t="s">
        <v>33</v>
      </c>
      <c r="G938" t="s">
        <v>39</v>
      </c>
      <c r="H938">
        <v>20</v>
      </c>
      <c r="I938">
        <v>5000</v>
      </c>
      <c r="J938">
        <v>0</v>
      </c>
      <c r="K938">
        <v>100000</v>
      </c>
      <c r="L938">
        <v>50000</v>
      </c>
      <c r="M938">
        <v>50000</v>
      </c>
      <c r="N938" t="s">
        <v>49</v>
      </c>
      <c r="O938" t="s">
        <v>23</v>
      </c>
      <c r="P938" t="s">
        <v>24</v>
      </c>
    </row>
    <row r="939" spans="1:16" x14ac:dyDescent="0.3">
      <c r="A939" t="s">
        <v>1011</v>
      </c>
      <c r="B939" s="1">
        <v>45542</v>
      </c>
      <c r="C939" t="s">
        <v>17</v>
      </c>
      <c r="D939" t="s">
        <v>37</v>
      </c>
      <c r="E939" t="s">
        <v>70</v>
      </c>
      <c r="F939" t="s">
        <v>20</v>
      </c>
      <c r="G939" t="s">
        <v>21</v>
      </c>
      <c r="H939">
        <v>22</v>
      </c>
      <c r="I939">
        <v>3500</v>
      </c>
      <c r="J939">
        <v>15</v>
      </c>
      <c r="K939">
        <v>65450</v>
      </c>
      <c r="L939">
        <v>26180</v>
      </c>
      <c r="M939">
        <v>39270</v>
      </c>
      <c r="N939" t="s">
        <v>30</v>
      </c>
      <c r="O939" t="s">
        <v>67</v>
      </c>
      <c r="P939" t="s">
        <v>40</v>
      </c>
    </row>
    <row r="940" spans="1:16" x14ac:dyDescent="0.3">
      <c r="A940" t="s">
        <v>1012</v>
      </c>
      <c r="B940" s="1">
        <v>44835</v>
      </c>
      <c r="C940" t="s">
        <v>58</v>
      </c>
      <c r="D940" t="s">
        <v>59</v>
      </c>
      <c r="E940" t="s">
        <v>38</v>
      </c>
      <c r="F940" t="s">
        <v>28</v>
      </c>
      <c r="G940" t="s">
        <v>71</v>
      </c>
      <c r="H940">
        <v>11</v>
      </c>
      <c r="I940">
        <v>35000</v>
      </c>
      <c r="J940">
        <v>5</v>
      </c>
      <c r="K940">
        <v>365750</v>
      </c>
      <c r="L940">
        <v>201162.5</v>
      </c>
      <c r="M940">
        <v>164587.5</v>
      </c>
      <c r="N940" t="s">
        <v>30</v>
      </c>
      <c r="O940" t="s">
        <v>35</v>
      </c>
      <c r="P940" t="s">
        <v>24</v>
      </c>
    </row>
    <row r="941" spans="1:16" x14ac:dyDescent="0.3">
      <c r="A941" t="s">
        <v>1013</v>
      </c>
      <c r="B941" s="1">
        <v>44992</v>
      </c>
      <c r="C941" t="s">
        <v>46</v>
      </c>
      <c r="D941" t="s">
        <v>47</v>
      </c>
      <c r="E941" t="s">
        <v>111</v>
      </c>
      <c r="F941" t="s">
        <v>33</v>
      </c>
      <c r="G941" t="s">
        <v>48</v>
      </c>
      <c r="H941">
        <v>9</v>
      </c>
      <c r="I941">
        <v>1500</v>
      </c>
      <c r="J941">
        <v>10</v>
      </c>
      <c r="K941">
        <v>12150</v>
      </c>
      <c r="L941">
        <v>6075</v>
      </c>
      <c r="M941">
        <v>6075</v>
      </c>
      <c r="N941" t="s">
        <v>49</v>
      </c>
      <c r="O941" t="s">
        <v>67</v>
      </c>
      <c r="P941" t="s">
        <v>24</v>
      </c>
    </row>
    <row r="942" spans="1:16" x14ac:dyDescent="0.3">
      <c r="A942" t="s">
        <v>1014</v>
      </c>
      <c r="B942" s="1">
        <v>45384</v>
      </c>
      <c r="C942" t="s">
        <v>58</v>
      </c>
      <c r="D942" t="s">
        <v>84</v>
      </c>
      <c r="E942" t="s">
        <v>19</v>
      </c>
      <c r="F942" t="s">
        <v>28</v>
      </c>
      <c r="G942" t="s">
        <v>87</v>
      </c>
      <c r="H942">
        <v>37</v>
      </c>
      <c r="I942">
        <v>45000</v>
      </c>
      <c r="J942">
        <v>15</v>
      </c>
      <c r="K942">
        <v>1415250</v>
      </c>
      <c r="L942">
        <v>778387.5</v>
      </c>
      <c r="M942">
        <v>636862.5</v>
      </c>
      <c r="N942" t="s">
        <v>30</v>
      </c>
      <c r="O942" t="s">
        <v>44</v>
      </c>
      <c r="P942" t="s">
        <v>24</v>
      </c>
    </row>
    <row r="943" spans="1:16" x14ac:dyDescent="0.3">
      <c r="A943" t="s">
        <v>1015</v>
      </c>
      <c r="B943" s="1">
        <v>45156</v>
      </c>
      <c r="C943" t="s">
        <v>26</v>
      </c>
      <c r="D943" t="s">
        <v>69</v>
      </c>
      <c r="E943" t="s">
        <v>52</v>
      </c>
      <c r="F943" t="s">
        <v>65</v>
      </c>
      <c r="G943" t="s">
        <v>124</v>
      </c>
      <c r="H943">
        <v>11</v>
      </c>
      <c r="I943">
        <v>18000</v>
      </c>
      <c r="J943">
        <v>10</v>
      </c>
      <c r="K943">
        <v>178200</v>
      </c>
      <c r="L943">
        <v>80190</v>
      </c>
      <c r="M943">
        <v>98010</v>
      </c>
      <c r="N943" t="s">
        <v>30</v>
      </c>
      <c r="O943" t="s">
        <v>50</v>
      </c>
      <c r="P943" t="s">
        <v>24</v>
      </c>
    </row>
    <row r="944" spans="1:16" x14ac:dyDescent="0.3">
      <c r="A944" t="s">
        <v>1016</v>
      </c>
      <c r="B944" s="1">
        <v>45272</v>
      </c>
      <c r="C944" t="s">
        <v>26</v>
      </c>
      <c r="D944" t="s">
        <v>27</v>
      </c>
      <c r="E944" t="s">
        <v>78</v>
      </c>
      <c r="F944" t="s">
        <v>65</v>
      </c>
      <c r="G944" t="s">
        <v>124</v>
      </c>
      <c r="H944">
        <v>31</v>
      </c>
      <c r="I944">
        <v>18000</v>
      </c>
      <c r="J944">
        <v>10</v>
      </c>
      <c r="K944">
        <v>502200</v>
      </c>
      <c r="L944">
        <v>225990</v>
      </c>
      <c r="M944">
        <v>276210</v>
      </c>
      <c r="N944" t="s">
        <v>22</v>
      </c>
      <c r="O944" t="s">
        <v>44</v>
      </c>
      <c r="P944" t="s">
        <v>24</v>
      </c>
    </row>
    <row r="945" spans="1:16" x14ac:dyDescent="0.3">
      <c r="A945" t="s">
        <v>1017</v>
      </c>
      <c r="B945" s="1">
        <v>44792</v>
      </c>
      <c r="C945" t="s">
        <v>58</v>
      </c>
      <c r="D945" t="s">
        <v>84</v>
      </c>
      <c r="E945" t="s">
        <v>70</v>
      </c>
      <c r="F945" t="s">
        <v>33</v>
      </c>
      <c r="G945" t="s">
        <v>48</v>
      </c>
      <c r="H945">
        <v>27</v>
      </c>
      <c r="I945">
        <v>1500</v>
      </c>
      <c r="J945">
        <v>20</v>
      </c>
      <c r="K945">
        <v>32400</v>
      </c>
      <c r="L945">
        <v>16200</v>
      </c>
      <c r="M945">
        <v>16200</v>
      </c>
      <c r="N945" t="s">
        <v>49</v>
      </c>
      <c r="O945" t="s">
        <v>50</v>
      </c>
      <c r="P945" t="s">
        <v>24</v>
      </c>
    </row>
    <row r="946" spans="1:16" x14ac:dyDescent="0.3">
      <c r="A946" t="s">
        <v>1018</v>
      </c>
      <c r="B946" s="1">
        <v>45563</v>
      </c>
      <c r="C946" t="s">
        <v>17</v>
      </c>
      <c r="D946" t="s">
        <v>37</v>
      </c>
      <c r="E946" t="s">
        <v>52</v>
      </c>
      <c r="F946" t="s">
        <v>65</v>
      </c>
      <c r="G946" t="s">
        <v>79</v>
      </c>
      <c r="H946">
        <v>29</v>
      </c>
      <c r="I946">
        <v>900</v>
      </c>
      <c r="J946">
        <v>10</v>
      </c>
      <c r="K946">
        <v>23490</v>
      </c>
      <c r="L946">
        <v>10570.5</v>
      </c>
      <c r="M946">
        <v>12919.5</v>
      </c>
      <c r="N946" t="s">
        <v>22</v>
      </c>
      <c r="O946" t="s">
        <v>35</v>
      </c>
      <c r="P946" t="s">
        <v>24</v>
      </c>
    </row>
    <row r="947" spans="1:16" x14ac:dyDescent="0.3">
      <c r="A947" t="s">
        <v>1019</v>
      </c>
      <c r="B947" s="1">
        <v>45039</v>
      </c>
      <c r="C947" t="s">
        <v>26</v>
      </c>
      <c r="D947" t="s">
        <v>27</v>
      </c>
      <c r="E947" t="s">
        <v>52</v>
      </c>
      <c r="F947" t="s">
        <v>33</v>
      </c>
      <c r="G947" t="s">
        <v>48</v>
      </c>
      <c r="H947">
        <v>11</v>
      </c>
      <c r="I947">
        <v>1500</v>
      </c>
      <c r="J947">
        <v>20</v>
      </c>
      <c r="K947">
        <v>13200</v>
      </c>
      <c r="L947">
        <v>6600</v>
      </c>
      <c r="M947">
        <v>6600</v>
      </c>
      <c r="N947" t="s">
        <v>30</v>
      </c>
      <c r="O947" t="s">
        <v>44</v>
      </c>
      <c r="P947" t="s">
        <v>24</v>
      </c>
    </row>
    <row r="948" spans="1:16" x14ac:dyDescent="0.3">
      <c r="A948" t="s">
        <v>1020</v>
      </c>
      <c r="B948" s="1">
        <v>45319</v>
      </c>
      <c r="C948" t="s">
        <v>58</v>
      </c>
      <c r="D948" t="s">
        <v>64</v>
      </c>
      <c r="E948" t="s">
        <v>52</v>
      </c>
      <c r="F948" t="s">
        <v>33</v>
      </c>
      <c r="G948" t="s">
        <v>48</v>
      </c>
      <c r="H948">
        <v>30</v>
      </c>
      <c r="I948">
        <v>1500</v>
      </c>
      <c r="J948">
        <v>20</v>
      </c>
      <c r="K948">
        <v>36000</v>
      </c>
      <c r="L948">
        <v>18000</v>
      </c>
      <c r="M948">
        <v>18000</v>
      </c>
      <c r="N948" t="s">
        <v>30</v>
      </c>
      <c r="O948" t="s">
        <v>35</v>
      </c>
      <c r="P948" t="s">
        <v>24</v>
      </c>
    </row>
    <row r="949" spans="1:16" x14ac:dyDescent="0.3">
      <c r="A949" t="s">
        <v>1021</v>
      </c>
      <c r="B949" s="1">
        <v>44919</v>
      </c>
      <c r="C949" t="s">
        <v>26</v>
      </c>
      <c r="D949" t="s">
        <v>69</v>
      </c>
      <c r="E949" t="s">
        <v>32</v>
      </c>
      <c r="F949" t="s">
        <v>20</v>
      </c>
      <c r="G949" t="s">
        <v>115</v>
      </c>
      <c r="H949">
        <v>22</v>
      </c>
      <c r="I949">
        <v>2500</v>
      </c>
      <c r="J949">
        <v>0</v>
      </c>
      <c r="K949">
        <v>55000</v>
      </c>
      <c r="L949">
        <v>22000</v>
      </c>
      <c r="M949">
        <v>33000</v>
      </c>
      <c r="N949" t="s">
        <v>49</v>
      </c>
      <c r="O949" t="s">
        <v>67</v>
      </c>
      <c r="P949" t="s">
        <v>24</v>
      </c>
    </row>
    <row r="950" spans="1:16" x14ac:dyDescent="0.3">
      <c r="A950" t="s">
        <v>1022</v>
      </c>
      <c r="B950" s="1">
        <v>45511</v>
      </c>
      <c r="C950" t="s">
        <v>58</v>
      </c>
      <c r="D950" t="s">
        <v>84</v>
      </c>
      <c r="E950" t="s">
        <v>73</v>
      </c>
      <c r="F950" t="s">
        <v>65</v>
      </c>
      <c r="G950" t="s">
        <v>117</v>
      </c>
      <c r="H950">
        <v>35</v>
      </c>
      <c r="I950">
        <v>1200</v>
      </c>
      <c r="J950">
        <v>5</v>
      </c>
      <c r="K950">
        <v>39900</v>
      </c>
      <c r="L950">
        <v>17955</v>
      </c>
      <c r="M950">
        <v>21945</v>
      </c>
      <c r="N950" t="s">
        <v>30</v>
      </c>
      <c r="O950" t="s">
        <v>44</v>
      </c>
      <c r="P950" t="s">
        <v>24</v>
      </c>
    </row>
    <row r="951" spans="1:16" x14ac:dyDescent="0.3">
      <c r="A951" t="s">
        <v>1023</v>
      </c>
      <c r="B951" s="1">
        <v>45188</v>
      </c>
      <c r="C951" t="s">
        <v>26</v>
      </c>
      <c r="D951" t="s">
        <v>69</v>
      </c>
      <c r="E951" t="s">
        <v>56</v>
      </c>
      <c r="F951" t="s">
        <v>33</v>
      </c>
      <c r="G951" t="s">
        <v>48</v>
      </c>
      <c r="H951">
        <v>31</v>
      </c>
      <c r="I951">
        <v>1500</v>
      </c>
      <c r="J951">
        <v>5</v>
      </c>
      <c r="K951">
        <v>44175</v>
      </c>
      <c r="L951">
        <v>22087.5</v>
      </c>
      <c r="M951">
        <v>22087.5</v>
      </c>
      <c r="N951" t="s">
        <v>30</v>
      </c>
      <c r="O951" t="s">
        <v>35</v>
      </c>
      <c r="P951" t="s">
        <v>24</v>
      </c>
    </row>
    <row r="952" spans="1:16" x14ac:dyDescent="0.3">
      <c r="A952" t="s">
        <v>1024</v>
      </c>
      <c r="B952" s="1">
        <v>45391</v>
      </c>
      <c r="C952" t="s">
        <v>17</v>
      </c>
      <c r="D952" t="s">
        <v>42</v>
      </c>
      <c r="E952" t="s">
        <v>78</v>
      </c>
      <c r="F952" t="s">
        <v>28</v>
      </c>
      <c r="G952" t="s">
        <v>87</v>
      </c>
      <c r="H952">
        <v>5</v>
      </c>
      <c r="I952">
        <v>45000</v>
      </c>
      <c r="J952">
        <v>10</v>
      </c>
      <c r="K952">
        <v>202500</v>
      </c>
      <c r="L952">
        <v>111375</v>
      </c>
      <c r="M952">
        <v>91125</v>
      </c>
      <c r="N952" t="s">
        <v>30</v>
      </c>
      <c r="O952" t="s">
        <v>50</v>
      </c>
      <c r="P952" t="s">
        <v>24</v>
      </c>
    </row>
    <row r="953" spans="1:16" x14ac:dyDescent="0.3">
      <c r="A953" t="s">
        <v>1025</v>
      </c>
      <c r="B953" s="1">
        <v>45440</v>
      </c>
      <c r="C953" t="s">
        <v>58</v>
      </c>
      <c r="D953" t="s">
        <v>64</v>
      </c>
      <c r="E953" t="s">
        <v>19</v>
      </c>
      <c r="F953" t="s">
        <v>33</v>
      </c>
      <c r="G953" t="s">
        <v>76</v>
      </c>
      <c r="H953">
        <v>4</v>
      </c>
      <c r="I953">
        <v>8500</v>
      </c>
      <c r="J953">
        <v>0</v>
      </c>
      <c r="K953">
        <v>34000</v>
      </c>
      <c r="L953">
        <v>17000</v>
      </c>
      <c r="M953">
        <v>17000</v>
      </c>
      <c r="N953" t="s">
        <v>49</v>
      </c>
      <c r="O953" t="s">
        <v>50</v>
      </c>
      <c r="P953" t="s">
        <v>24</v>
      </c>
    </row>
    <row r="954" spans="1:16" x14ac:dyDescent="0.3">
      <c r="A954" t="s">
        <v>1026</v>
      </c>
      <c r="B954" s="1">
        <v>44872</v>
      </c>
      <c r="C954" t="s">
        <v>17</v>
      </c>
      <c r="D954" t="s">
        <v>37</v>
      </c>
      <c r="E954" t="s">
        <v>60</v>
      </c>
      <c r="F954" t="s">
        <v>65</v>
      </c>
      <c r="G954" t="s">
        <v>79</v>
      </c>
      <c r="H954">
        <v>45</v>
      </c>
      <c r="I954">
        <v>900</v>
      </c>
      <c r="J954">
        <v>5</v>
      </c>
      <c r="K954">
        <v>38475</v>
      </c>
      <c r="L954">
        <v>17313.75</v>
      </c>
      <c r="M954">
        <v>21161.25</v>
      </c>
      <c r="N954" t="s">
        <v>49</v>
      </c>
      <c r="O954" t="s">
        <v>67</v>
      </c>
      <c r="P954" t="s">
        <v>24</v>
      </c>
    </row>
    <row r="955" spans="1:16" x14ac:dyDescent="0.3">
      <c r="A955" t="s">
        <v>1027</v>
      </c>
      <c r="B955" s="1">
        <v>45318</v>
      </c>
      <c r="C955" t="s">
        <v>26</v>
      </c>
      <c r="D955" t="s">
        <v>27</v>
      </c>
      <c r="E955" t="s">
        <v>52</v>
      </c>
      <c r="F955" t="s">
        <v>20</v>
      </c>
      <c r="G955" t="s">
        <v>61</v>
      </c>
      <c r="H955">
        <v>43</v>
      </c>
      <c r="I955">
        <v>800</v>
      </c>
      <c r="J955">
        <v>10</v>
      </c>
      <c r="K955">
        <v>30960</v>
      </c>
      <c r="L955">
        <v>12384</v>
      </c>
      <c r="M955">
        <v>18576</v>
      </c>
      <c r="N955" t="s">
        <v>30</v>
      </c>
      <c r="O955" t="s">
        <v>23</v>
      </c>
      <c r="P955" t="s">
        <v>24</v>
      </c>
    </row>
    <row r="956" spans="1:16" x14ac:dyDescent="0.3">
      <c r="A956" t="s">
        <v>1028</v>
      </c>
      <c r="B956" s="1">
        <v>44850</v>
      </c>
      <c r="C956" t="s">
        <v>17</v>
      </c>
      <c r="D956" t="s">
        <v>18</v>
      </c>
      <c r="E956" t="s">
        <v>32</v>
      </c>
      <c r="F956" t="s">
        <v>33</v>
      </c>
      <c r="G956" t="s">
        <v>43</v>
      </c>
      <c r="H956">
        <v>47</v>
      </c>
      <c r="I956">
        <v>4000</v>
      </c>
      <c r="J956">
        <v>0</v>
      </c>
      <c r="K956">
        <v>188000</v>
      </c>
      <c r="L956">
        <v>94000</v>
      </c>
      <c r="M956">
        <v>94000</v>
      </c>
      <c r="N956" t="s">
        <v>30</v>
      </c>
      <c r="O956" t="s">
        <v>23</v>
      </c>
      <c r="P956" t="s">
        <v>24</v>
      </c>
    </row>
    <row r="957" spans="1:16" x14ac:dyDescent="0.3">
      <c r="A957" t="s">
        <v>1029</v>
      </c>
      <c r="B957" s="1">
        <v>44744</v>
      </c>
      <c r="C957" t="s">
        <v>46</v>
      </c>
      <c r="D957" t="s">
        <v>47</v>
      </c>
      <c r="E957" t="s">
        <v>32</v>
      </c>
      <c r="F957" t="s">
        <v>20</v>
      </c>
      <c r="G957" t="s">
        <v>53</v>
      </c>
      <c r="H957">
        <v>25</v>
      </c>
      <c r="I957">
        <v>600</v>
      </c>
      <c r="J957">
        <v>5</v>
      </c>
      <c r="K957">
        <v>14250</v>
      </c>
      <c r="L957">
        <v>5700</v>
      </c>
      <c r="M957">
        <v>8550</v>
      </c>
      <c r="N957" t="s">
        <v>30</v>
      </c>
      <c r="O957" t="s">
        <v>44</v>
      </c>
      <c r="P957" t="s">
        <v>24</v>
      </c>
    </row>
    <row r="958" spans="1:16" x14ac:dyDescent="0.3">
      <c r="A958" t="s">
        <v>1030</v>
      </c>
      <c r="B958" s="1">
        <v>44573</v>
      </c>
      <c r="C958" t="s">
        <v>17</v>
      </c>
      <c r="D958" t="s">
        <v>18</v>
      </c>
      <c r="E958" t="s">
        <v>73</v>
      </c>
      <c r="F958" t="s">
        <v>33</v>
      </c>
      <c r="G958" t="s">
        <v>43</v>
      </c>
      <c r="H958">
        <v>8</v>
      </c>
      <c r="I958">
        <v>4000</v>
      </c>
      <c r="J958">
        <v>15</v>
      </c>
      <c r="K958">
        <v>27200</v>
      </c>
      <c r="L958">
        <v>13600</v>
      </c>
      <c r="M958">
        <v>13600</v>
      </c>
      <c r="N958" t="s">
        <v>49</v>
      </c>
      <c r="O958" t="s">
        <v>23</v>
      </c>
      <c r="P958" t="s">
        <v>24</v>
      </c>
    </row>
    <row r="959" spans="1:16" x14ac:dyDescent="0.3">
      <c r="A959" t="s">
        <v>1031</v>
      </c>
      <c r="B959" s="1">
        <v>45242</v>
      </c>
      <c r="C959" t="s">
        <v>58</v>
      </c>
      <c r="D959" t="s">
        <v>64</v>
      </c>
      <c r="E959" t="s">
        <v>70</v>
      </c>
      <c r="F959" t="s">
        <v>28</v>
      </c>
      <c r="G959" t="s">
        <v>87</v>
      </c>
      <c r="H959">
        <v>30</v>
      </c>
      <c r="I959">
        <v>45000</v>
      </c>
      <c r="J959">
        <v>15</v>
      </c>
      <c r="K959">
        <v>1147500</v>
      </c>
      <c r="L959">
        <v>631125</v>
      </c>
      <c r="M959">
        <v>516375</v>
      </c>
      <c r="N959" t="s">
        <v>30</v>
      </c>
      <c r="O959" t="s">
        <v>67</v>
      </c>
      <c r="P959" t="s">
        <v>24</v>
      </c>
    </row>
    <row r="960" spans="1:16" x14ac:dyDescent="0.3">
      <c r="A960" t="s">
        <v>1032</v>
      </c>
      <c r="B960" s="1">
        <v>44883</v>
      </c>
      <c r="C960" t="s">
        <v>58</v>
      </c>
      <c r="D960" t="s">
        <v>59</v>
      </c>
      <c r="E960" t="s">
        <v>73</v>
      </c>
      <c r="F960" t="s">
        <v>65</v>
      </c>
      <c r="G960" t="s">
        <v>124</v>
      </c>
      <c r="H960">
        <v>45</v>
      </c>
      <c r="I960">
        <v>18000</v>
      </c>
      <c r="J960">
        <v>20</v>
      </c>
      <c r="K960">
        <v>648000</v>
      </c>
      <c r="L960">
        <v>291600</v>
      </c>
      <c r="M960">
        <v>356400</v>
      </c>
      <c r="N960" t="s">
        <v>30</v>
      </c>
      <c r="O960" t="s">
        <v>35</v>
      </c>
      <c r="P960" t="s">
        <v>24</v>
      </c>
    </row>
    <row r="961" spans="1:16" x14ac:dyDescent="0.3">
      <c r="A961" t="s">
        <v>1033</v>
      </c>
      <c r="B961" s="1">
        <v>44733</v>
      </c>
      <c r="C961" t="s">
        <v>26</v>
      </c>
      <c r="D961" t="s">
        <v>69</v>
      </c>
      <c r="E961" t="s">
        <v>52</v>
      </c>
      <c r="F961" t="s">
        <v>65</v>
      </c>
      <c r="G961" t="s">
        <v>79</v>
      </c>
      <c r="H961">
        <v>35</v>
      </c>
      <c r="I961">
        <v>900</v>
      </c>
      <c r="J961">
        <v>0</v>
      </c>
      <c r="K961">
        <v>31500</v>
      </c>
      <c r="L961">
        <v>14175</v>
      </c>
      <c r="M961">
        <v>17325</v>
      </c>
      <c r="N961" t="s">
        <v>22</v>
      </c>
      <c r="O961" t="s">
        <v>67</v>
      </c>
      <c r="P961" t="s">
        <v>24</v>
      </c>
    </row>
    <row r="962" spans="1:16" x14ac:dyDescent="0.3">
      <c r="A962" t="s">
        <v>1034</v>
      </c>
      <c r="B962" s="1">
        <v>44642</v>
      </c>
      <c r="C962" t="s">
        <v>17</v>
      </c>
      <c r="D962" t="s">
        <v>37</v>
      </c>
      <c r="E962" t="s">
        <v>19</v>
      </c>
      <c r="F962" t="s">
        <v>20</v>
      </c>
      <c r="G962" t="s">
        <v>115</v>
      </c>
      <c r="H962">
        <v>36</v>
      </c>
      <c r="I962">
        <v>2500</v>
      </c>
      <c r="J962">
        <v>15</v>
      </c>
      <c r="K962">
        <v>76500</v>
      </c>
      <c r="L962">
        <v>30600</v>
      </c>
      <c r="M962">
        <v>45900</v>
      </c>
      <c r="N962" t="s">
        <v>30</v>
      </c>
      <c r="O962" t="s">
        <v>23</v>
      </c>
      <c r="P962" t="s">
        <v>24</v>
      </c>
    </row>
    <row r="963" spans="1:16" x14ac:dyDescent="0.3">
      <c r="A963" t="s">
        <v>1035</v>
      </c>
      <c r="B963" s="1">
        <v>44785</v>
      </c>
      <c r="C963" t="s">
        <v>58</v>
      </c>
      <c r="D963" t="s">
        <v>59</v>
      </c>
      <c r="E963" t="s">
        <v>32</v>
      </c>
      <c r="F963" t="s">
        <v>28</v>
      </c>
      <c r="G963" t="s">
        <v>71</v>
      </c>
      <c r="H963">
        <v>15</v>
      </c>
      <c r="I963">
        <v>35000</v>
      </c>
      <c r="J963">
        <v>20</v>
      </c>
      <c r="K963">
        <v>420000</v>
      </c>
      <c r="L963">
        <v>231000</v>
      </c>
      <c r="M963">
        <v>189000</v>
      </c>
      <c r="N963" t="s">
        <v>49</v>
      </c>
      <c r="O963" t="s">
        <v>50</v>
      </c>
      <c r="P963" t="s">
        <v>24</v>
      </c>
    </row>
    <row r="964" spans="1:16" x14ac:dyDescent="0.3">
      <c r="A964" t="s">
        <v>1036</v>
      </c>
      <c r="B964" s="1">
        <v>45165</v>
      </c>
      <c r="C964" t="s">
        <v>58</v>
      </c>
      <c r="D964" t="s">
        <v>64</v>
      </c>
      <c r="E964" t="s">
        <v>19</v>
      </c>
      <c r="F964" t="s">
        <v>28</v>
      </c>
      <c r="G964" t="s">
        <v>85</v>
      </c>
      <c r="H964">
        <v>3</v>
      </c>
      <c r="I964">
        <v>8000</v>
      </c>
      <c r="J964">
        <v>0</v>
      </c>
      <c r="K964">
        <v>24000</v>
      </c>
      <c r="L964">
        <v>13200</v>
      </c>
      <c r="M964">
        <v>10800</v>
      </c>
      <c r="N964" t="s">
        <v>30</v>
      </c>
      <c r="O964" t="s">
        <v>50</v>
      </c>
      <c r="P964" t="s">
        <v>24</v>
      </c>
    </row>
    <row r="965" spans="1:16" x14ac:dyDescent="0.3">
      <c r="A965" t="s">
        <v>1037</v>
      </c>
      <c r="B965" s="1">
        <v>45592</v>
      </c>
      <c r="C965" t="s">
        <v>17</v>
      </c>
      <c r="D965" t="s">
        <v>37</v>
      </c>
      <c r="E965" t="s">
        <v>78</v>
      </c>
      <c r="F965" t="s">
        <v>65</v>
      </c>
      <c r="G965" t="s">
        <v>104</v>
      </c>
      <c r="H965">
        <v>36</v>
      </c>
      <c r="I965">
        <v>3000</v>
      </c>
      <c r="J965">
        <v>15</v>
      </c>
      <c r="K965">
        <v>91800</v>
      </c>
      <c r="L965">
        <v>41310</v>
      </c>
      <c r="M965">
        <v>50490</v>
      </c>
      <c r="N965" t="s">
        <v>22</v>
      </c>
      <c r="O965" t="s">
        <v>23</v>
      </c>
      <c r="P965" t="s">
        <v>24</v>
      </c>
    </row>
    <row r="966" spans="1:16" x14ac:dyDescent="0.3">
      <c r="A966" t="s">
        <v>1038</v>
      </c>
      <c r="B966" s="1">
        <v>44677</v>
      </c>
      <c r="C966" t="s">
        <v>58</v>
      </c>
      <c r="D966" t="s">
        <v>84</v>
      </c>
      <c r="E966" t="s">
        <v>32</v>
      </c>
      <c r="F966" t="s">
        <v>20</v>
      </c>
      <c r="G966" t="s">
        <v>115</v>
      </c>
      <c r="H966">
        <v>21</v>
      </c>
      <c r="I966">
        <v>2500</v>
      </c>
      <c r="J966">
        <v>20</v>
      </c>
      <c r="K966">
        <v>42000</v>
      </c>
      <c r="L966">
        <v>16800</v>
      </c>
      <c r="M966">
        <v>25200</v>
      </c>
      <c r="N966" t="s">
        <v>49</v>
      </c>
      <c r="O966" t="s">
        <v>44</v>
      </c>
      <c r="P966" t="s">
        <v>24</v>
      </c>
    </row>
    <row r="967" spans="1:16" x14ac:dyDescent="0.3">
      <c r="A967" t="s">
        <v>1039</v>
      </c>
      <c r="B967" s="1">
        <v>44765</v>
      </c>
      <c r="C967" t="s">
        <v>46</v>
      </c>
      <c r="D967" t="s">
        <v>47</v>
      </c>
      <c r="E967" t="s">
        <v>38</v>
      </c>
      <c r="F967" t="s">
        <v>65</v>
      </c>
      <c r="G967" t="s">
        <v>124</v>
      </c>
      <c r="H967">
        <v>36</v>
      </c>
      <c r="I967">
        <v>18000</v>
      </c>
      <c r="J967">
        <v>5</v>
      </c>
      <c r="K967">
        <v>615600</v>
      </c>
      <c r="L967">
        <v>277020</v>
      </c>
      <c r="M967">
        <v>338580</v>
      </c>
      <c r="N967" t="s">
        <v>30</v>
      </c>
      <c r="O967" t="s">
        <v>35</v>
      </c>
      <c r="P967" t="s">
        <v>24</v>
      </c>
    </row>
    <row r="968" spans="1:16" x14ac:dyDescent="0.3">
      <c r="A968" t="s">
        <v>1040</v>
      </c>
      <c r="B968" s="1">
        <v>44713</v>
      </c>
      <c r="C968" t="s">
        <v>58</v>
      </c>
      <c r="D968" t="s">
        <v>84</v>
      </c>
      <c r="E968" t="s">
        <v>38</v>
      </c>
      <c r="F968" t="s">
        <v>20</v>
      </c>
      <c r="G968" t="s">
        <v>21</v>
      </c>
      <c r="H968">
        <v>40</v>
      </c>
      <c r="I968">
        <v>3500</v>
      </c>
      <c r="J968">
        <v>20</v>
      </c>
      <c r="K968">
        <v>112000</v>
      </c>
      <c r="L968">
        <v>44800</v>
      </c>
      <c r="M968">
        <v>67200</v>
      </c>
      <c r="N968" t="s">
        <v>22</v>
      </c>
      <c r="O968" t="s">
        <v>23</v>
      </c>
      <c r="P968" t="s">
        <v>24</v>
      </c>
    </row>
    <row r="969" spans="1:16" x14ac:dyDescent="0.3">
      <c r="A969" t="s">
        <v>1041</v>
      </c>
      <c r="B969" s="1">
        <v>44616</v>
      </c>
      <c r="C969" t="s">
        <v>46</v>
      </c>
      <c r="D969" t="s">
        <v>55</v>
      </c>
      <c r="E969" t="s">
        <v>70</v>
      </c>
      <c r="F969" t="s">
        <v>20</v>
      </c>
      <c r="G969" t="s">
        <v>74</v>
      </c>
      <c r="H969">
        <v>42</v>
      </c>
      <c r="I969">
        <v>4200</v>
      </c>
      <c r="J969">
        <v>5</v>
      </c>
      <c r="K969">
        <v>167580</v>
      </c>
      <c r="L969">
        <v>67032</v>
      </c>
      <c r="M969">
        <v>100548</v>
      </c>
      <c r="N969" t="s">
        <v>30</v>
      </c>
      <c r="O969" t="s">
        <v>67</v>
      </c>
      <c r="P969" t="s">
        <v>24</v>
      </c>
    </row>
    <row r="970" spans="1:16" x14ac:dyDescent="0.3">
      <c r="A970" t="s">
        <v>1042</v>
      </c>
      <c r="B970" s="1">
        <v>45040</v>
      </c>
      <c r="C970" t="s">
        <v>58</v>
      </c>
      <c r="D970" t="s">
        <v>59</v>
      </c>
      <c r="E970" t="s">
        <v>56</v>
      </c>
      <c r="F970" t="s">
        <v>33</v>
      </c>
      <c r="G970" t="s">
        <v>39</v>
      </c>
      <c r="H970">
        <v>10</v>
      </c>
      <c r="I970">
        <v>5000</v>
      </c>
      <c r="J970">
        <v>0</v>
      </c>
      <c r="K970">
        <v>50000</v>
      </c>
      <c r="L970">
        <v>25000</v>
      </c>
      <c r="M970">
        <v>25000</v>
      </c>
      <c r="N970" t="s">
        <v>30</v>
      </c>
      <c r="O970" t="s">
        <v>35</v>
      </c>
      <c r="P970" t="s">
        <v>40</v>
      </c>
    </row>
    <row r="971" spans="1:16" x14ac:dyDescent="0.3">
      <c r="A971" t="s">
        <v>1043</v>
      </c>
      <c r="B971" s="1">
        <v>45463</v>
      </c>
      <c r="C971" t="s">
        <v>26</v>
      </c>
      <c r="D971" t="s">
        <v>27</v>
      </c>
      <c r="E971" t="s">
        <v>78</v>
      </c>
      <c r="F971" t="s">
        <v>33</v>
      </c>
      <c r="G971" t="s">
        <v>34</v>
      </c>
      <c r="H971">
        <v>12</v>
      </c>
      <c r="I971">
        <v>25000</v>
      </c>
      <c r="J971">
        <v>0</v>
      </c>
      <c r="K971">
        <v>300000</v>
      </c>
      <c r="L971">
        <v>150000</v>
      </c>
      <c r="M971">
        <v>150000</v>
      </c>
      <c r="N971" t="s">
        <v>49</v>
      </c>
      <c r="O971" t="s">
        <v>50</v>
      </c>
      <c r="P971" t="s">
        <v>24</v>
      </c>
    </row>
    <row r="972" spans="1:16" x14ac:dyDescent="0.3">
      <c r="A972" t="s">
        <v>1044</v>
      </c>
      <c r="B972" s="1">
        <v>44970</v>
      </c>
      <c r="C972" t="s">
        <v>26</v>
      </c>
      <c r="D972" t="s">
        <v>69</v>
      </c>
      <c r="E972" t="s">
        <v>56</v>
      </c>
      <c r="F972" t="s">
        <v>65</v>
      </c>
      <c r="G972" t="s">
        <v>117</v>
      </c>
      <c r="H972">
        <v>32</v>
      </c>
      <c r="I972">
        <v>1200</v>
      </c>
      <c r="J972">
        <v>0</v>
      </c>
      <c r="K972">
        <v>38400</v>
      </c>
      <c r="L972">
        <v>17280</v>
      </c>
      <c r="M972">
        <v>21120</v>
      </c>
      <c r="N972" t="s">
        <v>22</v>
      </c>
      <c r="O972" t="s">
        <v>23</v>
      </c>
      <c r="P972" t="s">
        <v>24</v>
      </c>
    </row>
    <row r="973" spans="1:16" x14ac:dyDescent="0.3">
      <c r="A973" t="s">
        <v>1045</v>
      </c>
      <c r="B973" s="1">
        <v>45302</v>
      </c>
      <c r="C973" t="s">
        <v>58</v>
      </c>
      <c r="D973" t="s">
        <v>84</v>
      </c>
      <c r="E973" t="s">
        <v>78</v>
      </c>
      <c r="F973" t="s">
        <v>33</v>
      </c>
      <c r="G973" t="s">
        <v>39</v>
      </c>
      <c r="H973">
        <v>12</v>
      </c>
      <c r="I973">
        <v>5000</v>
      </c>
      <c r="J973">
        <v>20</v>
      </c>
      <c r="K973">
        <v>48000</v>
      </c>
      <c r="L973">
        <v>24000</v>
      </c>
      <c r="M973">
        <v>24000</v>
      </c>
      <c r="N973" t="s">
        <v>30</v>
      </c>
      <c r="O973" t="s">
        <v>35</v>
      </c>
      <c r="P973" t="s">
        <v>40</v>
      </c>
    </row>
    <row r="974" spans="1:16" x14ac:dyDescent="0.3">
      <c r="A974" t="s">
        <v>1046</v>
      </c>
      <c r="B974" s="1">
        <v>45211</v>
      </c>
      <c r="C974" t="s">
        <v>58</v>
      </c>
      <c r="D974" t="s">
        <v>64</v>
      </c>
      <c r="E974" t="s">
        <v>38</v>
      </c>
      <c r="F974" t="s">
        <v>28</v>
      </c>
      <c r="G974" t="s">
        <v>87</v>
      </c>
      <c r="H974">
        <v>34</v>
      </c>
      <c r="I974">
        <v>45000</v>
      </c>
      <c r="J974">
        <v>10</v>
      </c>
      <c r="K974">
        <v>1377000</v>
      </c>
      <c r="L974">
        <v>757350</v>
      </c>
      <c r="M974">
        <v>619650</v>
      </c>
      <c r="N974" t="s">
        <v>30</v>
      </c>
      <c r="O974" t="s">
        <v>67</v>
      </c>
      <c r="P974" t="s">
        <v>24</v>
      </c>
    </row>
    <row r="975" spans="1:16" x14ac:dyDescent="0.3">
      <c r="A975" t="s">
        <v>1047</v>
      </c>
      <c r="B975" s="1">
        <v>44610</v>
      </c>
      <c r="C975" t="s">
        <v>26</v>
      </c>
      <c r="D975" t="s">
        <v>27</v>
      </c>
      <c r="E975" t="s">
        <v>19</v>
      </c>
      <c r="F975" t="s">
        <v>33</v>
      </c>
      <c r="G975" t="s">
        <v>39</v>
      </c>
      <c r="H975">
        <v>14</v>
      </c>
      <c r="I975">
        <v>5000</v>
      </c>
      <c r="J975">
        <v>0</v>
      </c>
      <c r="K975">
        <v>70000</v>
      </c>
      <c r="L975">
        <v>35000</v>
      </c>
      <c r="M975">
        <v>35000</v>
      </c>
      <c r="N975" t="s">
        <v>30</v>
      </c>
      <c r="O975" t="s">
        <v>44</v>
      </c>
      <c r="P975" t="s">
        <v>24</v>
      </c>
    </row>
    <row r="976" spans="1:16" x14ac:dyDescent="0.3">
      <c r="A976" t="s">
        <v>1048</v>
      </c>
      <c r="B976" s="1">
        <v>44736</v>
      </c>
      <c r="C976" t="s">
        <v>46</v>
      </c>
      <c r="D976" t="s">
        <v>55</v>
      </c>
      <c r="E976" t="s">
        <v>73</v>
      </c>
      <c r="F976" t="s">
        <v>65</v>
      </c>
      <c r="G976" t="s">
        <v>104</v>
      </c>
      <c r="H976">
        <v>6</v>
      </c>
      <c r="I976">
        <v>3000</v>
      </c>
      <c r="J976">
        <v>10</v>
      </c>
      <c r="K976">
        <v>16200</v>
      </c>
      <c r="L976">
        <v>7290</v>
      </c>
      <c r="M976">
        <v>8910</v>
      </c>
      <c r="N976" t="s">
        <v>22</v>
      </c>
      <c r="O976" t="s">
        <v>50</v>
      </c>
      <c r="P976" t="s">
        <v>40</v>
      </c>
    </row>
    <row r="977" spans="1:16" x14ac:dyDescent="0.3">
      <c r="A977" t="s">
        <v>1049</v>
      </c>
      <c r="B977" s="1">
        <v>45467</v>
      </c>
      <c r="C977" t="s">
        <v>58</v>
      </c>
      <c r="D977" t="s">
        <v>59</v>
      </c>
      <c r="E977" t="s">
        <v>111</v>
      </c>
      <c r="F977" t="s">
        <v>65</v>
      </c>
      <c r="G977" t="s">
        <v>104</v>
      </c>
      <c r="H977">
        <v>17</v>
      </c>
      <c r="I977">
        <v>3000</v>
      </c>
      <c r="J977">
        <v>5</v>
      </c>
      <c r="K977">
        <v>48450</v>
      </c>
      <c r="L977">
        <v>21802.5</v>
      </c>
      <c r="M977">
        <v>26647.5</v>
      </c>
      <c r="N977" t="s">
        <v>22</v>
      </c>
      <c r="O977" t="s">
        <v>50</v>
      </c>
      <c r="P977" t="s">
        <v>24</v>
      </c>
    </row>
    <row r="978" spans="1:16" x14ac:dyDescent="0.3">
      <c r="A978" t="s">
        <v>1050</v>
      </c>
      <c r="B978" s="1">
        <v>45326</v>
      </c>
      <c r="C978" t="s">
        <v>17</v>
      </c>
      <c r="D978" t="s">
        <v>18</v>
      </c>
      <c r="E978" t="s">
        <v>19</v>
      </c>
      <c r="F978" t="s">
        <v>65</v>
      </c>
      <c r="G978" t="s">
        <v>66</v>
      </c>
      <c r="H978">
        <v>29</v>
      </c>
      <c r="I978">
        <v>5500</v>
      </c>
      <c r="J978">
        <v>15</v>
      </c>
      <c r="K978">
        <v>135575</v>
      </c>
      <c r="L978">
        <v>61008.75</v>
      </c>
      <c r="M978">
        <v>74566.25</v>
      </c>
      <c r="N978" t="s">
        <v>22</v>
      </c>
      <c r="O978" t="s">
        <v>50</v>
      </c>
      <c r="P978" t="s">
        <v>40</v>
      </c>
    </row>
    <row r="979" spans="1:16" x14ac:dyDescent="0.3">
      <c r="A979" t="s">
        <v>1051</v>
      </c>
      <c r="B979" s="1">
        <v>45189</v>
      </c>
      <c r="C979" t="s">
        <v>26</v>
      </c>
      <c r="D979" t="s">
        <v>69</v>
      </c>
      <c r="E979" t="s">
        <v>32</v>
      </c>
      <c r="F979" t="s">
        <v>20</v>
      </c>
      <c r="G979" t="s">
        <v>53</v>
      </c>
      <c r="H979">
        <v>23</v>
      </c>
      <c r="I979">
        <v>600</v>
      </c>
      <c r="J979">
        <v>10</v>
      </c>
      <c r="K979">
        <v>12420</v>
      </c>
      <c r="L979">
        <v>4968</v>
      </c>
      <c r="M979">
        <v>7452</v>
      </c>
      <c r="N979" t="s">
        <v>49</v>
      </c>
      <c r="O979" t="s">
        <v>44</v>
      </c>
      <c r="P979" t="s">
        <v>24</v>
      </c>
    </row>
    <row r="980" spans="1:16" x14ac:dyDescent="0.3">
      <c r="A980" t="s">
        <v>1052</v>
      </c>
      <c r="B980" s="1">
        <v>44637</v>
      </c>
      <c r="C980" t="s">
        <v>17</v>
      </c>
      <c r="D980" t="s">
        <v>42</v>
      </c>
      <c r="E980" t="s">
        <v>32</v>
      </c>
      <c r="F980" t="s">
        <v>33</v>
      </c>
      <c r="G980" t="s">
        <v>43</v>
      </c>
      <c r="H980">
        <v>42</v>
      </c>
      <c r="I980">
        <v>4000</v>
      </c>
      <c r="J980">
        <v>20</v>
      </c>
      <c r="K980">
        <v>134400</v>
      </c>
      <c r="L980">
        <v>67200</v>
      </c>
      <c r="M980">
        <v>67200</v>
      </c>
      <c r="N980" t="s">
        <v>49</v>
      </c>
      <c r="O980" t="s">
        <v>35</v>
      </c>
      <c r="P980" t="s">
        <v>24</v>
      </c>
    </row>
    <row r="981" spans="1:16" x14ac:dyDescent="0.3">
      <c r="A981" t="s">
        <v>1053</v>
      </c>
      <c r="B981" s="1">
        <v>44779</v>
      </c>
      <c r="C981" t="s">
        <v>17</v>
      </c>
      <c r="D981" t="s">
        <v>37</v>
      </c>
      <c r="E981" t="s">
        <v>78</v>
      </c>
      <c r="F981" t="s">
        <v>33</v>
      </c>
      <c r="G981" t="s">
        <v>76</v>
      </c>
      <c r="H981">
        <v>5</v>
      </c>
      <c r="I981">
        <v>8500</v>
      </c>
      <c r="J981">
        <v>5</v>
      </c>
      <c r="K981">
        <v>40375</v>
      </c>
      <c r="L981">
        <v>20187.5</v>
      </c>
      <c r="M981">
        <v>20187.5</v>
      </c>
      <c r="N981" t="s">
        <v>49</v>
      </c>
      <c r="O981" t="s">
        <v>44</v>
      </c>
      <c r="P981" t="s">
        <v>24</v>
      </c>
    </row>
    <row r="982" spans="1:16" x14ac:dyDescent="0.3">
      <c r="A982" t="s">
        <v>1054</v>
      </c>
      <c r="B982" s="1">
        <v>45173</v>
      </c>
      <c r="C982" t="s">
        <v>26</v>
      </c>
      <c r="D982" t="s">
        <v>69</v>
      </c>
      <c r="E982" t="s">
        <v>56</v>
      </c>
      <c r="F982" t="s">
        <v>33</v>
      </c>
      <c r="G982" t="s">
        <v>76</v>
      </c>
      <c r="H982">
        <v>30</v>
      </c>
      <c r="I982">
        <v>8500</v>
      </c>
      <c r="J982">
        <v>20</v>
      </c>
      <c r="K982">
        <v>204000</v>
      </c>
      <c r="L982">
        <v>102000</v>
      </c>
      <c r="M982">
        <v>102000</v>
      </c>
      <c r="N982" t="s">
        <v>30</v>
      </c>
      <c r="O982" t="s">
        <v>67</v>
      </c>
      <c r="P982" t="s">
        <v>24</v>
      </c>
    </row>
    <row r="983" spans="1:16" x14ac:dyDescent="0.3">
      <c r="A983" t="s">
        <v>1055</v>
      </c>
      <c r="B983" s="1">
        <v>44694</v>
      </c>
      <c r="C983" t="s">
        <v>17</v>
      </c>
      <c r="D983" t="s">
        <v>42</v>
      </c>
      <c r="E983" t="s">
        <v>19</v>
      </c>
      <c r="F983" t="s">
        <v>20</v>
      </c>
      <c r="G983" t="s">
        <v>21</v>
      </c>
      <c r="H983">
        <v>36</v>
      </c>
      <c r="I983">
        <v>3500</v>
      </c>
      <c r="J983">
        <v>10</v>
      </c>
      <c r="K983">
        <v>113400</v>
      </c>
      <c r="L983">
        <v>45360</v>
      </c>
      <c r="M983">
        <v>68040</v>
      </c>
      <c r="N983" t="s">
        <v>22</v>
      </c>
      <c r="O983" t="s">
        <v>35</v>
      </c>
      <c r="P983" t="s">
        <v>40</v>
      </c>
    </row>
    <row r="984" spans="1:16" x14ac:dyDescent="0.3">
      <c r="A984" t="s">
        <v>1056</v>
      </c>
      <c r="B984" s="1">
        <v>45373</v>
      </c>
      <c r="C984" t="s">
        <v>58</v>
      </c>
      <c r="D984" t="s">
        <v>59</v>
      </c>
      <c r="E984" t="s">
        <v>70</v>
      </c>
      <c r="F984" t="s">
        <v>20</v>
      </c>
      <c r="G984" t="s">
        <v>74</v>
      </c>
      <c r="H984">
        <v>4</v>
      </c>
      <c r="I984">
        <v>4200</v>
      </c>
      <c r="J984">
        <v>15</v>
      </c>
      <c r="K984">
        <v>14280</v>
      </c>
      <c r="L984">
        <v>5712</v>
      </c>
      <c r="M984">
        <v>8568</v>
      </c>
      <c r="N984" t="s">
        <v>30</v>
      </c>
      <c r="O984" t="s">
        <v>50</v>
      </c>
      <c r="P984" t="s">
        <v>24</v>
      </c>
    </row>
    <row r="985" spans="1:16" x14ac:dyDescent="0.3">
      <c r="A985" t="s">
        <v>1057</v>
      </c>
      <c r="B985" s="1">
        <v>45355</v>
      </c>
      <c r="C985" t="s">
        <v>26</v>
      </c>
      <c r="D985" t="s">
        <v>69</v>
      </c>
      <c r="E985" t="s">
        <v>78</v>
      </c>
      <c r="F985" t="s">
        <v>33</v>
      </c>
      <c r="G985" t="s">
        <v>43</v>
      </c>
      <c r="H985">
        <v>25</v>
      </c>
      <c r="I985">
        <v>4000</v>
      </c>
      <c r="J985">
        <v>5</v>
      </c>
      <c r="K985">
        <v>95000</v>
      </c>
      <c r="L985">
        <v>47500</v>
      </c>
      <c r="M985">
        <v>47500</v>
      </c>
      <c r="N985" t="s">
        <v>30</v>
      </c>
      <c r="O985" t="s">
        <v>50</v>
      </c>
      <c r="P985" t="s">
        <v>40</v>
      </c>
    </row>
    <row r="986" spans="1:16" x14ac:dyDescent="0.3">
      <c r="A986" t="s">
        <v>1058</v>
      </c>
      <c r="B986" s="1">
        <v>44613</v>
      </c>
      <c r="C986" t="s">
        <v>26</v>
      </c>
      <c r="D986" t="s">
        <v>69</v>
      </c>
      <c r="E986" t="s">
        <v>73</v>
      </c>
      <c r="F986" t="s">
        <v>20</v>
      </c>
      <c r="G986" t="s">
        <v>115</v>
      </c>
      <c r="H986">
        <v>3</v>
      </c>
      <c r="I986">
        <v>2500</v>
      </c>
      <c r="J986">
        <v>20</v>
      </c>
      <c r="K986">
        <v>6000</v>
      </c>
      <c r="L986">
        <v>2400</v>
      </c>
      <c r="M986">
        <v>3600</v>
      </c>
      <c r="N986" t="s">
        <v>30</v>
      </c>
      <c r="O986" t="s">
        <v>50</v>
      </c>
      <c r="P986" t="s">
        <v>40</v>
      </c>
    </row>
    <row r="987" spans="1:16" x14ac:dyDescent="0.3">
      <c r="A987" t="s">
        <v>1059</v>
      </c>
      <c r="B987" s="1">
        <v>44595</v>
      </c>
      <c r="C987" t="s">
        <v>58</v>
      </c>
      <c r="D987" t="s">
        <v>84</v>
      </c>
      <c r="E987" t="s">
        <v>32</v>
      </c>
      <c r="F987" t="s">
        <v>33</v>
      </c>
      <c r="G987" t="s">
        <v>34</v>
      </c>
      <c r="H987">
        <v>21</v>
      </c>
      <c r="I987">
        <v>25000</v>
      </c>
      <c r="J987">
        <v>10</v>
      </c>
      <c r="K987">
        <v>472500</v>
      </c>
      <c r="L987">
        <v>236250</v>
      </c>
      <c r="M987">
        <v>236250</v>
      </c>
      <c r="N987" t="s">
        <v>30</v>
      </c>
      <c r="O987" t="s">
        <v>67</v>
      </c>
      <c r="P987" t="s">
        <v>24</v>
      </c>
    </row>
    <row r="988" spans="1:16" x14ac:dyDescent="0.3">
      <c r="A988" t="s">
        <v>1060</v>
      </c>
      <c r="B988" s="1">
        <v>45185</v>
      </c>
      <c r="C988" t="s">
        <v>26</v>
      </c>
      <c r="D988" t="s">
        <v>69</v>
      </c>
      <c r="E988" t="s">
        <v>73</v>
      </c>
      <c r="F988" t="s">
        <v>65</v>
      </c>
      <c r="G988" t="s">
        <v>66</v>
      </c>
      <c r="H988">
        <v>42</v>
      </c>
      <c r="I988">
        <v>5500</v>
      </c>
      <c r="J988">
        <v>0</v>
      </c>
      <c r="K988">
        <v>231000</v>
      </c>
      <c r="L988">
        <v>103950</v>
      </c>
      <c r="M988">
        <v>127050</v>
      </c>
      <c r="N988" t="s">
        <v>22</v>
      </c>
      <c r="O988" t="s">
        <v>35</v>
      </c>
      <c r="P988" t="s">
        <v>24</v>
      </c>
    </row>
    <row r="989" spans="1:16" x14ac:dyDescent="0.3">
      <c r="A989" t="s">
        <v>1061</v>
      </c>
      <c r="B989" s="1">
        <v>44600</v>
      </c>
      <c r="C989" t="s">
        <v>26</v>
      </c>
      <c r="D989" t="s">
        <v>27</v>
      </c>
      <c r="E989" t="s">
        <v>78</v>
      </c>
      <c r="F989" t="s">
        <v>28</v>
      </c>
      <c r="G989" t="s">
        <v>71</v>
      </c>
      <c r="H989">
        <v>45</v>
      </c>
      <c r="I989">
        <v>35000</v>
      </c>
      <c r="J989">
        <v>15</v>
      </c>
      <c r="K989">
        <v>1338750</v>
      </c>
      <c r="L989">
        <v>736312.5</v>
      </c>
      <c r="M989">
        <v>602437.5</v>
      </c>
      <c r="N989" t="s">
        <v>30</v>
      </c>
      <c r="O989" t="s">
        <v>35</v>
      </c>
      <c r="P989" t="s">
        <v>24</v>
      </c>
    </row>
    <row r="990" spans="1:16" x14ac:dyDescent="0.3">
      <c r="A990" t="s">
        <v>1062</v>
      </c>
      <c r="B990" s="1">
        <v>44950</v>
      </c>
      <c r="C990" t="s">
        <v>17</v>
      </c>
      <c r="D990" t="s">
        <v>42</v>
      </c>
      <c r="E990" t="s">
        <v>56</v>
      </c>
      <c r="F990" t="s">
        <v>28</v>
      </c>
      <c r="G990" t="s">
        <v>71</v>
      </c>
      <c r="H990">
        <v>3</v>
      </c>
      <c r="I990">
        <v>35000</v>
      </c>
      <c r="J990">
        <v>0</v>
      </c>
      <c r="K990">
        <v>105000</v>
      </c>
      <c r="L990">
        <v>57750</v>
      </c>
      <c r="M990">
        <v>47250</v>
      </c>
      <c r="N990" t="s">
        <v>49</v>
      </c>
      <c r="O990" t="s">
        <v>35</v>
      </c>
      <c r="P990" t="s">
        <v>24</v>
      </c>
    </row>
    <row r="991" spans="1:16" x14ac:dyDescent="0.3">
      <c r="A991" t="s">
        <v>1063</v>
      </c>
      <c r="B991" s="1">
        <v>45057</v>
      </c>
      <c r="C991" t="s">
        <v>58</v>
      </c>
      <c r="D991" t="s">
        <v>59</v>
      </c>
      <c r="E991" t="s">
        <v>78</v>
      </c>
      <c r="F991" t="s">
        <v>20</v>
      </c>
      <c r="G991" t="s">
        <v>53</v>
      </c>
      <c r="H991">
        <v>30</v>
      </c>
      <c r="I991">
        <v>600</v>
      </c>
      <c r="J991">
        <v>0</v>
      </c>
      <c r="K991">
        <v>18000</v>
      </c>
      <c r="L991">
        <v>7200</v>
      </c>
      <c r="M991">
        <v>10800</v>
      </c>
      <c r="N991" t="s">
        <v>49</v>
      </c>
      <c r="O991" t="s">
        <v>44</v>
      </c>
      <c r="P991" t="s">
        <v>24</v>
      </c>
    </row>
    <row r="992" spans="1:16" x14ac:dyDescent="0.3">
      <c r="A992" t="s">
        <v>1064</v>
      </c>
      <c r="B992" s="1">
        <v>45372</v>
      </c>
      <c r="C992" t="s">
        <v>58</v>
      </c>
      <c r="D992" t="s">
        <v>64</v>
      </c>
      <c r="E992" t="s">
        <v>52</v>
      </c>
      <c r="F992" t="s">
        <v>20</v>
      </c>
      <c r="G992" t="s">
        <v>53</v>
      </c>
      <c r="H992">
        <v>31</v>
      </c>
      <c r="I992">
        <v>600</v>
      </c>
      <c r="J992">
        <v>15</v>
      </c>
      <c r="K992">
        <v>15810</v>
      </c>
      <c r="L992">
        <v>6324</v>
      </c>
      <c r="M992">
        <v>9486</v>
      </c>
      <c r="N992" t="s">
        <v>49</v>
      </c>
      <c r="O992" t="s">
        <v>23</v>
      </c>
      <c r="P992" t="s">
        <v>24</v>
      </c>
    </row>
    <row r="993" spans="1:16" x14ac:dyDescent="0.3">
      <c r="A993" t="s">
        <v>1065</v>
      </c>
      <c r="B993" s="1">
        <v>44988</v>
      </c>
      <c r="C993" t="s">
        <v>17</v>
      </c>
      <c r="D993" t="s">
        <v>37</v>
      </c>
      <c r="E993" t="s">
        <v>52</v>
      </c>
      <c r="F993" t="s">
        <v>33</v>
      </c>
      <c r="G993" t="s">
        <v>43</v>
      </c>
      <c r="H993">
        <v>16</v>
      </c>
      <c r="I993">
        <v>4000</v>
      </c>
      <c r="J993">
        <v>5</v>
      </c>
      <c r="K993">
        <v>60800</v>
      </c>
      <c r="L993">
        <v>30400</v>
      </c>
      <c r="M993">
        <v>30400</v>
      </c>
      <c r="N993" t="s">
        <v>30</v>
      </c>
      <c r="O993" t="s">
        <v>23</v>
      </c>
      <c r="P993" t="s">
        <v>24</v>
      </c>
    </row>
    <row r="994" spans="1:16" x14ac:dyDescent="0.3">
      <c r="A994" t="s">
        <v>1066</v>
      </c>
      <c r="B994" s="1">
        <v>44658</v>
      </c>
      <c r="C994" t="s">
        <v>26</v>
      </c>
      <c r="D994" t="s">
        <v>27</v>
      </c>
      <c r="E994" t="s">
        <v>60</v>
      </c>
      <c r="F994" t="s">
        <v>65</v>
      </c>
      <c r="G994" t="s">
        <v>104</v>
      </c>
      <c r="H994">
        <v>32</v>
      </c>
      <c r="I994">
        <v>3000</v>
      </c>
      <c r="J994">
        <v>0</v>
      </c>
      <c r="K994">
        <v>96000</v>
      </c>
      <c r="L994">
        <v>43200</v>
      </c>
      <c r="M994">
        <v>52800</v>
      </c>
      <c r="N994" t="s">
        <v>30</v>
      </c>
      <c r="O994" t="s">
        <v>67</v>
      </c>
      <c r="P994" t="s">
        <v>24</v>
      </c>
    </row>
    <row r="995" spans="1:16" x14ac:dyDescent="0.3">
      <c r="A995" t="s">
        <v>1067</v>
      </c>
      <c r="B995" s="1">
        <v>45582</v>
      </c>
      <c r="C995" t="s">
        <v>17</v>
      </c>
      <c r="D995" t="s">
        <v>37</v>
      </c>
      <c r="E995" t="s">
        <v>60</v>
      </c>
      <c r="F995" t="s">
        <v>20</v>
      </c>
      <c r="G995" t="s">
        <v>53</v>
      </c>
      <c r="H995">
        <v>7</v>
      </c>
      <c r="I995">
        <v>600</v>
      </c>
      <c r="J995">
        <v>5</v>
      </c>
      <c r="K995">
        <v>3990</v>
      </c>
      <c r="L995">
        <v>1596</v>
      </c>
      <c r="M995">
        <v>2394</v>
      </c>
      <c r="N995" t="s">
        <v>49</v>
      </c>
      <c r="O995" t="s">
        <v>23</v>
      </c>
      <c r="P995" t="s">
        <v>24</v>
      </c>
    </row>
    <row r="996" spans="1:16" x14ac:dyDescent="0.3">
      <c r="A996" t="s">
        <v>1068</v>
      </c>
      <c r="B996" s="1">
        <v>45440</v>
      </c>
      <c r="C996" t="s">
        <v>46</v>
      </c>
      <c r="D996" t="s">
        <v>55</v>
      </c>
      <c r="E996" t="s">
        <v>19</v>
      </c>
      <c r="F996" t="s">
        <v>28</v>
      </c>
      <c r="G996" t="s">
        <v>71</v>
      </c>
      <c r="H996">
        <v>28</v>
      </c>
      <c r="I996">
        <v>35000</v>
      </c>
      <c r="J996">
        <v>5</v>
      </c>
      <c r="K996">
        <v>931000</v>
      </c>
      <c r="L996">
        <v>512050</v>
      </c>
      <c r="M996">
        <v>418950</v>
      </c>
      <c r="N996" t="s">
        <v>22</v>
      </c>
      <c r="O996" t="s">
        <v>35</v>
      </c>
      <c r="P996" t="s">
        <v>24</v>
      </c>
    </row>
    <row r="997" spans="1:16" x14ac:dyDescent="0.3">
      <c r="A997" t="s">
        <v>1069</v>
      </c>
      <c r="B997" s="1">
        <v>44849</v>
      </c>
      <c r="C997" t="s">
        <v>26</v>
      </c>
      <c r="D997" t="s">
        <v>27</v>
      </c>
      <c r="E997" t="s">
        <v>19</v>
      </c>
      <c r="F997" t="s">
        <v>28</v>
      </c>
      <c r="G997" t="s">
        <v>85</v>
      </c>
      <c r="H997">
        <v>12</v>
      </c>
      <c r="I997">
        <v>8000</v>
      </c>
      <c r="J997">
        <v>10</v>
      </c>
      <c r="K997">
        <v>86400</v>
      </c>
      <c r="L997">
        <v>47520</v>
      </c>
      <c r="M997">
        <v>38880</v>
      </c>
      <c r="N997" t="s">
        <v>49</v>
      </c>
      <c r="O997" t="s">
        <v>67</v>
      </c>
      <c r="P997" t="s">
        <v>24</v>
      </c>
    </row>
    <row r="998" spans="1:16" x14ac:dyDescent="0.3">
      <c r="A998" t="s">
        <v>1070</v>
      </c>
      <c r="B998" s="1">
        <v>45424</v>
      </c>
      <c r="C998" t="s">
        <v>17</v>
      </c>
      <c r="D998" t="s">
        <v>18</v>
      </c>
      <c r="E998" t="s">
        <v>111</v>
      </c>
      <c r="F998" t="s">
        <v>28</v>
      </c>
      <c r="G998" t="s">
        <v>71</v>
      </c>
      <c r="H998">
        <v>28</v>
      </c>
      <c r="I998">
        <v>35000</v>
      </c>
      <c r="J998">
        <v>5</v>
      </c>
      <c r="K998">
        <v>931000</v>
      </c>
      <c r="L998">
        <v>512050</v>
      </c>
      <c r="M998">
        <v>418950</v>
      </c>
      <c r="N998" t="s">
        <v>49</v>
      </c>
      <c r="O998" t="s">
        <v>67</v>
      </c>
      <c r="P998" t="s">
        <v>24</v>
      </c>
    </row>
    <row r="999" spans="1:16" x14ac:dyDescent="0.3">
      <c r="A999" t="s">
        <v>1071</v>
      </c>
      <c r="B999" s="1">
        <v>45399</v>
      </c>
      <c r="C999" t="s">
        <v>17</v>
      </c>
      <c r="D999" t="s">
        <v>18</v>
      </c>
      <c r="E999" t="s">
        <v>60</v>
      </c>
      <c r="F999" t="s">
        <v>33</v>
      </c>
      <c r="G999" t="s">
        <v>34</v>
      </c>
      <c r="H999">
        <v>7</v>
      </c>
      <c r="I999">
        <v>25000</v>
      </c>
      <c r="J999">
        <v>0</v>
      </c>
      <c r="K999">
        <v>175000</v>
      </c>
      <c r="L999">
        <v>87500</v>
      </c>
      <c r="M999">
        <v>87500</v>
      </c>
      <c r="N999" t="s">
        <v>22</v>
      </c>
      <c r="O999" t="s">
        <v>23</v>
      </c>
      <c r="P999" t="s">
        <v>24</v>
      </c>
    </row>
    <row r="1000" spans="1:16" x14ac:dyDescent="0.3">
      <c r="A1000" t="s">
        <v>1072</v>
      </c>
      <c r="B1000" s="1">
        <v>44936</v>
      </c>
      <c r="C1000" t="s">
        <v>46</v>
      </c>
      <c r="D1000" t="s">
        <v>55</v>
      </c>
      <c r="E1000" t="s">
        <v>78</v>
      </c>
      <c r="F1000" t="s">
        <v>33</v>
      </c>
      <c r="G1000" t="s">
        <v>43</v>
      </c>
      <c r="H1000">
        <v>39</v>
      </c>
      <c r="I1000">
        <v>4000</v>
      </c>
      <c r="J1000">
        <v>15</v>
      </c>
      <c r="K1000">
        <v>132600</v>
      </c>
      <c r="L1000">
        <v>66300</v>
      </c>
      <c r="M1000">
        <v>66300</v>
      </c>
      <c r="N1000" t="s">
        <v>49</v>
      </c>
      <c r="O1000" t="s">
        <v>35</v>
      </c>
      <c r="P1000" t="s">
        <v>40</v>
      </c>
    </row>
    <row r="1001" spans="1:16" x14ac:dyDescent="0.3">
      <c r="A1001" t="s">
        <v>1073</v>
      </c>
      <c r="B1001" s="1">
        <v>44672</v>
      </c>
      <c r="C1001" t="s">
        <v>46</v>
      </c>
      <c r="D1001" t="s">
        <v>47</v>
      </c>
      <c r="E1001" t="s">
        <v>19</v>
      </c>
      <c r="F1001" t="s">
        <v>28</v>
      </c>
      <c r="G1001" t="s">
        <v>95</v>
      </c>
      <c r="H1001">
        <v>3</v>
      </c>
      <c r="I1001">
        <v>75000</v>
      </c>
      <c r="J1001">
        <v>20</v>
      </c>
      <c r="K1001">
        <v>180000</v>
      </c>
      <c r="L1001">
        <v>99000</v>
      </c>
      <c r="M1001">
        <v>81000</v>
      </c>
      <c r="N1001" t="s">
        <v>30</v>
      </c>
      <c r="O1001" t="s">
        <v>35</v>
      </c>
      <c r="P1001" t="s">
        <v>24</v>
      </c>
    </row>
    <row r="1002" spans="1:16" x14ac:dyDescent="0.3">
      <c r="A1002" t="s">
        <v>1074</v>
      </c>
      <c r="B1002" s="1">
        <v>45600</v>
      </c>
      <c r="C1002" t="s">
        <v>17</v>
      </c>
      <c r="D1002" t="s">
        <v>18</v>
      </c>
      <c r="E1002" t="s">
        <v>38</v>
      </c>
      <c r="F1002" t="s">
        <v>65</v>
      </c>
      <c r="G1002" t="s">
        <v>66</v>
      </c>
      <c r="H1002">
        <v>26</v>
      </c>
      <c r="I1002">
        <v>5500</v>
      </c>
      <c r="J1002">
        <v>0</v>
      </c>
      <c r="K1002">
        <v>143000</v>
      </c>
      <c r="L1002">
        <v>64350</v>
      </c>
      <c r="M1002">
        <v>78650</v>
      </c>
      <c r="N1002" t="s">
        <v>22</v>
      </c>
      <c r="O1002" t="s">
        <v>50</v>
      </c>
      <c r="P1002" t="s">
        <v>24</v>
      </c>
    </row>
    <row r="1003" spans="1:16" x14ac:dyDescent="0.3">
      <c r="A1003" t="s">
        <v>1075</v>
      </c>
      <c r="B1003" s="1">
        <v>45511</v>
      </c>
      <c r="C1003" t="s">
        <v>46</v>
      </c>
      <c r="D1003" t="s">
        <v>47</v>
      </c>
      <c r="E1003" t="s">
        <v>70</v>
      </c>
      <c r="F1003" t="s">
        <v>33</v>
      </c>
      <c r="G1003" t="s">
        <v>43</v>
      </c>
      <c r="H1003">
        <v>19</v>
      </c>
      <c r="I1003">
        <v>4000</v>
      </c>
      <c r="J1003">
        <v>0</v>
      </c>
      <c r="K1003">
        <v>76000</v>
      </c>
      <c r="L1003">
        <v>38000</v>
      </c>
      <c r="M1003">
        <v>38000</v>
      </c>
      <c r="N1003" t="s">
        <v>30</v>
      </c>
      <c r="O1003" t="s">
        <v>67</v>
      </c>
      <c r="P1003" t="s">
        <v>24</v>
      </c>
    </row>
    <row r="1004" spans="1:16" x14ac:dyDescent="0.3">
      <c r="A1004" t="s">
        <v>1076</v>
      </c>
      <c r="B1004" s="1">
        <v>45497</v>
      </c>
      <c r="C1004" t="s">
        <v>17</v>
      </c>
      <c r="D1004" t="s">
        <v>42</v>
      </c>
      <c r="E1004" t="s">
        <v>19</v>
      </c>
      <c r="F1004" t="s">
        <v>20</v>
      </c>
      <c r="G1004" t="s">
        <v>61</v>
      </c>
      <c r="H1004">
        <v>44</v>
      </c>
      <c r="I1004">
        <v>800</v>
      </c>
      <c r="J1004">
        <v>0</v>
      </c>
      <c r="K1004">
        <v>35200</v>
      </c>
      <c r="L1004">
        <v>14080</v>
      </c>
      <c r="M1004">
        <v>21120</v>
      </c>
      <c r="N1004" t="s">
        <v>30</v>
      </c>
      <c r="O1004" t="s">
        <v>50</v>
      </c>
      <c r="P1004" t="s">
        <v>24</v>
      </c>
    </row>
    <row r="1005" spans="1:16" x14ac:dyDescent="0.3">
      <c r="A1005" t="s">
        <v>1077</v>
      </c>
      <c r="B1005" s="1">
        <v>45448</v>
      </c>
      <c r="C1005" t="s">
        <v>26</v>
      </c>
      <c r="D1005" t="s">
        <v>69</v>
      </c>
      <c r="E1005" t="s">
        <v>32</v>
      </c>
      <c r="F1005" t="s">
        <v>33</v>
      </c>
      <c r="G1005" t="s">
        <v>39</v>
      </c>
      <c r="H1005">
        <v>12</v>
      </c>
      <c r="I1005">
        <v>5000</v>
      </c>
      <c r="J1005">
        <v>10</v>
      </c>
      <c r="K1005">
        <v>54000</v>
      </c>
      <c r="L1005">
        <v>27000</v>
      </c>
      <c r="M1005">
        <v>27000</v>
      </c>
      <c r="N1005" t="s">
        <v>30</v>
      </c>
      <c r="O1005" t="s">
        <v>35</v>
      </c>
      <c r="P1005" t="s">
        <v>24</v>
      </c>
    </row>
    <row r="1006" spans="1:16" x14ac:dyDescent="0.3">
      <c r="A1006" t="s">
        <v>1078</v>
      </c>
      <c r="B1006" s="1">
        <v>45246</v>
      </c>
      <c r="C1006" t="s">
        <v>26</v>
      </c>
      <c r="D1006" t="s">
        <v>69</v>
      </c>
      <c r="E1006" t="s">
        <v>19</v>
      </c>
      <c r="F1006" t="s">
        <v>65</v>
      </c>
      <c r="G1006" t="s">
        <v>117</v>
      </c>
      <c r="H1006">
        <v>3</v>
      </c>
      <c r="I1006">
        <v>1200</v>
      </c>
      <c r="J1006">
        <v>0</v>
      </c>
      <c r="K1006">
        <v>3600</v>
      </c>
      <c r="L1006">
        <v>1620</v>
      </c>
      <c r="M1006">
        <v>1980</v>
      </c>
      <c r="N1006" t="s">
        <v>22</v>
      </c>
      <c r="O1006" t="s">
        <v>50</v>
      </c>
      <c r="P1006" t="s">
        <v>40</v>
      </c>
    </row>
    <row r="1007" spans="1:16" x14ac:dyDescent="0.3">
      <c r="A1007" t="s">
        <v>1079</v>
      </c>
      <c r="B1007" s="1">
        <v>45002</v>
      </c>
      <c r="C1007" t="s">
        <v>46</v>
      </c>
      <c r="D1007" t="s">
        <v>47</v>
      </c>
      <c r="E1007" t="s">
        <v>52</v>
      </c>
      <c r="F1007" t="s">
        <v>28</v>
      </c>
      <c r="G1007" t="s">
        <v>71</v>
      </c>
      <c r="H1007">
        <v>48</v>
      </c>
      <c r="I1007">
        <v>35000</v>
      </c>
      <c r="J1007">
        <v>10</v>
      </c>
      <c r="K1007">
        <v>1512000</v>
      </c>
      <c r="L1007">
        <v>831600</v>
      </c>
      <c r="M1007">
        <v>680400</v>
      </c>
      <c r="N1007" t="s">
        <v>49</v>
      </c>
      <c r="O1007" t="s">
        <v>50</v>
      </c>
      <c r="P1007" t="s">
        <v>24</v>
      </c>
    </row>
    <row r="1008" spans="1:16" x14ac:dyDescent="0.3">
      <c r="A1008" t="s">
        <v>1080</v>
      </c>
      <c r="B1008" s="1">
        <v>45605</v>
      </c>
      <c r="C1008" t="s">
        <v>58</v>
      </c>
      <c r="D1008" t="s">
        <v>59</v>
      </c>
      <c r="E1008" t="s">
        <v>70</v>
      </c>
      <c r="F1008" t="s">
        <v>65</v>
      </c>
      <c r="G1008" t="s">
        <v>117</v>
      </c>
      <c r="H1008">
        <v>23</v>
      </c>
      <c r="I1008">
        <v>1200</v>
      </c>
      <c r="J1008">
        <v>10</v>
      </c>
      <c r="K1008">
        <v>24840</v>
      </c>
      <c r="L1008">
        <v>11178</v>
      </c>
      <c r="M1008">
        <v>13662</v>
      </c>
      <c r="N1008" t="s">
        <v>22</v>
      </c>
      <c r="O1008" t="s">
        <v>67</v>
      </c>
      <c r="P1008" t="s">
        <v>24</v>
      </c>
    </row>
    <row r="1009" spans="1:16" x14ac:dyDescent="0.3">
      <c r="A1009" t="s">
        <v>1081</v>
      </c>
      <c r="B1009" s="1">
        <v>45477</v>
      </c>
      <c r="C1009" t="s">
        <v>17</v>
      </c>
      <c r="D1009" t="s">
        <v>42</v>
      </c>
      <c r="E1009" t="s">
        <v>111</v>
      </c>
      <c r="F1009" t="s">
        <v>28</v>
      </c>
      <c r="G1009" t="s">
        <v>87</v>
      </c>
      <c r="H1009">
        <v>27</v>
      </c>
      <c r="I1009">
        <v>45000</v>
      </c>
      <c r="J1009">
        <v>5</v>
      </c>
      <c r="K1009">
        <v>1154250</v>
      </c>
      <c r="L1009">
        <v>634837.5</v>
      </c>
      <c r="M1009">
        <v>519412.5</v>
      </c>
      <c r="N1009" t="s">
        <v>49</v>
      </c>
      <c r="O1009" t="s">
        <v>23</v>
      </c>
      <c r="P1009" t="s">
        <v>24</v>
      </c>
    </row>
    <row r="1010" spans="1:16" x14ac:dyDescent="0.3">
      <c r="A1010" t="s">
        <v>1082</v>
      </c>
      <c r="B1010" s="1">
        <v>44600</v>
      </c>
      <c r="C1010" t="s">
        <v>58</v>
      </c>
      <c r="D1010" t="s">
        <v>59</v>
      </c>
      <c r="E1010" t="s">
        <v>19</v>
      </c>
      <c r="F1010" t="s">
        <v>28</v>
      </c>
      <c r="G1010" t="s">
        <v>87</v>
      </c>
      <c r="H1010">
        <v>25</v>
      </c>
      <c r="I1010">
        <v>45000</v>
      </c>
      <c r="J1010">
        <v>0</v>
      </c>
      <c r="K1010">
        <v>1125000</v>
      </c>
      <c r="L1010">
        <v>618750</v>
      </c>
      <c r="M1010">
        <v>506250</v>
      </c>
      <c r="N1010" t="s">
        <v>22</v>
      </c>
      <c r="O1010" t="s">
        <v>67</v>
      </c>
      <c r="P1010" t="s">
        <v>24</v>
      </c>
    </row>
    <row r="1011" spans="1:16" x14ac:dyDescent="0.3">
      <c r="A1011" t="s">
        <v>1083</v>
      </c>
      <c r="B1011" s="1">
        <v>45429</v>
      </c>
      <c r="C1011" t="s">
        <v>46</v>
      </c>
      <c r="D1011" t="s">
        <v>55</v>
      </c>
      <c r="E1011" t="s">
        <v>70</v>
      </c>
      <c r="F1011" t="s">
        <v>33</v>
      </c>
      <c r="G1011" t="s">
        <v>48</v>
      </c>
      <c r="H1011">
        <v>38</v>
      </c>
      <c r="I1011">
        <v>1500</v>
      </c>
      <c r="J1011">
        <v>15</v>
      </c>
      <c r="K1011">
        <v>48450</v>
      </c>
      <c r="L1011">
        <v>24225</v>
      </c>
      <c r="M1011">
        <v>24225</v>
      </c>
      <c r="N1011" t="s">
        <v>49</v>
      </c>
      <c r="O1011" t="s">
        <v>44</v>
      </c>
      <c r="P1011" t="s">
        <v>24</v>
      </c>
    </row>
    <row r="1012" spans="1:16" x14ac:dyDescent="0.3">
      <c r="A1012" t="s">
        <v>1084</v>
      </c>
      <c r="B1012" s="1">
        <v>44639</v>
      </c>
      <c r="C1012" t="s">
        <v>17</v>
      </c>
      <c r="D1012" t="s">
        <v>42</v>
      </c>
      <c r="E1012" t="s">
        <v>52</v>
      </c>
      <c r="F1012" t="s">
        <v>65</v>
      </c>
      <c r="G1012" t="s">
        <v>66</v>
      </c>
      <c r="H1012">
        <v>37</v>
      </c>
      <c r="I1012">
        <v>5500</v>
      </c>
      <c r="J1012">
        <v>10</v>
      </c>
      <c r="K1012">
        <v>183150</v>
      </c>
      <c r="L1012">
        <v>82417.5</v>
      </c>
      <c r="M1012">
        <v>100732.5</v>
      </c>
      <c r="N1012" t="s">
        <v>30</v>
      </c>
      <c r="O1012" t="s">
        <v>35</v>
      </c>
      <c r="P1012" t="s">
        <v>24</v>
      </c>
    </row>
    <row r="1013" spans="1:16" x14ac:dyDescent="0.3">
      <c r="A1013" t="s">
        <v>1085</v>
      </c>
      <c r="B1013" s="1">
        <v>45526</v>
      </c>
      <c r="C1013" t="s">
        <v>46</v>
      </c>
      <c r="D1013" t="s">
        <v>55</v>
      </c>
      <c r="E1013" t="s">
        <v>78</v>
      </c>
      <c r="F1013" t="s">
        <v>33</v>
      </c>
      <c r="G1013" t="s">
        <v>43</v>
      </c>
      <c r="H1013">
        <v>36</v>
      </c>
      <c r="I1013">
        <v>4000</v>
      </c>
      <c r="J1013">
        <v>5</v>
      </c>
      <c r="K1013">
        <v>136800</v>
      </c>
      <c r="L1013">
        <v>68400</v>
      </c>
      <c r="M1013">
        <v>68400</v>
      </c>
      <c r="N1013" t="s">
        <v>49</v>
      </c>
      <c r="O1013" t="s">
        <v>50</v>
      </c>
      <c r="P1013" t="s">
        <v>24</v>
      </c>
    </row>
    <row r="1014" spans="1:16" x14ac:dyDescent="0.3">
      <c r="A1014" t="s">
        <v>1086</v>
      </c>
      <c r="B1014" s="1">
        <v>44707</v>
      </c>
      <c r="C1014" t="s">
        <v>17</v>
      </c>
      <c r="D1014" t="s">
        <v>18</v>
      </c>
      <c r="E1014" t="s">
        <v>60</v>
      </c>
      <c r="F1014" t="s">
        <v>28</v>
      </c>
      <c r="G1014" t="s">
        <v>87</v>
      </c>
      <c r="H1014">
        <v>19</v>
      </c>
      <c r="I1014">
        <v>45000</v>
      </c>
      <c r="J1014">
        <v>20</v>
      </c>
      <c r="K1014">
        <v>684000</v>
      </c>
      <c r="L1014">
        <v>376200</v>
      </c>
      <c r="M1014">
        <v>307800</v>
      </c>
      <c r="N1014" t="s">
        <v>30</v>
      </c>
      <c r="O1014" t="s">
        <v>23</v>
      </c>
      <c r="P1014" t="s">
        <v>24</v>
      </c>
    </row>
    <row r="1015" spans="1:16" x14ac:dyDescent="0.3">
      <c r="A1015" t="s">
        <v>1087</v>
      </c>
      <c r="B1015" s="1">
        <v>45139</v>
      </c>
      <c r="C1015" t="s">
        <v>58</v>
      </c>
      <c r="D1015" t="s">
        <v>59</v>
      </c>
      <c r="E1015" t="s">
        <v>56</v>
      </c>
      <c r="F1015" t="s">
        <v>28</v>
      </c>
      <c r="G1015" t="s">
        <v>71</v>
      </c>
      <c r="H1015">
        <v>9</v>
      </c>
      <c r="I1015">
        <v>35000</v>
      </c>
      <c r="J1015">
        <v>10</v>
      </c>
      <c r="K1015">
        <v>283500</v>
      </c>
      <c r="L1015">
        <v>155925</v>
      </c>
      <c r="M1015">
        <v>127575</v>
      </c>
      <c r="N1015" t="s">
        <v>22</v>
      </c>
      <c r="O1015" t="s">
        <v>67</v>
      </c>
      <c r="P1015" t="s">
        <v>24</v>
      </c>
    </row>
    <row r="1016" spans="1:16" x14ac:dyDescent="0.3">
      <c r="A1016" t="s">
        <v>1088</v>
      </c>
      <c r="B1016" s="1">
        <v>44837</v>
      </c>
      <c r="C1016" t="s">
        <v>17</v>
      </c>
      <c r="D1016" t="s">
        <v>18</v>
      </c>
      <c r="E1016" t="s">
        <v>19</v>
      </c>
      <c r="F1016" t="s">
        <v>65</v>
      </c>
      <c r="G1016" t="s">
        <v>79</v>
      </c>
      <c r="H1016">
        <v>6</v>
      </c>
      <c r="I1016">
        <v>900</v>
      </c>
      <c r="J1016">
        <v>10</v>
      </c>
      <c r="K1016">
        <v>4860</v>
      </c>
      <c r="L1016">
        <v>2187</v>
      </c>
      <c r="M1016">
        <v>2673</v>
      </c>
      <c r="N1016" t="s">
        <v>30</v>
      </c>
      <c r="O1016" t="s">
        <v>23</v>
      </c>
      <c r="P1016" t="s">
        <v>24</v>
      </c>
    </row>
    <row r="1017" spans="1:16" x14ac:dyDescent="0.3">
      <c r="A1017" t="s">
        <v>1089</v>
      </c>
      <c r="B1017" s="1">
        <v>45238</v>
      </c>
      <c r="C1017" t="s">
        <v>58</v>
      </c>
      <c r="D1017" t="s">
        <v>59</v>
      </c>
      <c r="E1017" t="s">
        <v>32</v>
      </c>
      <c r="F1017" t="s">
        <v>28</v>
      </c>
      <c r="G1017" t="s">
        <v>71</v>
      </c>
      <c r="H1017">
        <v>20</v>
      </c>
      <c r="I1017">
        <v>35000</v>
      </c>
      <c r="J1017">
        <v>20</v>
      </c>
      <c r="K1017">
        <v>560000</v>
      </c>
      <c r="L1017">
        <v>308000</v>
      </c>
      <c r="M1017">
        <v>252000</v>
      </c>
      <c r="N1017" t="s">
        <v>30</v>
      </c>
      <c r="O1017" t="s">
        <v>67</v>
      </c>
      <c r="P1017" t="s">
        <v>24</v>
      </c>
    </row>
    <row r="1018" spans="1:16" x14ac:dyDescent="0.3">
      <c r="A1018" t="s">
        <v>1090</v>
      </c>
      <c r="B1018" s="1">
        <v>45404</v>
      </c>
      <c r="C1018" t="s">
        <v>17</v>
      </c>
      <c r="D1018" t="s">
        <v>42</v>
      </c>
      <c r="E1018" t="s">
        <v>78</v>
      </c>
      <c r="F1018" t="s">
        <v>20</v>
      </c>
      <c r="G1018" t="s">
        <v>61</v>
      </c>
      <c r="H1018">
        <v>9</v>
      </c>
      <c r="I1018">
        <v>800</v>
      </c>
      <c r="J1018">
        <v>15</v>
      </c>
      <c r="K1018">
        <v>6120</v>
      </c>
      <c r="L1018">
        <v>2448</v>
      </c>
      <c r="M1018">
        <v>3672</v>
      </c>
      <c r="N1018" t="s">
        <v>30</v>
      </c>
      <c r="O1018" t="s">
        <v>50</v>
      </c>
      <c r="P1018" t="s">
        <v>40</v>
      </c>
    </row>
    <row r="1019" spans="1:16" x14ac:dyDescent="0.3">
      <c r="A1019" t="s">
        <v>1091</v>
      </c>
      <c r="B1019" s="1">
        <v>45141</v>
      </c>
      <c r="C1019" t="s">
        <v>17</v>
      </c>
      <c r="D1019" t="s">
        <v>42</v>
      </c>
      <c r="E1019" t="s">
        <v>60</v>
      </c>
      <c r="F1019" t="s">
        <v>20</v>
      </c>
      <c r="G1019" t="s">
        <v>115</v>
      </c>
      <c r="H1019">
        <v>28</v>
      </c>
      <c r="I1019">
        <v>2500</v>
      </c>
      <c r="J1019">
        <v>0</v>
      </c>
      <c r="K1019">
        <v>70000</v>
      </c>
      <c r="L1019">
        <v>28000</v>
      </c>
      <c r="M1019">
        <v>42000</v>
      </c>
      <c r="N1019" t="s">
        <v>22</v>
      </c>
      <c r="O1019" t="s">
        <v>23</v>
      </c>
      <c r="P1019" t="s">
        <v>24</v>
      </c>
    </row>
    <row r="1020" spans="1:16" x14ac:dyDescent="0.3">
      <c r="A1020" t="s">
        <v>1092</v>
      </c>
      <c r="B1020" s="1">
        <v>45186</v>
      </c>
      <c r="C1020" t="s">
        <v>17</v>
      </c>
      <c r="D1020" t="s">
        <v>37</v>
      </c>
      <c r="E1020" t="s">
        <v>70</v>
      </c>
      <c r="F1020" t="s">
        <v>65</v>
      </c>
      <c r="G1020" t="s">
        <v>66</v>
      </c>
      <c r="H1020">
        <v>27</v>
      </c>
      <c r="I1020">
        <v>5500</v>
      </c>
      <c r="J1020">
        <v>15</v>
      </c>
      <c r="K1020">
        <v>126225</v>
      </c>
      <c r="L1020">
        <v>56801.25</v>
      </c>
      <c r="M1020">
        <v>69423.75</v>
      </c>
      <c r="N1020" t="s">
        <v>30</v>
      </c>
      <c r="O1020" t="s">
        <v>67</v>
      </c>
      <c r="P1020" t="s">
        <v>24</v>
      </c>
    </row>
    <row r="1021" spans="1:16" x14ac:dyDescent="0.3">
      <c r="A1021" t="s">
        <v>1093</v>
      </c>
      <c r="B1021" s="1">
        <v>44617</v>
      </c>
      <c r="C1021" t="s">
        <v>58</v>
      </c>
      <c r="D1021" t="s">
        <v>84</v>
      </c>
      <c r="E1021" t="s">
        <v>78</v>
      </c>
      <c r="F1021" t="s">
        <v>33</v>
      </c>
      <c r="G1021" t="s">
        <v>76</v>
      </c>
      <c r="H1021">
        <v>38</v>
      </c>
      <c r="I1021">
        <v>8500</v>
      </c>
      <c r="J1021">
        <v>20</v>
      </c>
      <c r="K1021">
        <v>258400</v>
      </c>
      <c r="L1021">
        <v>129200</v>
      </c>
      <c r="M1021">
        <v>129200</v>
      </c>
      <c r="N1021" t="s">
        <v>30</v>
      </c>
      <c r="O1021" t="s">
        <v>67</v>
      </c>
      <c r="P1021" t="s">
        <v>24</v>
      </c>
    </row>
    <row r="1022" spans="1:16" x14ac:dyDescent="0.3">
      <c r="A1022" t="s">
        <v>1094</v>
      </c>
      <c r="B1022" s="1">
        <v>45615</v>
      </c>
      <c r="C1022" t="s">
        <v>17</v>
      </c>
      <c r="D1022" t="s">
        <v>18</v>
      </c>
      <c r="E1022" t="s">
        <v>32</v>
      </c>
      <c r="F1022" t="s">
        <v>20</v>
      </c>
      <c r="G1022" t="s">
        <v>115</v>
      </c>
      <c r="H1022">
        <v>43</v>
      </c>
      <c r="I1022">
        <v>2500</v>
      </c>
      <c r="J1022">
        <v>0</v>
      </c>
      <c r="K1022">
        <v>107500</v>
      </c>
      <c r="L1022">
        <v>43000</v>
      </c>
      <c r="M1022">
        <v>64500</v>
      </c>
      <c r="N1022" t="s">
        <v>22</v>
      </c>
      <c r="O1022" t="s">
        <v>23</v>
      </c>
      <c r="P1022" t="s">
        <v>24</v>
      </c>
    </row>
    <row r="1023" spans="1:16" x14ac:dyDescent="0.3">
      <c r="A1023" t="s">
        <v>1095</v>
      </c>
      <c r="B1023" s="1">
        <v>44654</v>
      </c>
      <c r="C1023" t="s">
        <v>26</v>
      </c>
      <c r="D1023" t="s">
        <v>69</v>
      </c>
      <c r="E1023" t="s">
        <v>52</v>
      </c>
      <c r="F1023" t="s">
        <v>33</v>
      </c>
      <c r="G1023" t="s">
        <v>43</v>
      </c>
      <c r="H1023">
        <v>7</v>
      </c>
      <c r="I1023">
        <v>4000</v>
      </c>
      <c r="J1023">
        <v>10</v>
      </c>
      <c r="K1023">
        <v>25200</v>
      </c>
      <c r="L1023">
        <v>12600</v>
      </c>
      <c r="M1023">
        <v>12600</v>
      </c>
      <c r="N1023" t="s">
        <v>49</v>
      </c>
      <c r="O1023" t="s">
        <v>50</v>
      </c>
      <c r="P1023" t="s">
        <v>40</v>
      </c>
    </row>
    <row r="1024" spans="1:16" x14ac:dyDescent="0.3">
      <c r="A1024" t="s">
        <v>1096</v>
      </c>
      <c r="B1024" s="1">
        <v>44655</v>
      </c>
      <c r="C1024" t="s">
        <v>26</v>
      </c>
      <c r="D1024" t="s">
        <v>27</v>
      </c>
      <c r="E1024" t="s">
        <v>111</v>
      </c>
      <c r="F1024" t="s">
        <v>20</v>
      </c>
      <c r="G1024" t="s">
        <v>53</v>
      </c>
      <c r="H1024">
        <v>48</v>
      </c>
      <c r="I1024">
        <v>600</v>
      </c>
      <c r="J1024">
        <v>15</v>
      </c>
      <c r="K1024">
        <v>24480</v>
      </c>
      <c r="L1024">
        <v>9792</v>
      </c>
      <c r="M1024">
        <v>14688</v>
      </c>
      <c r="N1024" t="s">
        <v>30</v>
      </c>
      <c r="O1024" t="s">
        <v>44</v>
      </c>
      <c r="P1024" t="s">
        <v>24</v>
      </c>
    </row>
    <row r="1025" spans="1:16" x14ac:dyDescent="0.3">
      <c r="A1025" t="s">
        <v>1097</v>
      </c>
      <c r="B1025" s="1">
        <v>45159</v>
      </c>
      <c r="C1025" t="s">
        <v>17</v>
      </c>
      <c r="D1025" t="s">
        <v>42</v>
      </c>
      <c r="E1025" t="s">
        <v>56</v>
      </c>
      <c r="F1025" t="s">
        <v>65</v>
      </c>
      <c r="G1025" t="s">
        <v>79</v>
      </c>
      <c r="H1025">
        <v>45</v>
      </c>
      <c r="I1025">
        <v>900</v>
      </c>
      <c r="J1025">
        <v>5</v>
      </c>
      <c r="K1025">
        <v>38475</v>
      </c>
      <c r="L1025">
        <v>17313.75</v>
      </c>
      <c r="M1025">
        <v>21161.25</v>
      </c>
      <c r="N1025" t="s">
        <v>30</v>
      </c>
      <c r="O1025" t="s">
        <v>35</v>
      </c>
      <c r="P1025" t="s">
        <v>24</v>
      </c>
    </row>
    <row r="1026" spans="1:16" x14ac:dyDescent="0.3">
      <c r="A1026" t="s">
        <v>1098</v>
      </c>
      <c r="B1026" s="1">
        <v>44854</v>
      </c>
      <c r="C1026" t="s">
        <v>26</v>
      </c>
      <c r="D1026" t="s">
        <v>27</v>
      </c>
      <c r="E1026" t="s">
        <v>19</v>
      </c>
      <c r="F1026" t="s">
        <v>20</v>
      </c>
      <c r="G1026" t="s">
        <v>21</v>
      </c>
      <c r="H1026">
        <v>31</v>
      </c>
      <c r="I1026">
        <v>3500</v>
      </c>
      <c r="J1026">
        <v>0</v>
      </c>
      <c r="K1026">
        <v>108500</v>
      </c>
      <c r="L1026">
        <v>43400</v>
      </c>
      <c r="M1026">
        <v>65100</v>
      </c>
      <c r="N1026" t="s">
        <v>49</v>
      </c>
      <c r="O1026" t="s">
        <v>23</v>
      </c>
      <c r="P1026" t="s">
        <v>40</v>
      </c>
    </row>
    <row r="1027" spans="1:16" x14ac:dyDescent="0.3">
      <c r="A1027" t="s">
        <v>1099</v>
      </c>
      <c r="B1027" s="1">
        <v>44655</v>
      </c>
      <c r="C1027" t="s">
        <v>17</v>
      </c>
      <c r="D1027" t="s">
        <v>37</v>
      </c>
      <c r="E1027" t="s">
        <v>60</v>
      </c>
      <c r="F1027" t="s">
        <v>20</v>
      </c>
      <c r="G1027" t="s">
        <v>74</v>
      </c>
      <c r="H1027">
        <v>35</v>
      </c>
      <c r="I1027">
        <v>4200</v>
      </c>
      <c r="J1027">
        <v>10</v>
      </c>
      <c r="K1027">
        <v>132300</v>
      </c>
      <c r="L1027">
        <v>52920</v>
      </c>
      <c r="M1027">
        <v>79380</v>
      </c>
      <c r="N1027" t="s">
        <v>22</v>
      </c>
      <c r="O1027" t="s">
        <v>23</v>
      </c>
      <c r="P1027" t="s">
        <v>40</v>
      </c>
    </row>
    <row r="1028" spans="1:16" x14ac:dyDescent="0.3">
      <c r="A1028" t="s">
        <v>1100</v>
      </c>
      <c r="B1028" s="1">
        <v>44787</v>
      </c>
      <c r="C1028" t="s">
        <v>46</v>
      </c>
      <c r="D1028" t="s">
        <v>47</v>
      </c>
      <c r="E1028" t="s">
        <v>78</v>
      </c>
      <c r="F1028" t="s">
        <v>20</v>
      </c>
      <c r="G1028" t="s">
        <v>74</v>
      </c>
      <c r="H1028">
        <v>11</v>
      </c>
      <c r="I1028">
        <v>4200</v>
      </c>
      <c r="J1028">
        <v>20</v>
      </c>
      <c r="K1028">
        <v>36960</v>
      </c>
      <c r="L1028">
        <v>14784</v>
      </c>
      <c r="M1028">
        <v>22176</v>
      </c>
      <c r="N1028" t="s">
        <v>30</v>
      </c>
      <c r="O1028" t="s">
        <v>23</v>
      </c>
      <c r="P1028" t="s">
        <v>40</v>
      </c>
    </row>
    <row r="1029" spans="1:16" x14ac:dyDescent="0.3">
      <c r="A1029" t="s">
        <v>1101</v>
      </c>
      <c r="B1029" s="1">
        <v>45483</v>
      </c>
      <c r="C1029" t="s">
        <v>17</v>
      </c>
      <c r="D1029" t="s">
        <v>42</v>
      </c>
      <c r="E1029" t="s">
        <v>52</v>
      </c>
      <c r="F1029" t="s">
        <v>65</v>
      </c>
      <c r="G1029" t="s">
        <v>124</v>
      </c>
      <c r="H1029">
        <v>43</v>
      </c>
      <c r="I1029">
        <v>18000</v>
      </c>
      <c r="J1029">
        <v>10</v>
      </c>
      <c r="K1029">
        <v>696600</v>
      </c>
      <c r="L1029">
        <v>313470</v>
      </c>
      <c r="M1029">
        <v>383130</v>
      </c>
      <c r="N1029" t="s">
        <v>49</v>
      </c>
      <c r="O1029" t="s">
        <v>35</v>
      </c>
      <c r="P1029" t="s">
        <v>24</v>
      </c>
    </row>
    <row r="1030" spans="1:16" x14ac:dyDescent="0.3">
      <c r="A1030" t="s">
        <v>1102</v>
      </c>
      <c r="B1030" s="1">
        <v>45457</v>
      </c>
      <c r="C1030" t="s">
        <v>58</v>
      </c>
      <c r="D1030" t="s">
        <v>84</v>
      </c>
      <c r="E1030" t="s">
        <v>56</v>
      </c>
      <c r="F1030" t="s">
        <v>33</v>
      </c>
      <c r="G1030" t="s">
        <v>48</v>
      </c>
      <c r="H1030">
        <v>8</v>
      </c>
      <c r="I1030">
        <v>1500</v>
      </c>
      <c r="J1030">
        <v>20</v>
      </c>
      <c r="K1030">
        <v>9600</v>
      </c>
      <c r="L1030">
        <v>4800</v>
      </c>
      <c r="M1030">
        <v>4800</v>
      </c>
      <c r="N1030" t="s">
        <v>30</v>
      </c>
      <c r="O1030" t="s">
        <v>67</v>
      </c>
      <c r="P1030" t="s">
        <v>24</v>
      </c>
    </row>
    <row r="1031" spans="1:16" x14ac:dyDescent="0.3">
      <c r="A1031" t="s">
        <v>1103</v>
      </c>
      <c r="B1031" s="1">
        <v>45140</v>
      </c>
      <c r="C1031" t="s">
        <v>58</v>
      </c>
      <c r="D1031" t="s">
        <v>84</v>
      </c>
      <c r="E1031" t="s">
        <v>70</v>
      </c>
      <c r="F1031" t="s">
        <v>20</v>
      </c>
      <c r="G1031" t="s">
        <v>115</v>
      </c>
      <c r="H1031">
        <v>47</v>
      </c>
      <c r="I1031">
        <v>2500</v>
      </c>
      <c r="J1031">
        <v>15</v>
      </c>
      <c r="K1031">
        <v>99875</v>
      </c>
      <c r="L1031">
        <v>39950</v>
      </c>
      <c r="M1031">
        <v>59925</v>
      </c>
      <c r="N1031" t="s">
        <v>30</v>
      </c>
      <c r="O1031" t="s">
        <v>44</v>
      </c>
      <c r="P1031" t="s">
        <v>24</v>
      </c>
    </row>
    <row r="1032" spans="1:16" x14ac:dyDescent="0.3">
      <c r="A1032" t="s">
        <v>1104</v>
      </c>
      <c r="B1032" s="1">
        <v>45247</v>
      </c>
      <c r="C1032" t="s">
        <v>46</v>
      </c>
      <c r="D1032" t="s">
        <v>55</v>
      </c>
      <c r="E1032" t="s">
        <v>111</v>
      </c>
      <c r="F1032" t="s">
        <v>65</v>
      </c>
      <c r="G1032" t="s">
        <v>79</v>
      </c>
      <c r="H1032">
        <v>5</v>
      </c>
      <c r="I1032">
        <v>900</v>
      </c>
      <c r="J1032">
        <v>5</v>
      </c>
      <c r="K1032">
        <v>4275</v>
      </c>
      <c r="L1032">
        <v>1923.75</v>
      </c>
      <c r="M1032">
        <v>2351.25</v>
      </c>
      <c r="N1032" t="s">
        <v>49</v>
      </c>
      <c r="O1032" t="s">
        <v>67</v>
      </c>
      <c r="P1032" t="s">
        <v>24</v>
      </c>
    </row>
    <row r="1033" spans="1:16" x14ac:dyDescent="0.3">
      <c r="A1033" t="s">
        <v>1105</v>
      </c>
      <c r="B1033" s="1">
        <v>45214</v>
      </c>
      <c r="C1033" t="s">
        <v>46</v>
      </c>
      <c r="D1033" t="s">
        <v>55</v>
      </c>
      <c r="E1033" t="s">
        <v>73</v>
      </c>
      <c r="F1033" t="s">
        <v>65</v>
      </c>
      <c r="G1033" t="s">
        <v>117</v>
      </c>
      <c r="H1033">
        <v>42</v>
      </c>
      <c r="I1033">
        <v>1200</v>
      </c>
      <c r="J1033">
        <v>15</v>
      </c>
      <c r="K1033">
        <v>42840</v>
      </c>
      <c r="L1033">
        <v>19278</v>
      </c>
      <c r="M1033">
        <v>23562</v>
      </c>
      <c r="N1033" t="s">
        <v>49</v>
      </c>
      <c r="O1033" t="s">
        <v>67</v>
      </c>
      <c r="P1033" t="s">
        <v>24</v>
      </c>
    </row>
    <row r="1034" spans="1:16" x14ac:dyDescent="0.3">
      <c r="A1034" t="s">
        <v>1106</v>
      </c>
      <c r="B1034" s="1">
        <v>44914</v>
      </c>
      <c r="C1034" t="s">
        <v>17</v>
      </c>
      <c r="D1034" t="s">
        <v>18</v>
      </c>
      <c r="E1034" t="s">
        <v>70</v>
      </c>
      <c r="F1034" t="s">
        <v>33</v>
      </c>
      <c r="G1034" t="s">
        <v>43</v>
      </c>
      <c r="H1034">
        <v>40</v>
      </c>
      <c r="I1034">
        <v>4000</v>
      </c>
      <c r="J1034">
        <v>15</v>
      </c>
      <c r="K1034">
        <v>136000</v>
      </c>
      <c r="L1034">
        <v>68000</v>
      </c>
      <c r="M1034">
        <v>68000</v>
      </c>
      <c r="N1034" t="s">
        <v>30</v>
      </c>
      <c r="O1034" t="s">
        <v>35</v>
      </c>
      <c r="P1034" t="s">
        <v>24</v>
      </c>
    </row>
    <row r="1035" spans="1:16" x14ac:dyDescent="0.3">
      <c r="A1035" t="s">
        <v>1107</v>
      </c>
      <c r="B1035" s="1">
        <v>44873</v>
      </c>
      <c r="C1035" t="s">
        <v>26</v>
      </c>
      <c r="D1035" t="s">
        <v>27</v>
      </c>
      <c r="E1035" t="s">
        <v>60</v>
      </c>
      <c r="F1035" t="s">
        <v>65</v>
      </c>
      <c r="G1035" t="s">
        <v>124</v>
      </c>
      <c r="H1035">
        <v>49</v>
      </c>
      <c r="I1035">
        <v>18000</v>
      </c>
      <c r="J1035">
        <v>5</v>
      </c>
      <c r="K1035">
        <v>837900</v>
      </c>
      <c r="L1035">
        <v>377055</v>
      </c>
      <c r="M1035">
        <v>460845</v>
      </c>
      <c r="N1035" t="s">
        <v>30</v>
      </c>
      <c r="O1035" t="s">
        <v>44</v>
      </c>
      <c r="P1035" t="s">
        <v>24</v>
      </c>
    </row>
    <row r="1036" spans="1:16" x14ac:dyDescent="0.3">
      <c r="A1036" t="s">
        <v>1108</v>
      </c>
      <c r="B1036" s="1">
        <v>45316</v>
      </c>
      <c r="C1036" t="s">
        <v>58</v>
      </c>
      <c r="D1036" t="s">
        <v>84</v>
      </c>
      <c r="E1036" t="s">
        <v>56</v>
      </c>
      <c r="F1036" t="s">
        <v>33</v>
      </c>
      <c r="G1036" t="s">
        <v>39</v>
      </c>
      <c r="H1036">
        <v>3</v>
      </c>
      <c r="I1036">
        <v>5000</v>
      </c>
      <c r="J1036">
        <v>0</v>
      </c>
      <c r="K1036">
        <v>15000</v>
      </c>
      <c r="L1036">
        <v>7500</v>
      </c>
      <c r="M1036">
        <v>7500</v>
      </c>
      <c r="N1036" t="s">
        <v>49</v>
      </c>
      <c r="O1036" t="s">
        <v>67</v>
      </c>
      <c r="P1036" t="s">
        <v>24</v>
      </c>
    </row>
    <row r="1037" spans="1:16" x14ac:dyDescent="0.3">
      <c r="A1037" t="s">
        <v>1109</v>
      </c>
      <c r="B1037" s="1">
        <v>44598</v>
      </c>
      <c r="C1037" t="s">
        <v>17</v>
      </c>
      <c r="D1037" t="s">
        <v>18</v>
      </c>
      <c r="E1037" t="s">
        <v>60</v>
      </c>
      <c r="F1037" t="s">
        <v>65</v>
      </c>
      <c r="G1037" t="s">
        <v>104</v>
      </c>
      <c r="H1037">
        <v>41</v>
      </c>
      <c r="I1037">
        <v>3000</v>
      </c>
      <c r="J1037">
        <v>20</v>
      </c>
      <c r="K1037">
        <v>98400</v>
      </c>
      <c r="L1037">
        <v>44280</v>
      </c>
      <c r="M1037">
        <v>54120</v>
      </c>
      <c r="N1037" t="s">
        <v>30</v>
      </c>
      <c r="O1037" t="s">
        <v>44</v>
      </c>
      <c r="P1037" t="s">
        <v>40</v>
      </c>
    </row>
    <row r="1038" spans="1:16" x14ac:dyDescent="0.3">
      <c r="A1038" t="s">
        <v>1110</v>
      </c>
      <c r="B1038" s="1">
        <v>45062</v>
      </c>
      <c r="C1038" t="s">
        <v>58</v>
      </c>
      <c r="D1038" t="s">
        <v>64</v>
      </c>
      <c r="E1038" t="s">
        <v>73</v>
      </c>
      <c r="F1038" t="s">
        <v>20</v>
      </c>
      <c r="G1038" t="s">
        <v>74</v>
      </c>
      <c r="H1038">
        <v>48</v>
      </c>
      <c r="I1038">
        <v>4200</v>
      </c>
      <c r="J1038">
        <v>5</v>
      </c>
      <c r="K1038">
        <v>191520</v>
      </c>
      <c r="L1038">
        <v>76608</v>
      </c>
      <c r="M1038">
        <v>114912</v>
      </c>
      <c r="N1038" t="s">
        <v>22</v>
      </c>
      <c r="O1038" t="s">
        <v>44</v>
      </c>
      <c r="P1038" t="s">
        <v>24</v>
      </c>
    </row>
    <row r="1039" spans="1:16" x14ac:dyDescent="0.3">
      <c r="A1039" t="s">
        <v>1111</v>
      </c>
      <c r="B1039" s="1">
        <v>44731</v>
      </c>
      <c r="C1039" t="s">
        <v>26</v>
      </c>
      <c r="D1039" t="s">
        <v>27</v>
      </c>
      <c r="E1039" t="s">
        <v>19</v>
      </c>
      <c r="F1039" t="s">
        <v>28</v>
      </c>
      <c r="G1039" t="s">
        <v>87</v>
      </c>
      <c r="H1039">
        <v>1</v>
      </c>
      <c r="I1039">
        <v>45000</v>
      </c>
      <c r="J1039">
        <v>10</v>
      </c>
      <c r="K1039">
        <v>40500</v>
      </c>
      <c r="L1039">
        <v>22275</v>
      </c>
      <c r="M1039">
        <v>18225</v>
      </c>
      <c r="N1039" t="s">
        <v>22</v>
      </c>
      <c r="O1039" t="s">
        <v>67</v>
      </c>
      <c r="P1039" t="s">
        <v>24</v>
      </c>
    </row>
    <row r="1040" spans="1:16" x14ac:dyDescent="0.3">
      <c r="A1040" t="s">
        <v>1112</v>
      </c>
      <c r="B1040" s="1">
        <v>44692</v>
      </c>
      <c r="C1040" t="s">
        <v>46</v>
      </c>
      <c r="D1040" t="s">
        <v>55</v>
      </c>
      <c r="E1040" t="s">
        <v>19</v>
      </c>
      <c r="F1040" t="s">
        <v>20</v>
      </c>
      <c r="G1040" t="s">
        <v>53</v>
      </c>
      <c r="H1040">
        <v>31</v>
      </c>
      <c r="I1040">
        <v>600</v>
      </c>
      <c r="J1040">
        <v>20</v>
      </c>
      <c r="K1040">
        <v>14880</v>
      </c>
      <c r="L1040">
        <v>5952</v>
      </c>
      <c r="M1040">
        <v>8928</v>
      </c>
      <c r="N1040" t="s">
        <v>49</v>
      </c>
      <c r="O1040" t="s">
        <v>67</v>
      </c>
      <c r="P1040" t="s">
        <v>24</v>
      </c>
    </row>
    <row r="1041" spans="1:16" x14ac:dyDescent="0.3">
      <c r="A1041" t="s">
        <v>1113</v>
      </c>
      <c r="B1041" s="1">
        <v>45654</v>
      </c>
      <c r="C1041" t="s">
        <v>46</v>
      </c>
      <c r="D1041" t="s">
        <v>47</v>
      </c>
      <c r="E1041" t="s">
        <v>60</v>
      </c>
      <c r="F1041" t="s">
        <v>65</v>
      </c>
      <c r="G1041" t="s">
        <v>66</v>
      </c>
      <c r="H1041">
        <v>5</v>
      </c>
      <c r="I1041">
        <v>5500</v>
      </c>
      <c r="J1041">
        <v>20</v>
      </c>
      <c r="K1041">
        <v>22000</v>
      </c>
      <c r="L1041">
        <v>9900</v>
      </c>
      <c r="M1041">
        <v>12100</v>
      </c>
      <c r="N1041" t="s">
        <v>30</v>
      </c>
      <c r="O1041" t="s">
        <v>67</v>
      </c>
      <c r="P1041" t="s">
        <v>24</v>
      </c>
    </row>
    <row r="1042" spans="1:16" x14ac:dyDescent="0.3">
      <c r="A1042" t="s">
        <v>1114</v>
      </c>
      <c r="B1042" s="1">
        <v>45142</v>
      </c>
      <c r="C1042" t="s">
        <v>26</v>
      </c>
      <c r="D1042" t="s">
        <v>69</v>
      </c>
      <c r="E1042" t="s">
        <v>19</v>
      </c>
      <c r="F1042" t="s">
        <v>28</v>
      </c>
      <c r="G1042" t="s">
        <v>29</v>
      </c>
      <c r="H1042">
        <v>35</v>
      </c>
      <c r="I1042">
        <v>15000</v>
      </c>
      <c r="J1042">
        <v>10</v>
      </c>
      <c r="K1042">
        <v>472500</v>
      </c>
      <c r="L1042">
        <v>259875</v>
      </c>
      <c r="M1042">
        <v>212625</v>
      </c>
      <c r="N1042" t="s">
        <v>30</v>
      </c>
      <c r="O1042" t="s">
        <v>50</v>
      </c>
      <c r="P1042" t="s">
        <v>24</v>
      </c>
    </row>
    <row r="1043" spans="1:16" x14ac:dyDescent="0.3">
      <c r="A1043" t="s">
        <v>1115</v>
      </c>
      <c r="B1043" s="1">
        <v>45059</v>
      </c>
      <c r="C1043" t="s">
        <v>17</v>
      </c>
      <c r="D1043" t="s">
        <v>18</v>
      </c>
      <c r="E1043" t="s">
        <v>78</v>
      </c>
      <c r="F1043" t="s">
        <v>33</v>
      </c>
      <c r="G1043" t="s">
        <v>39</v>
      </c>
      <c r="H1043">
        <v>35</v>
      </c>
      <c r="I1043">
        <v>5000</v>
      </c>
      <c r="J1043">
        <v>20</v>
      </c>
      <c r="K1043">
        <v>140000</v>
      </c>
      <c r="L1043">
        <v>70000</v>
      </c>
      <c r="M1043">
        <v>70000</v>
      </c>
      <c r="N1043" t="s">
        <v>22</v>
      </c>
      <c r="O1043" t="s">
        <v>67</v>
      </c>
      <c r="P1043" t="s">
        <v>24</v>
      </c>
    </row>
    <row r="1044" spans="1:16" x14ac:dyDescent="0.3">
      <c r="A1044" t="s">
        <v>1116</v>
      </c>
      <c r="B1044" s="1">
        <v>45545</v>
      </c>
      <c r="C1044" t="s">
        <v>58</v>
      </c>
      <c r="D1044" t="s">
        <v>64</v>
      </c>
      <c r="E1044" t="s">
        <v>56</v>
      </c>
      <c r="F1044" t="s">
        <v>28</v>
      </c>
      <c r="G1044" t="s">
        <v>29</v>
      </c>
      <c r="H1044">
        <v>31</v>
      </c>
      <c r="I1044">
        <v>15000</v>
      </c>
      <c r="J1044">
        <v>10</v>
      </c>
      <c r="K1044">
        <v>418500</v>
      </c>
      <c r="L1044">
        <v>230175</v>
      </c>
      <c r="M1044">
        <v>188325</v>
      </c>
      <c r="N1044" t="s">
        <v>30</v>
      </c>
      <c r="O1044" t="s">
        <v>50</v>
      </c>
      <c r="P1044" t="s">
        <v>24</v>
      </c>
    </row>
    <row r="1045" spans="1:16" x14ac:dyDescent="0.3">
      <c r="A1045" t="s">
        <v>1117</v>
      </c>
      <c r="B1045" s="1">
        <v>45360</v>
      </c>
      <c r="C1045" t="s">
        <v>46</v>
      </c>
      <c r="D1045" t="s">
        <v>55</v>
      </c>
      <c r="E1045" t="s">
        <v>56</v>
      </c>
      <c r="F1045" t="s">
        <v>20</v>
      </c>
      <c r="G1045" t="s">
        <v>74</v>
      </c>
      <c r="H1045">
        <v>36</v>
      </c>
      <c r="I1045">
        <v>4200</v>
      </c>
      <c r="J1045">
        <v>10</v>
      </c>
      <c r="K1045">
        <v>136080</v>
      </c>
      <c r="L1045">
        <v>54432</v>
      </c>
      <c r="M1045">
        <v>81648</v>
      </c>
      <c r="N1045" t="s">
        <v>30</v>
      </c>
      <c r="O1045" t="s">
        <v>23</v>
      </c>
      <c r="P1045" t="s">
        <v>24</v>
      </c>
    </row>
    <row r="1046" spans="1:16" x14ac:dyDescent="0.3">
      <c r="A1046" t="s">
        <v>1118</v>
      </c>
      <c r="B1046" s="1">
        <v>44707</v>
      </c>
      <c r="C1046" t="s">
        <v>26</v>
      </c>
      <c r="D1046" t="s">
        <v>69</v>
      </c>
      <c r="E1046" t="s">
        <v>52</v>
      </c>
      <c r="F1046" t="s">
        <v>65</v>
      </c>
      <c r="G1046" t="s">
        <v>79</v>
      </c>
      <c r="H1046">
        <v>48</v>
      </c>
      <c r="I1046">
        <v>900</v>
      </c>
      <c r="J1046">
        <v>20</v>
      </c>
      <c r="K1046">
        <v>34560</v>
      </c>
      <c r="L1046">
        <v>15552</v>
      </c>
      <c r="M1046">
        <v>19008</v>
      </c>
      <c r="N1046" t="s">
        <v>22</v>
      </c>
      <c r="O1046" t="s">
        <v>23</v>
      </c>
      <c r="P1046" t="s">
        <v>24</v>
      </c>
    </row>
    <row r="1047" spans="1:16" x14ac:dyDescent="0.3">
      <c r="A1047" t="s">
        <v>1119</v>
      </c>
      <c r="B1047" s="1">
        <v>44813</v>
      </c>
      <c r="C1047" t="s">
        <v>26</v>
      </c>
      <c r="D1047" t="s">
        <v>27</v>
      </c>
      <c r="E1047" t="s">
        <v>56</v>
      </c>
      <c r="F1047" t="s">
        <v>65</v>
      </c>
      <c r="G1047" t="s">
        <v>79</v>
      </c>
      <c r="H1047">
        <v>15</v>
      </c>
      <c r="I1047">
        <v>900</v>
      </c>
      <c r="J1047">
        <v>10</v>
      </c>
      <c r="K1047">
        <v>12150</v>
      </c>
      <c r="L1047">
        <v>5467.5</v>
      </c>
      <c r="M1047">
        <v>6682.5</v>
      </c>
      <c r="N1047" t="s">
        <v>49</v>
      </c>
      <c r="O1047" t="s">
        <v>50</v>
      </c>
      <c r="P1047" t="s">
        <v>24</v>
      </c>
    </row>
    <row r="1048" spans="1:16" x14ac:dyDescent="0.3">
      <c r="A1048" t="s">
        <v>1120</v>
      </c>
      <c r="B1048" s="1">
        <v>44986</v>
      </c>
      <c r="C1048" t="s">
        <v>26</v>
      </c>
      <c r="D1048" t="s">
        <v>27</v>
      </c>
      <c r="E1048" t="s">
        <v>19</v>
      </c>
      <c r="F1048" t="s">
        <v>65</v>
      </c>
      <c r="G1048" t="s">
        <v>117</v>
      </c>
      <c r="H1048">
        <v>36</v>
      </c>
      <c r="I1048">
        <v>1200</v>
      </c>
      <c r="J1048">
        <v>15</v>
      </c>
      <c r="K1048">
        <v>36720</v>
      </c>
      <c r="L1048">
        <v>16524</v>
      </c>
      <c r="M1048">
        <v>20196</v>
      </c>
      <c r="N1048" t="s">
        <v>49</v>
      </c>
      <c r="O1048" t="s">
        <v>23</v>
      </c>
      <c r="P1048" t="s">
        <v>24</v>
      </c>
    </row>
    <row r="1049" spans="1:16" x14ac:dyDescent="0.3">
      <c r="A1049" t="s">
        <v>1121</v>
      </c>
      <c r="B1049" s="1">
        <v>44818</v>
      </c>
      <c r="C1049" t="s">
        <v>58</v>
      </c>
      <c r="D1049" t="s">
        <v>64</v>
      </c>
      <c r="E1049" t="s">
        <v>78</v>
      </c>
      <c r="F1049" t="s">
        <v>28</v>
      </c>
      <c r="G1049" t="s">
        <v>85</v>
      </c>
      <c r="H1049">
        <v>8</v>
      </c>
      <c r="I1049">
        <v>8000</v>
      </c>
      <c r="J1049">
        <v>20</v>
      </c>
      <c r="K1049">
        <v>51200</v>
      </c>
      <c r="L1049">
        <v>28160</v>
      </c>
      <c r="M1049">
        <v>23040</v>
      </c>
      <c r="N1049" t="s">
        <v>49</v>
      </c>
      <c r="O1049" t="s">
        <v>44</v>
      </c>
      <c r="P1049" t="s">
        <v>24</v>
      </c>
    </row>
    <row r="1050" spans="1:16" x14ac:dyDescent="0.3">
      <c r="A1050" t="s">
        <v>1122</v>
      </c>
      <c r="B1050" s="1">
        <v>45213</v>
      </c>
      <c r="C1050" t="s">
        <v>26</v>
      </c>
      <c r="D1050" t="s">
        <v>27</v>
      </c>
      <c r="E1050" t="s">
        <v>19</v>
      </c>
      <c r="F1050" t="s">
        <v>28</v>
      </c>
      <c r="G1050" t="s">
        <v>29</v>
      </c>
      <c r="H1050">
        <v>1</v>
      </c>
      <c r="I1050">
        <v>15000</v>
      </c>
      <c r="J1050">
        <v>5</v>
      </c>
      <c r="K1050">
        <v>14250</v>
      </c>
      <c r="L1050">
        <v>7837.5</v>
      </c>
      <c r="M1050">
        <v>6412.5</v>
      </c>
      <c r="N1050" t="s">
        <v>22</v>
      </c>
      <c r="O1050" t="s">
        <v>67</v>
      </c>
      <c r="P1050" t="s">
        <v>24</v>
      </c>
    </row>
    <row r="1051" spans="1:16" x14ac:dyDescent="0.3">
      <c r="A1051" t="s">
        <v>1123</v>
      </c>
      <c r="B1051" s="1">
        <v>44646</v>
      </c>
      <c r="C1051" t="s">
        <v>26</v>
      </c>
      <c r="D1051" t="s">
        <v>27</v>
      </c>
      <c r="E1051" t="s">
        <v>56</v>
      </c>
      <c r="F1051" t="s">
        <v>28</v>
      </c>
      <c r="G1051" t="s">
        <v>95</v>
      </c>
      <c r="H1051">
        <v>9</v>
      </c>
      <c r="I1051">
        <v>75000</v>
      </c>
      <c r="J1051">
        <v>15</v>
      </c>
      <c r="K1051">
        <v>573750</v>
      </c>
      <c r="L1051">
        <v>315562.5</v>
      </c>
      <c r="M1051">
        <v>258187.5</v>
      </c>
      <c r="N1051" t="s">
        <v>49</v>
      </c>
      <c r="O1051" t="s">
        <v>35</v>
      </c>
      <c r="P1051" t="s">
        <v>24</v>
      </c>
    </row>
    <row r="1052" spans="1:16" x14ac:dyDescent="0.3">
      <c r="A1052" t="s">
        <v>1124</v>
      </c>
      <c r="B1052" s="1">
        <v>45181</v>
      </c>
      <c r="C1052" t="s">
        <v>46</v>
      </c>
      <c r="D1052" t="s">
        <v>55</v>
      </c>
      <c r="E1052" t="s">
        <v>78</v>
      </c>
      <c r="F1052" t="s">
        <v>65</v>
      </c>
      <c r="G1052" t="s">
        <v>66</v>
      </c>
      <c r="H1052">
        <v>43</v>
      </c>
      <c r="I1052">
        <v>5500</v>
      </c>
      <c r="J1052">
        <v>0</v>
      </c>
      <c r="K1052">
        <v>236500</v>
      </c>
      <c r="L1052">
        <v>106425</v>
      </c>
      <c r="M1052">
        <v>130075</v>
      </c>
      <c r="N1052" t="s">
        <v>30</v>
      </c>
      <c r="O1052" t="s">
        <v>50</v>
      </c>
      <c r="P1052" t="s">
        <v>24</v>
      </c>
    </row>
    <row r="1053" spans="1:16" x14ac:dyDescent="0.3">
      <c r="A1053" t="s">
        <v>1125</v>
      </c>
      <c r="B1053" s="1">
        <v>45603</v>
      </c>
      <c r="C1053" t="s">
        <v>58</v>
      </c>
      <c r="D1053" t="s">
        <v>64</v>
      </c>
      <c r="E1053" t="s">
        <v>70</v>
      </c>
      <c r="F1053" t="s">
        <v>20</v>
      </c>
      <c r="G1053" t="s">
        <v>115</v>
      </c>
      <c r="H1053">
        <v>46</v>
      </c>
      <c r="I1053">
        <v>2500</v>
      </c>
      <c r="J1053">
        <v>10</v>
      </c>
      <c r="K1053">
        <v>103500</v>
      </c>
      <c r="L1053">
        <v>41400</v>
      </c>
      <c r="M1053">
        <v>62100</v>
      </c>
      <c r="N1053" t="s">
        <v>22</v>
      </c>
      <c r="O1053" t="s">
        <v>50</v>
      </c>
      <c r="P1053" t="s">
        <v>24</v>
      </c>
    </row>
    <row r="1054" spans="1:16" x14ac:dyDescent="0.3">
      <c r="A1054" t="s">
        <v>1126</v>
      </c>
      <c r="B1054" s="1">
        <v>45033</v>
      </c>
      <c r="C1054" t="s">
        <v>17</v>
      </c>
      <c r="D1054" t="s">
        <v>37</v>
      </c>
      <c r="E1054" t="s">
        <v>111</v>
      </c>
      <c r="F1054" t="s">
        <v>28</v>
      </c>
      <c r="G1054" t="s">
        <v>95</v>
      </c>
      <c r="H1054">
        <v>23</v>
      </c>
      <c r="I1054">
        <v>75000</v>
      </c>
      <c r="J1054">
        <v>15</v>
      </c>
      <c r="K1054">
        <v>1466250</v>
      </c>
      <c r="L1054">
        <v>806437.5</v>
      </c>
      <c r="M1054">
        <v>659812.5</v>
      </c>
      <c r="N1054" t="s">
        <v>49</v>
      </c>
      <c r="O1054" t="s">
        <v>50</v>
      </c>
      <c r="P1054" t="s">
        <v>40</v>
      </c>
    </row>
    <row r="1055" spans="1:16" x14ac:dyDescent="0.3">
      <c r="A1055" t="s">
        <v>1127</v>
      </c>
      <c r="B1055" s="1">
        <v>44719</v>
      </c>
      <c r="C1055" t="s">
        <v>46</v>
      </c>
      <c r="D1055" t="s">
        <v>47</v>
      </c>
      <c r="E1055" t="s">
        <v>73</v>
      </c>
      <c r="F1055" t="s">
        <v>20</v>
      </c>
      <c r="G1055" t="s">
        <v>21</v>
      </c>
      <c r="H1055">
        <v>24</v>
      </c>
      <c r="I1055">
        <v>3500</v>
      </c>
      <c r="J1055">
        <v>5</v>
      </c>
      <c r="K1055">
        <v>79800</v>
      </c>
      <c r="L1055">
        <v>31920</v>
      </c>
      <c r="M1055">
        <v>47880</v>
      </c>
      <c r="N1055" t="s">
        <v>30</v>
      </c>
      <c r="O1055" t="s">
        <v>23</v>
      </c>
      <c r="P1055" t="s">
        <v>24</v>
      </c>
    </row>
    <row r="1056" spans="1:16" x14ac:dyDescent="0.3">
      <c r="A1056" t="s">
        <v>1128</v>
      </c>
      <c r="B1056" s="1">
        <v>45447</v>
      </c>
      <c r="C1056" t="s">
        <v>26</v>
      </c>
      <c r="D1056" t="s">
        <v>69</v>
      </c>
      <c r="E1056" t="s">
        <v>56</v>
      </c>
      <c r="F1056" t="s">
        <v>33</v>
      </c>
      <c r="G1056" t="s">
        <v>34</v>
      </c>
      <c r="H1056">
        <v>38</v>
      </c>
      <c r="I1056">
        <v>25000</v>
      </c>
      <c r="J1056">
        <v>15</v>
      </c>
      <c r="K1056">
        <v>807500</v>
      </c>
      <c r="L1056">
        <v>403750</v>
      </c>
      <c r="M1056">
        <v>403750</v>
      </c>
      <c r="N1056" t="s">
        <v>30</v>
      </c>
      <c r="O1056" t="s">
        <v>35</v>
      </c>
      <c r="P1056" t="s">
        <v>24</v>
      </c>
    </row>
    <row r="1057" spans="1:16" x14ac:dyDescent="0.3">
      <c r="A1057" t="s">
        <v>1129</v>
      </c>
      <c r="B1057" s="1">
        <v>45105</v>
      </c>
      <c r="C1057" t="s">
        <v>58</v>
      </c>
      <c r="D1057" t="s">
        <v>59</v>
      </c>
      <c r="E1057" t="s">
        <v>56</v>
      </c>
      <c r="F1057" t="s">
        <v>65</v>
      </c>
      <c r="G1057" t="s">
        <v>66</v>
      </c>
      <c r="H1057">
        <v>29</v>
      </c>
      <c r="I1057">
        <v>5500</v>
      </c>
      <c r="J1057">
        <v>0</v>
      </c>
      <c r="K1057">
        <v>159500</v>
      </c>
      <c r="L1057">
        <v>71775</v>
      </c>
      <c r="M1057">
        <v>87725</v>
      </c>
      <c r="N1057" t="s">
        <v>30</v>
      </c>
      <c r="O1057" t="s">
        <v>23</v>
      </c>
      <c r="P1057" t="s">
        <v>24</v>
      </c>
    </row>
    <row r="1058" spans="1:16" x14ac:dyDescent="0.3">
      <c r="A1058" t="s">
        <v>1130</v>
      </c>
      <c r="B1058" s="1">
        <v>44917</v>
      </c>
      <c r="C1058" t="s">
        <v>58</v>
      </c>
      <c r="D1058" t="s">
        <v>64</v>
      </c>
      <c r="E1058" t="s">
        <v>56</v>
      </c>
      <c r="F1058" t="s">
        <v>33</v>
      </c>
      <c r="G1058" t="s">
        <v>39</v>
      </c>
      <c r="H1058">
        <v>35</v>
      </c>
      <c r="I1058">
        <v>5000</v>
      </c>
      <c r="J1058">
        <v>10</v>
      </c>
      <c r="K1058">
        <v>157500</v>
      </c>
      <c r="L1058">
        <v>78750</v>
      </c>
      <c r="M1058">
        <v>78750</v>
      </c>
      <c r="N1058" t="s">
        <v>22</v>
      </c>
      <c r="O1058" t="s">
        <v>50</v>
      </c>
      <c r="P1058" t="s">
        <v>24</v>
      </c>
    </row>
    <row r="1059" spans="1:16" x14ac:dyDescent="0.3">
      <c r="A1059" t="s">
        <v>1131</v>
      </c>
      <c r="B1059" s="1">
        <v>45072</v>
      </c>
      <c r="C1059" t="s">
        <v>46</v>
      </c>
      <c r="D1059" t="s">
        <v>47</v>
      </c>
      <c r="E1059" t="s">
        <v>70</v>
      </c>
      <c r="F1059" t="s">
        <v>65</v>
      </c>
      <c r="G1059" t="s">
        <v>66</v>
      </c>
      <c r="H1059">
        <v>47</v>
      </c>
      <c r="I1059">
        <v>5500</v>
      </c>
      <c r="J1059">
        <v>0</v>
      </c>
      <c r="K1059">
        <v>258500</v>
      </c>
      <c r="L1059">
        <v>116325</v>
      </c>
      <c r="M1059">
        <v>142175</v>
      </c>
      <c r="N1059" t="s">
        <v>22</v>
      </c>
      <c r="O1059" t="s">
        <v>23</v>
      </c>
      <c r="P1059" t="s">
        <v>24</v>
      </c>
    </row>
    <row r="1060" spans="1:16" x14ac:dyDescent="0.3">
      <c r="A1060" t="s">
        <v>1132</v>
      </c>
      <c r="B1060" s="1">
        <v>45135</v>
      </c>
      <c r="C1060" t="s">
        <v>58</v>
      </c>
      <c r="D1060" t="s">
        <v>59</v>
      </c>
      <c r="E1060" t="s">
        <v>38</v>
      </c>
      <c r="F1060" t="s">
        <v>33</v>
      </c>
      <c r="G1060" t="s">
        <v>76</v>
      </c>
      <c r="H1060">
        <v>25</v>
      </c>
      <c r="I1060">
        <v>8500</v>
      </c>
      <c r="J1060">
        <v>15</v>
      </c>
      <c r="K1060">
        <v>180625</v>
      </c>
      <c r="L1060">
        <v>90312.5</v>
      </c>
      <c r="M1060">
        <v>90312.5</v>
      </c>
      <c r="N1060" t="s">
        <v>30</v>
      </c>
      <c r="O1060" t="s">
        <v>35</v>
      </c>
      <c r="P1060" t="s">
        <v>24</v>
      </c>
    </row>
    <row r="1061" spans="1:16" x14ac:dyDescent="0.3">
      <c r="A1061" t="s">
        <v>1133</v>
      </c>
      <c r="B1061" s="1">
        <v>45103</v>
      </c>
      <c r="C1061" t="s">
        <v>17</v>
      </c>
      <c r="D1061" t="s">
        <v>18</v>
      </c>
      <c r="E1061" t="s">
        <v>19</v>
      </c>
      <c r="F1061" t="s">
        <v>33</v>
      </c>
      <c r="G1061" t="s">
        <v>34</v>
      </c>
      <c r="H1061">
        <v>37</v>
      </c>
      <c r="I1061">
        <v>25000</v>
      </c>
      <c r="J1061">
        <v>15</v>
      </c>
      <c r="K1061">
        <v>786250</v>
      </c>
      <c r="L1061">
        <v>393125</v>
      </c>
      <c r="M1061">
        <v>393125</v>
      </c>
      <c r="N1061" t="s">
        <v>22</v>
      </c>
      <c r="O1061" t="s">
        <v>50</v>
      </c>
      <c r="P1061" t="s">
        <v>24</v>
      </c>
    </row>
    <row r="1062" spans="1:16" x14ac:dyDescent="0.3">
      <c r="A1062" t="s">
        <v>1134</v>
      </c>
      <c r="B1062" s="1">
        <v>45269</v>
      </c>
      <c r="C1062" t="s">
        <v>17</v>
      </c>
      <c r="D1062" t="s">
        <v>42</v>
      </c>
      <c r="E1062" t="s">
        <v>38</v>
      </c>
      <c r="F1062" t="s">
        <v>28</v>
      </c>
      <c r="G1062" t="s">
        <v>95</v>
      </c>
      <c r="H1062">
        <v>20</v>
      </c>
      <c r="I1062">
        <v>75000</v>
      </c>
      <c r="J1062">
        <v>20</v>
      </c>
      <c r="K1062">
        <v>1200000</v>
      </c>
      <c r="L1062">
        <v>660000</v>
      </c>
      <c r="M1062">
        <v>540000</v>
      </c>
      <c r="N1062" t="s">
        <v>49</v>
      </c>
      <c r="O1062" t="s">
        <v>44</v>
      </c>
      <c r="P1062" t="s">
        <v>24</v>
      </c>
    </row>
    <row r="1063" spans="1:16" x14ac:dyDescent="0.3">
      <c r="A1063" t="s">
        <v>1135</v>
      </c>
      <c r="B1063" s="1">
        <v>45427</v>
      </c>
      <c r="C1063" t="s">
        <v>26</v>
      </c>
      <c r="D1063" t="s">
        <v>69</v>
      </c>
      <c r="E1063" t="s">
        <v>56</v>
      </c>
      <c r="F1063" t="s">
        <v>65</v>
      </c>
      <c r="G1063" t="s">
        <v>117</v>
      </c>
      <c r="H1063">
        <v>23</v>
      </c>
      <c r="I1063">
        <v>1200</v>
      </c>
      <c r="J1063">
        <v>15</v>
      </c>
      <c r="K1063">
        <v>23460</v>
      </c>
      <c r="L1063">
        <v>10557</v>
      </c>
      <c r="M1063">
        <v>12903</v>
      </c>
      <c r="N1063" t="s">
        <v>30</v>
      </c>
      <c r="O1063" t="s">
        <v>23</v>
      </c>
      <c r="P1063" t="s">
        <v>40</v>
      </c>
    </row>
    <row r="1064" spans="1:16" x14ac:dyDescent="0.3">
      <c r="A1064" t="s">
        <v>1136</v>
      </c>
      <c r="B1064" s="1">
        <v>44670</v>
      </c>
      <c r="C1064" t="s">
        <v>26</v>
      </c>
      <c r="D1064" t="s">
        <v>69</v>
      </c>
      <c r="E1064" t="s">
        <v>38</v>
      </c>
      <c r="F1064" t="s">
        <v>33</v>
      </c>
      <c r="G1064" t="s">
        <v>39</v>
      </c>
      <c r="H1064">
        <v>29</v>
      </c>
      <c r="I1064">
        <v>5000</v>
      </c>
      <c r="J1064">
        <v>5</v>
      </c>
      <c r="K1064">
        <v>137750</v>
      </c>
      <c r="L1064">
        <v>68875</v>
      </c>
      <c r="M1064">
        <v>68875</v>
      </c>
      <c r="N1064" t="s">
        <v>49</v>
      </c>
      <c r="O1064" t="s">
        <v>50</v>
      </c>
      <c r="P1064" t="s">
        <v>24</v>
      </c>
    </row>
    <row r="1065" spans="1:16" x14ac:dyDescent="0.3">
      <c r="A1065" t="s">
        <v>1137</v>
      </c>
      <c r="B1065" s="1">
        <v>45509</v>
      </c>
      <c r="C1065" t="s">
        <v>46</v>
      </c>
      <c r="D1065" t="s">
        <v>47</v>
      </c>
      <c r="E1065" t="s">
        <v>78</v>
      </c>
      <c r="F1065" t="s">
        <v>28</v>
      </c>
      <c r="G1065" t="s">
        <v>87</v>
      </c>
      <c r="H1065">
        <v>8</v>
      </c>
      <c r="I1065">
        <v>45000</v>
      </c>
      <c r="J1065">
        <v>0</v>
      </c>
      <c r="K1065">
        <v>360000</v>
      </c>
      <c r="L1065">
        <v>198000</v>
      </c>
      <c r="M1065">
        <v>162000</v>
      </c>
      <c r="N1065" t="s">
        <v>22</v>
      </c>
      <c r="O1065" t="s">
        <v>67</v>
      </c>
      <c r="P1065" t="s">
        <v>24</v>
      </c>
    </row>
    <row r="1066" spans="1:16" x14ac:dyDescent="0.3">
      <c r="A1066" t="s">
        <v>1138</v>
      </c>
      <c r="B1066" s="1">
        <v>45431</v>
      </c>
      <c r="C1066" t="s">
        <v>17</v>
      </c>
      <c r="D1066" t="s">
        <v>18</v>
      </c>
      <c r="E1066" t="s">
        <v>111</v>
      </c>
      <c r="F1066" t="s">
        <v>20</v>
      </c>
      <c r="G1066" t="s">
        <v>21</v>
      </c>
      <c r="H1066">
        <v>46</v>
      </c>
      <c r="I1066">
        <v>3500</v>
      </c>
      <c r="J1066">
        <v>10</v>
      </c>
      <c r="K1066">
        <v>144900</v>
      </c>
      <c r="L1066">
        <v>57960</v>
      </c>
      <c r="M1066">
        <v>86940</v>
      </c>
      <c r="N1066" t="s">
        <v>30</v>
      </c>
      <c r="O1066" t="s">
        <v>50</v>
      </c>
      <c r="P1066" t="s">
        <v>24</v>
      </c>
    </row>
    <row r="1067" spans="1:16" x14ac:dyDescent="0.3">
      <c r="A1067" t="s">
        <v>1139</v>
      </c>
      <c r="B1067" s="1">
        <v>45619</v>
      </c>
      <c r="C1067" t="s">
        <v>26</v>
      </c>
      <c r="D1067" t="s">
        <v>27</v>
      </c>
      <c r="E1067" t="s">
        <v>70</v>
      </c>
      <c r="F1067" t="s">
        <v>28</v>
      </c>
      <c r="G1067" t="s">
        <v>95</v>
      </c>
      <c r="H1067">
        <v>33</v>
      </c>
      <c r="I1067">
        <v>75000</v>
      </c>
      <c r="J1067">
        <v>15</v>
      </c>
      <c r="K1067">
        <v>2103750</v>
      </c>
      <c r="L1067">
        <v>1157062.5</v>
      </c>
      <c r="M1067">
        <v>946687.5</v>
      </c>
      <c r="N1067" t="s">
        <v>22</v>
      </c>
      <c r="O1067" t="s">
        <v>35</v>
      </c>
      <c r="P1067" t="s">
        <v>24</v>
      </c>
    </row>
    <row r="1068" spans="1:16" x14ac:dyDescent="0.3">
      <c r="A1068" t="s">
        <v>1140</v>
      </c>
      <c r="B1068" s="1">
        <v>45023</v>
      </c>
      <c r="C1068" t="s">
        <v>17</v>
      </c>
      <c r="D1068" t="s">
        <v>42</v>
      </c>
      <c r="E1068" t="s">
        <v>70</v>
      </c>
      <c r="F1068" t="s">
        <v>65</v>
      </c>
      <c r="G1068" t="s">
        <v>117</v>
      </c>
      <c r="H1068">
        <v>42</v>
      </c>
      <c r="I1068">
        <v>1200</v>
      </c>
      <c r="J1068">
        <v>15</v>
      </c>
      <c r="K1068">
        <v>42840</v>
      </c>
      <c r="L1068">
        <v>19278</v>
      </c>
      <c r="M1068">
        <v>23562</v>
      </c>
      <c r="N1068" t="s">
        <v>30</v>
      </c>
      <c r="O1068" t="s">
        <v>35</v>
      </c>
      <c r="P1068" t="s">
        <v>24</v>
      </c>
    </row>
    <row r="1069" spans="1:16" x14ac:dyDescent="0.3">
      <c r="A1069" t="s">
        <v>1141</v>
      </c>
      <c r="B1069" s="1">
        <v>45189</v>
      </c>
      <c r="C1069" t="s">
        <v>17</v>
      </c>
      <c r="D1069" t="s">
        <v>37</v>
      </c>
      <c r="E1069" t="s">
        <v>32</v>
      </c>
      <c r="F1069" t="s">
        <v>33</v>
      </c>
      <c r="G1069" t="s">
        <v>48</v>
      </c>
      <c r="H1069">
        <v>19</v>
      </c>
      <c r="I1069">
        <v>1500</v>
      </c>
      <c r="J1069">
        <v>20</v>
      </c>
      <c r="K1069">
        <v>22800</v>
      </c>
      <c r="L1069">
        <v>11400</v>
      </c>
      <c r="M1069">
        <v>11400</v>
      </c>
      <c r="N1069" t="s">
        <v>30</v>
      </c>
      <c r="O1069" t="s">
        <v>50</v>
      </c>
      <c r="P1069" t="s">
        <v>24</v>
      </c>
    </row>
    <row r="1070" spans="1:16" x14ac:dyDescent="0.3">
      <c r="A1070" t="s">
        <v>1142</v>
      </c>
      <c r="B1070" s="1">
        <v>44630</v>
      </c>
      <c r="C1070" t="s">
        <v>46</v>
      </c>
      <c r="D1070" t="s">
        <v>47</v>
      </c>
      <c r="E1070" t="s">
        <v>52</v>
      </c>
      <c r="F1070" t="s">
        <v>20</v>
      </c>
      <c r="G1070" t="s">
        <v>61</v>
      </c>
      <c r="H1070">
        <v>33</v>
      </c>
      <c r="I1070">
        <v>800</v>
      </c>
      <c r="J1070">
        <v>20</v>
      </c>
      <c r="K1070">
        <v>21120</v>
      </c>
      <c r="L1070">
        <v>8448</v>
      </c>
      <c r="M1070">
        <v>12672</v>
      </c>
      <c r="N1070" t="s">
        <v>22</v>
      </c>
      <c r="O1070" t="s">
        <v>50</v>
      </c>
      <c r="P1070" t="s">
        <v>40</v>
      </c>
    </row>
    <row r="1071" spans="1:16" x14ac:dyDescent="0.3">
      <c r="A1071" t="s">
        <v>1143</v>
      </c>
      <c r="B1071" s="1">
        <v>44970</v>
      </c>
      <c r="C1071" t="s">
        <v>26</v>
      </c>
      <c r="D1071" t="s">
        <v>27</v>
      </c>
      <c r="E1071" t="s">
        <v>32</v>
      </c>
      <c r="F1071" t="s">
        <v>28</v>
      </c>
      <c r="G1071" t="s">
        <v>95</v>
      </c>
      <c r="H1071">
        <v>15</v>
      </c>
      <c r="I1071">
        <v>75000</v>
      </c>
      <c r="J1071">
        <v>20</v>
      </c>
      <c r="K1071">
        <v>900000</v>
      </c>
      <c r="L1071">
        <v>495000</v>
      </c>
      <c r="M1071">
        <v>405000</v>
      </c>
      <c r="N1071" t="s">
        <v>22</v>
      </c>
      <c r="O1071" t="s">
        <v>67</v>
      </c>
      <c r="P1071" t="s">
        <v>40</v>
      </c>
    </row>
    <row r="1072" spans="1:16" x14ac:dyDescent="0.3">
      <c r="A1072" t="s">
        <v>1144</v>
      </c>
      <c r="B1072" s="1">
        <v>45369</v>
      </c>
      <c r="C1072" t="s">
        <v>26</v>
      </c>
      <c r="D1072" t="s">
        <v>27</v>
      </c>
      <c r="E1072" t="s">
        <v>38</v>
      </c>
      <c r="F1072" t="s">
        <v>65</v>
      </c>
      <c r="G1072" t="s">
        <v>79</v>
      </c>
      <c r="H1072">
        <v>34</v>
      </c>
      <c r="I1072">
        <v>900</v>
      </c>
      <c r="J1072">
        <v>15</v>
      </c>
      <c r="K1072">
        <v>26010</v>
      </c>
      <c r="L1072">
        <v>11704.5</v>
      </c>
      <c r="M1072">
        <v>14305.5</v>
      </c>
      <c r="N1072" t="s">
        <v>49</v>
      </c>
      <c r="O1072" t="s">
        <v>44</v>
      </c>
      <c r="P1072" t="s">
        <v>24</v>
      </c>
    </row>
    <row r="1073" spans="1:16" x14ac:dyDescent="0.3">
      <c r="A1073" t="s">
        <v>1145</v>
      </c>
      <c r="B1073" s="1">
        <v>45115</v>
      </c>
      <c r="C1073" t="s">
        <v>17</v>
      </c>
      <c r="D1073" t="s">
        <v>18</v>
      </c>
      <c r="E1073" t="s">
        <v>70</v>
      </c>
      <c r="F1073" t="s">
        <v>20</v>
      </c>
      <c r="G1073" t="s">
        <v>115</v>
      </c>
      <c r="H1073">
        <v>21</v>
      </c>
      <c r="I1073">
        <v>2500</v>
      </c>
      <c r="J1073">
        <v>0</v>
      </c>
      <c r="K1073">
        <v>52500</v>
      </c>
      <c r="L1073">
        <v>21000</v>
      </c>
      <c r="M1073">
        <v>31500</v>
      </c>
      <c r="N1073" t="s">
        <v>49</v>
      </c>
      <c r="O1073" t="s">
        <v>23</v>
      </c>
      <c r="P1073" t="s">
        <v>24</v>
      </c>
    </row>
    <row r="1074" spans="1:16" x14ac:dyDescent="0.3">
      <c r="A1074" t="s">
        <v>1146</v>
      </c>
      <c r="B1074" s="1">
        <v>45263</v>
      </c>
      <c r="C1074" t="s">
        <v>17</v>
      </c>
      <c r="D1074" t="s">
        <v>42</v>
      </c>
      <c r="E1074" t="s">
        <v>111</v>
      </c>
      <c r="F1074" t="s">
        <v>28</v>
      </c>
      <c r="G1074" t="s">
        <v>71</v>
      </c>
      <c r="H1074">
        <v>42</v>
      </c>
      <c r="I1074">
        <v>35000</v>
      </c>
      <c r="J1074">
        <v>15</v>
      </c>
      <c r="K1074">
        <v>1249500</v>
      </c>
      <c r="L1074">
        <v>687225</v>
      </c>
      <c r="M1074">
        <v>562275</v>
      </c>
      <c r="N1074" t="s">
        <v>30</v>
      </c>
      <c r="O1074" t="s">
        <v>23</v>
      </c>
      <c r="P1074" t="s">
        <v>40</v>
      </c>
    </row>
    <row r="1075" spans="1:16" x14ac:dyDescent="0.3">
      <c r="A1075" t="s">
        <v>1147</v>
      </c>
      <c r="B1075" s="1">
        <v>45359</v>
      </c>
      <c r="C1075" t="s">
        <v>46</v>
      </c>
      <c r="D1075" t="s">
        <v>47</v>
      </c>
      <c r="E1075" t="s">
        <v>32</v>
      </c>
      <c r="F1075" t="s">
        <v>20</v>
      </c>
      <c r="G1075" t="s">
        <v>53</v>
      </c>
      <c r="H1075">
        <v>17</v>
      </c>
      <c r="I1075">
        <v>600</v>
      </c>
      <c r="J1075">
        <v>10</v>
      </c>
      <c r="K1075">
        <v>9180</v>
      </c>
      <c r="L1075">
        <v>3672</v>
      </c>
      <c r="M1075">
        <v>5508</v>
      </c>
      <c r="N1075" t="s">
        <v>49</v>
      </c>
      <c r="O1075" t="s">
        <v>35</v>
      </c>
      <c r="P1075" t="s">
        <v>24</v>
      </c>
    </row>
    <row r="1076" spans="1:16" x14ac:dyDescent="0.3">
      <c r="A1076" t="s">
        <v>1148</v>
      </c>
      <c r="B1076" s="1">
        <v>44726</v>
      </c>
      <c r="C1076" t="s">
        <v>58</v>
      </c>
      <c r="D1076" t="s">
        <v>64</v>
      </c>
      <c r="E1076" t="s">
        <v>78</v>
      </c>
      <c r="F1076" t="s">
        <v>65</v>
      </c>
      <c r="G1076" t="s">
        <v>104</v>
      </c>
      <c r="H1076">
        <v>12</v>
      </c>
      <c r="I1076">
        <v>3000</v>
      </c>
      <c r="J1076">
        <v>15</v>
      </c>
      <c r="K1076">
        <v>30600</v>
      </c>
      <c r="L1076">
        <v>13770</v>
      </c>
      <c r="M1076">
        <v>16830</v>
      </c>
      <c r="N1076" t="s">
        <v>30</v>
      </c>
      <c r="O1076" t="s">
        <v>35</v>
      </c>
      <c r="P1076" t="s">
        <v>24</v>
      </c>
    </row>
    <row r="1077" spans="1:16" x14ac:dyDescent="0.3">
      <c r="A1077" t="s">
        <v>1149</v>
      </c>
      <c r="B1077" s="1">
        <v>45360</v>
      </c>
      <c r="C1077" t="s">
        <v>58</v>
      </c>
      <c r="D1077" t="s">
        <v>64</v>
      </c>
      <c r="E1077" t="s">
        <v>52</v>
      </c>
      <c r="F1077" t="s">
        <v>20</v>
      </c>
      <c r="G1077" t="s">
        <v>21</v>
      </c>
      <c r="H1077">
        <v>28</v>
      </c>
      <c r="I1077">
        <v>3500</v>
      </c>
      <c r="J1077">
        <v>0</v>
      </c>
      <c r="K1077">
        <v>98000</v>
      </c>
      <c r="L1077">
        <v>39200</v>
      </c>
      <c r="M1077">
        <v>58800</v>
      </c>
      <c r="N1077" t="s">
        <v>30</v>
      </c>
      <c r="O1077" t="s">
        <v>44</v>
      </c>
      <c r="P1077" t="s">
        <v>24</v>
      </c>
    </row>
    <row r="1078" spans="1:16" x14ac:dyDescent="0.3">
      <c r="A1078" t="s">
        <v>1150</v>
      </c>
      <c r="B1078" s="1">
        <v>45563</v>
      </c>
      <c r="C1078" t="s">
        <v>58</v>
      </c>
      <c r="D1078" t="s">
        <v>59</v>
      </c>
      <c r="E1078" t="s">
        <v>70</v>
      </c>
      <c r="F1078" t="s">
        <v>20</v>
      </c>
      <c r="G1078" t="s">
        <v>115</v>
      </c>
      <c r="H1078">
        <v>45</v>
      </c>
      <c r="I1078">
        <v>2500</v>
      </c>
      <c r="J1078">
        <v>20</v>
      </c>
      <c r="K1078">
        <v>90000</v>
      </c>
      <c r="L1078">
        <v>36000</v>
      </c>
      <c r="M1078">
        <v>54000</v>
      </c>
      <c r="N1078" t="s">
        <v>22</v>
      </c>
      <c r="O1078" t="s">
        <v>50</v>
      </c>
      <c r="P1078" t="s">
        <v>24</v>
      </c>
    </row>
    <row r="1079" spans="1:16" x14ac:dyDescent="0.3">
      <c r="A1079" t="s">
        <v>1151</v>
      </c>
      <c r="B1079" s="1">
        <v>44784</v>
      </c>
      <c r="C1079" t="s">
        <v>17</v>
      </c>
      <c r="D1079" t="s">
        <v>42</v>
      </c>
      <c r="E1079" t="s">
        <v>38</v>
      </c>
      <c r="F1079" t="s">
        <v>28</v>
      </c>
      <c r="G1079" t="s">
        <v>95</v>
      </c>
      <c r="H1079">
        <v>5</v>
      </c>
      <c r="I1079">
        <v>75000</v>
      </c>
      <c r="J1079">
        <v>10</v>
      </c>
      <c r="K1079">
        <v>337500</v>
      </c>
      <c r="L1079">
        <v>185625</v>
      </c>
      <c r="M1079">
        <v>151875</v>
      </c>
      <c r="N1079" t="s">
        <v>49</v>
      </c>
      <c r="O1079" t="s">
        <v>23</v>
      </c>
      <c r="P1079" t="s">
        <v>24</v>
      </c>
    </row>
    <row r="1080" spans="1:16" x14ac:dyDescent="0.3">
      <c r="A1080" t="s">
        <v>1152</v>
      </c>
      <c r="B1080" s="1">
        <v>45392</v>
      </c>
      <c r="C1080" t="s">
        <v>58</v>
      </c>
      <c r="D1080" t="s">
        <v>64</v>
      </c>
      <c r="E1080" t="s">
        <v>78</v>
      </c>
      <c r="F1080" t="s">
        <v>20</v>
      </c>
      <c r="G1080" t="s">
        <v>53</v>
      </c>
      <c r="H1080">
        <v>33</v>
      </c>
      <c r="I1080">
        <v>600</v>
      </c>
      <c r="J1080">
        <v>0</v>
      </c>
      <c r="K1080">
        <v>19800</v>
      </c>
      <c r="L1080">
        <v>7920</v>
      </c>
      <c r="M1080">
        <v>11880</v>
      </c>
      <c r="N1080" t="s">
        <v>30</v>
      </c>
      <c r="O1080" t="s">
        <v>67</v>
      </c>
      <c r="P1080" t="s">
        <v>24</v>
      </c>
    </row>
    <row r="1081" spans="1:16" x14ac:dyDescent="0.3">
      <c r="A1081" t="s">
        <v>1153</v>
      </c>
      <c r="B1081" s="1">
        <v>45282</v>
      </c>
      <c r="C1081" t="s">
        <v>58</v>
      </c>
      <c r="D1081" t="s">
        <v>59</v>
      </c>
      <c r="E1081" t="s">
        <v>70</v>
      </c>
      <c r="F1081" t="s">
        <v>65</v>
      </c>
      <c r="G1081" t="s">
        <v>104</v>
      </c>
      <c r="H1081">
        <v>33</v>
      </c>
      <c r="I1081">
        <v>3000</v>
      </c>
      <c r="J1081">
        <v>20</v>
      </c>
      <c r="K1081">
        <v>79200</v>
      </c>
      <c r="L1081">
        <v>35640</v>
      </c>
      <c r="M1081">
        <v>43560</v>
      </c>
      <c r="N1081" t="s">
        <v>30</v>
      </c>
      <c r="O1081" t="s">
        <v>44</v>
      </c>
      <c r="P1081" t="s">
        <v>24</v>
      </c>
    </row>
    <row r="1082" spans="1:16" x14ac:dyDescent="0.3">
      <c r="A1082" t="s">
        <v>1154</v>
      </c>
      <c r="B1082" s="1">
        <v>45154</v>
      </c>
      <c r="C1082" t="s">
        <v>17</v>
      </c>
      <c r="D1082" t="s">
        <v>18</v>
      </c>
      <c r="E1082" t="s">
        <v>38</v>
      </c>
      <c r="F1082" t="s">
        <v>65</v>
      </c>
      <c r="G1082" t="s">
        <v>124</v>
      </c>
      <c r="H1082">
        <v>21</v>
      </c>
      <c r="I1082">
        <v>18000</v>
      </c>
      <c r="J1082">
        <v>15</v>
      </c>
      <c r="K1082">
        <v>321300</v>
      </c>
      <c r="L1082">
        <v>144585</v>
      </c>
      <c r="M1082">
        <v>176715</v>
      </c>
      <c r="N1082" t="s">
        <v>30</v>
      </c>
      <c r="O1082" t="s">
        <v>44</v>
      </c>
      <c r="P1082" t="s">
        <v>24</v>
      </c>
    </row>
    <row r="1083" spans="1:16" x14ac:dyDescent="0.3">
      <c r="A1083" t="s">
        <v>1155</v>
      </c>
      <c r="B1083" s="1">
        <v>44647</v>
      </c>
      <c r="C1083" t="s">
        <v>46</v>
      </c>
      <c r="D1083" t="s">
        <v>55</v>
      </c>
      <c r="E1083" t="s">
        <v>111</v>
      </c>
      <c r="F1083" t="s">
        <v>33</v>
      </c>
      <c r="G1083" t="s">
        <v>43</v>
      </c>
      <c r="H1083">
        <v>40</v>
      </c>
      <c r="I1083">
        <v>4000</v>
      </c>
      <c r="J1083">
        <v>10</v>
      </c>
      <c r="K1083">
        <v>144000</v>
      </c>
      <c r="L1083">
        <v>72000</v>
      </c>
      <c r="M1083">
        <v>72000</v>
      </c>
      <c r="N1083" t="s">
        <v>49</v>
      </c>
      <c r="O1083" t="s">
        <v>50</v>
      </c>
      <c r="P1083" t="s">
        <v>24</v>
      </c>
    </row>
    <row r="1084" spans="1:16" x14ac:dyDescent="0.3">
      <c r="A1084" t="s">
        <v>1156</v>
      </c>
      <c r="B1084" s="1">
        <v>44869</v>
      </c>
      <c r="C1084" t="s">
        <v>17</v>
      </c>
      <c r="D1084" t="s">
        <v>37</v>
      </c>
      <c r="E1084" t="s">
        <v>60</v>
      </c>
      <c r="F1084" t="s">
        <v>65</v>
      </c>
      <c r="G1084" t="s">
        <v>104</v>
      </c>
      <c r="H1084">
        <v>11</v>
      </c>
      <c r="I1084">
        <v>3000</v>
      </c>
      <c r="J1084">
        <v>10</v>
      </c>
      <c r="K1084">
        <v>29700</v>
      </c>
      <c r="L1084">
        <v>13365</v>
      </c>
      <c r="M1084">
        <v>16335</v>
      </c>
      <c r="N1084" t="s">
        <v>22</v>
      </c>
      <c r="O1084" t="s">
        <v>35</v>
      </c>
      <c r="P1084" t="s">
        <v>24</v>
      </c>
    </row>
    <row r="1085" spans="1:16" x14ac:dyDescent="0.3">
      <c r="A1085" t="s">
        <v>1157</v>
      </c>
      <c r="B1085" s="1">
        <v>45007</v>
      </c>
      <c r="C1085" t="s">
        <v>17</v>
      </c>
      <c r="D1085" t="s">
        <v>18</v>
      </c>
      <c r="E1085" t="s">
        <v>52</v>
      </c>
      <c r="F1085" t="s">
        <v>20</v>
      </c>
      <c r="G1085" t="s">
        <v>53</v>
      </c>
      <c r="H1085">
        <v>33</v>
      </c>
      <c r="I1085">
        <v>600</v>
      </c>
      <c r="J1085">
        <v>5</v>
      </c>
      <c r="K1085">
        <v>18810</v>
      </c>
      <c r="L1085">
        <v>7524</v>
      </c>
      <c r="M1085">
        <v>11286</v>
      </c>
      <c r="N1085" t="s">
        <v>22</v>
      </c>
      <c r="O1085" t="s">
        <v>35</v>
      </c>
      <c r="P1085" t="s">
        <v>24</v>
      </c>
    </row>
    <row r="1086" spans="1:16" x14ac:dyDescent="0.3">
      <c r="A1086" t="s">
        <v>1158</v>
      </c>
      <c r="B1086" s="1">
        <v>45614</v>
      </c>
      <c r="C1086" t="s">
        <v>46</v>
      </c>
      <c r="D1086" t="s">
        <v>47</v>
      </c>
      <c r="E1086" t="s">
        <v>60</v>
      </c>
      <c r="F1086" t="s">
        <v>28</v>
      </c>
      <c r="G1086" t="s">
        <v>71</v>
      </c>
      <c r="H1086">
        <v>14</v>
      </c>
      <c r="I1086">
        <v>35000</v>
      </c>
      <c r="J1086">
        <v>10</v>
      </c>
      <c r="K1086">
        <v>441000</v>
      </c>
      <c r="L1086">
        <v>242550</v>
      </c>
      <c r="M1086">
        <v>198450</v>
      </c>
      <c r="N1086" t="s">
        <v>49</v>
      </c>
      <c r="O1086" t="s">
        <v>23</v>
      </c>
      <c r="P1086" t="s">
        <v>40</v>
      </c>
    </row>
    <row r="1087" spans="1:16" x14ac:dyDescent="0.3">
      <c r="A1087" t="s">
        <v>1159</v>
      </c>
      <c r="B1087" s="1">
        <v>45570</v>
      </c>
      <c r="C1087" t="s">
        <v>58</v>
      </c>
      <c r="D1087" t="s">
        <v>59</v>
      </c>
      <c r="E1087" t="s">
        <v>52</v>
      </c>
      <c r="F1087" t="s">
        <v>28</v>
      </c>
      <c r="G1087" t="s">
        <v>85</v>
      </c>
      <c r="H1087">
        <v>28</v>
      </c>
      <c r="I1087">
        <v>8000</v>
      </c>
      <c r="J1087">
        <v>15</v>
      </c>
      <c r="K1087">
        <v>190400</v>
      </c>
      <c r="L1087">
        <v>104720</v>
      </c>
      <c r="M1087">
        <v>85680</v>
      </c>
      <c r="N1087" t="s">
        <v>30</v>
      </c>
      <c r="O1087" t="s">
        <v>44</v>
      </c>
      <c r="P1087" t="s">
        <v>24</v>
      </c>
    </row>
    <row r="1088" spans="1:16" x14ac:dyDescent="0.3">
      <c r="A1088" t="s">
        <v>1160</v>
      </c>
      <c r="B1088" s="1">
        <v>45101</v>
      </c>
      <c r="C1088" t="s">
        <v>26</v>
      </c>
      <c r="D1088" t="s">
        <v>69</v>
      </c>
      <c r="E1088" t="s">
        <v>52</v>
      </c>
      <c r="F1088" t="s">
        <v>20</v>
      </c>
      <c r="G1088" t="s">
        <v>21</v>
      </c>
      <c r="H1088">
        <v>21</v>
      </c>
      <c r="I1088">
        <v>3500</v>
      </c>
      <c r="J1088">
        <v>5</v>
      </c>
      <c r="K1088">
        <v>69825</v>
      </c>
      <c r="L1088">
        <v>27930</v>
      </c>
      <c r="M1088">
        <v>41895</v>
      </c>
      <c r="N1088" t="s">
        <v>49</v>
      </c>
      <c r="O1088" t="s">
        <v>50</v>
      </c>
      <c r="P1088" t="s">
        <v>40</v>
      </c>
    </row>
    <row r="1089" spans="1:16" x14ac:dyDescent="0.3">
      <c r="A1089" t="s">
        <v>1161</v>
      </c>
      <c r="B1089" s="1">
        <v>45464</v>
      </c>
      <c r="C1089" t="s">
        <v>26</v>
      </c>
      <c r="D1089" t="s">
        <v>69</v>
      </c>
      <c r="E1089" t="s">
        <v>56</v>
      </c>
      <c r="F1089" t="s">
        <v>65</v>
      </c>
      <c r="G1089" t="s">
        <v>117</v>
      </c>
      <c r="H1089">
        <v>46</v>
      </c>
      <c r="I1089">
        <v>1200</v>
      </c>
      <c r="J1089">
        <v>20</v>
      </c>
      <c r="K1089">
        <v>44160</v>
      </c>
      <c r="L1089">
        <v>19872</v>
      </c>
      <c r="M1089">
        <v>24288</v>
      </c>
      <c r="N1089" t="s">
        <v>30</v>
      </c>
      <c r="O1089" t="s">
        <v>67</v>
      </c>
      <c r="P1089" t="s">
        <v>24</v>
      </c>
    </row>
    <row r="1090" spans="1:16" x14ac:dyDescent="0.3">
      <c r="A1090" t="s">
        <v>1162</v>
      </c>
      <c r="B1090" s="1">
        <v>44641</v>
      </c>
      <c r="C1090" t="s">
        <v>26</v>
      </c>
      <c r="D1090" t="s">
        <v>27</v>
      </c>
      <c r="E1090" t="s">
        <v>78</v>
      </c>
      <c r="F1090" t="s">
        <v>65</v>
      </c>
      <c r="G1090" t="s">
        <v>104</v>
      </c>
      <c r="H1090">
        <v>44</v>
      </c>
      <c r="I1090">
        <v>3000</v>
      </c>
      <c r="J1090">
        <v>5</v>
      </c>
      <c r="K1090">
        <v>125400</v>
      </c>
      <c r="L1090">
        <v>56430</v>
      </c>
      <c r="M1090">
        <v>68970</v>
      </c>
      <c r="N1090" t="s">
        <v>49</v>
      </c>
      <c r="O1090" t="s">
        <v>44</v>
      </c>
      <c r="P1090" t="s">
        <v>24</v>
      </c>
    </row>
    <row r="1091" spans="1:16" x14ac:dyDescent="0.3">
      <c r="A1091" t="s">
        <v>1163</v>
      </c>
      <c r="B1091" s="1">
        <v>45531</v>
      </c>
      <c r="C1091" t="s">
        <v>46</v>
      </c>
      <c r="D1091" t="s">
        <v>55</v>
      </c>
      <c r="E1091" t="s">
        <v>73</v>
      </c>
      <c r="F1091" t="s">
        <v>20</v>
      </c>
      <c r="G1091" t="s">
        <v>74</v>
      </c>
      <c r="H1091">
        <v>41</v>
      </c>
      <c r="I1091">
        <v>4200</v>
      </c>
      <c r="J1091">
        <v>0</v>
      </c>
      <c r="K1091">
        <v>172200</v>
      </c>
      <c r="L1091">
        <v>68880</v>
      </c>
      <c r="M1091">
        <v>103320</v>
      </c>
      <c r="N1091" t="s">
        <v>22</v>
      </c>
      <c r="O1091" t="s">
        <v>44</v>
      </c>
      <c r="P1091" t="s">
        <v>40</v>
      </c>
    </row>
    <row r="1092" spans="1:16" x14ac:dyDescent="0.3">
      <c r="A1092" t="s">
        <v>1164</v>
      </c>
      <c r="B1092" s="1">
        <v>44575</v>
      </c>
      <c r="C1092" t="s">
        <v>26</v>
      </c>
      <c r="D1092" t="s">
        <v>69</v>
      </c>
      <c r="E1092" t="s">
        <v>111</v>
      </c>
      <c r="F1092" t="s">
        <v>20</v>
      </c>
      <c r="G1092" t="s">
        <v>74</v>
      </c>
      <c r="H1092">
        <v>3</v>
      </c>
      <c r="I1092">
        <v>4200</v>
      </c>
      <c r="J1092">
        <v>15</v>
      </c>
      <c r="K1092">
        <v>10710</v>
      </c>
      <c r="L1092">
        <v>4284</v>
      </c>
      <c r="M1092">
        <v>6426</v>
      </c>
      <c r="N1092" t="s">
        <v>22</v>
      </c>
      <c r="O1092" t="s">
        <v>23</v>
      </c>
      <c r="P1092" t="s">
        <v>24</v>
      </c>
    </row>
    <row r="1093" spans="1:16" x14ac:dyDescent="0.3">
      <c r="A1093" t="s">
        <v>1165</v>
      </c>
      <c r="B1093" s="1">
        <v>45037</v>
      </c>
      <c r="C1093" t="s">
        <v>17</v>
      </c>
      <c r="D1093" t="s">
        <v>37</v>
      </c>
      <c r="E1093" t="s">
        <v>111</v>
      </c>
      <c r="F1093" t="s">
        <v>20</v>
      </c>
      <c r="G1093" t="s">
        <v>61</v>
      </c>
      <c r="H1093">
        <v>15</v>
      </c>
      <c r="I1093">
        <v>800</v>
      </c>
      <c r="J1093">
        <v>10</v>
      </c>
      <c r="K1093">
        <v>10800</v>
      </c>
      <c r="L1093">
        <v>4320</v>
      </c>
      <c r="M1093">
        <v>6480</v>
      </c>
      <c r="N1093" t="s">
        <v>49</v>
      </c>
      <c r="O1093" t="s">
        <v>23</v>
      </c>
      <c r="P1093" t="s">
        <v>24</v>
      </c>
    </row>
    <row r="1094" spans="1:16" x14ac:dyDescent="0.3">
      <c r="A1094" t="s">
        <v>1166</v>
      </c>
      <c r="B1094" s="1">
        <v>45248</v>
      </c>
      <c r="C1094" t="s">
        <v>58</v>
      </c>
      <c r="D1094" t="s">
        <v>59</v>
      </c>
      <c r="E1094" t="s">
        <v>52</v>
      </c>
      <c r="F1094" t="s">
        <v>20</v>
      </c>
      <c r="G1094" t="s">
        <v>21</v>
      </c>
      <c r="H1094">
        <v>49</v>
      </c>
      <c r="I1094">
        <v>3500</v>
      </c>
      <c r="J1094">
        <v>10</v>
      </c>
      <c r="K1094">
        <v>154350</v>
      </c>
      <c r="L1094">
        <v>61740</v>
      </c>
      <c r="M1094">
        <v>92610</v>
      </c>
      <c r="N1094" t="s">
        <v>49</v>
      </c>
      <c r="O1094" t="s">
        <v>50</v>
      </c>
      <c r="P1094" t="s">
        <v>24</v>
      </c>
    </row>
    <row r="1095" spans="1:16" x14ac:dyDescent="0.3">
      <c r="A1095" t="s">
        <v>1167</v>
      </c>
      <c r="B1095" s="1">
        <v>45038</v>
      </c>
      <c r="C1095" t="s">
        <v>58</v>
      </c>
      <c r="D1095" t="s">
        <v>84</v>
      </c>
      <c r="E1095" t="s">
        <v>78</v>
      </c>
      <c r="F1095" t="s">
        <v>65</v>
      </c>
      <c r="G1095" t="s">
        <v>124</v>
      </c>
      <c r="H1095">
        <v>43</v>
      </c>
      <c r="I1095">
        <v>18000</v>
      </c>
      <c r="J1095">
        <v>0</v>
      </c>
      <c r="K1095">
        <v>774000</v>
      </c>
      <c r="L1095">
        <v>348300</v>
      </c>
      <c r="M1095">
        <v>425700</v>
      </c>
      <c r="N1095" t="s">
        <v>22</v>
      </c>
      <c r="O1095" t="s">
        <v>23</v>
      </c>
      <c r="P1095" t="s">
        <v>24</v>
      </c>
    </row>
    <row r="1096" spans="1:16" x14ac:dyDescent="0.3">
      <c r="A1096" t="s">
        <v>1168</v>
      </c>
      <c r="B1096" s="1">
        <v>44829</v>
      </c>
      <c r="C1096" t="s">
        <v>58</v>
      </c>
      <c r="D1096" t="s">
        <v>59</v>
      </c>
      <c r="E1096" t="s">
        <v>38</v>
      </c>
      <c r="F1096" t="s">
        <v>65</v>
      </c>
      <c r="G1096" t="s">
        <v>104</v>
      </c>
      <c r="H1096">
        <v>2</v>
      </c>
      <c r="I1096">
        <v>3000</v>
      </c>
      <c r="J1096">
        <v>10</v>
      </c>
      <c r="K1096">
        <v>5400</v>
      </c>
      <c r="L1096">
        <v>2430</v>
      </c>
      <c r="M1096">
        <v>2970</v>
      </c>
      <c r="N1096" t="s">
        <v>22</v>
      </c>
      <c r="O1096" t="s">
        <v>44</v>
      </c>
      <c r="P1096" t="s">
        <v>24</v>
      </c>
    </row>
    <row r="1097" spans="1:16" x14ac:dyDescent="0.3">
      <c r="A1097" t="s">
        <v>1169</v>
      </c>
      <c r="B1097" s="1">
        <v>45353</v>
      </c>
      <c r="C1097" t="s">
        <v>17</v>
      </c>
      <c r="D1097" t="s">
        <v>37</v>
      </c>
      <c r="E1097" t="s">
        <v>70</v>
      </c>
      <c r="F1097" t="s">
        <v>65</v>
      </c>
      <c r="G1097" t="s">
        <v>66</v>
      </c>
      <c r="H1097">
        <v>29</v>
      </c>
      <c r="I1097">
        <v>5500</v>
      </c>
      <c r="J1097">
        <v>15</v>
      </c>
      <c r="K1097">
        <v>135575</v>
      </c>
      <c r="L1097">
        <v>61008.75</v>
      </c>
      <c r="M1097">
        <v>74566.25</v>
      </c>
      <c r="N1097" t="s">
        <v>49</v>
      </c>
      <c r="O1097" t="s">
        <v>35</v>
      </c>
      <c r="P1097" t="s">
        <v>24</v>
      </c>
    </row>
    <row r="1098" spans="1:16" x14ac:dyDescent="0.3">
      <c r="A1098" t="s">
        <v>1170</v>
      </c>
      <c r="B1098" s="1">
        <v>45093</v>
      </c>
      <c r="C1098" t="s">
        <v>46</v>
      </c>
      <c r="D1098" t="s">
        <v>55</v>
      </c>
      <c r="E1098" t="s">
        <v>56</v>
      </c>
      <c r="F1098" t="s">
        <v>33</v>
      </c>
      <c r="G1098" t="s">
        <v>48</v>
      </c>
      <c r="H1098">
        <v>27</v>
      </c>
      <c r="I1098">
        <v>1500</v>
      </c>
      <c r="J1098">
        <v>5</v>
      </c>
      <c r="K1098">
        <v>38475</v>
      </c>
      <c r="L1098">
        <v>19237.5</v>
      </c>
      <c r="M1098">
        <v>19237.5</v>
      </c>
      <c r="N1098" t="s">
        <v>30</v>
      </c>
      <c r="O1098" t="s">
        <v>67</v>
      </c>
      <c r="P1098" t="s">
        <v>40</v>
      </c>
    </row>
    <row r="1099" spans="1:16" x14ac:dyDescent="0.3">
      <c r="A1099" t="s">
        <v>1171</v>
      </c>
      <c r="B1099" s="1">
        <v>44982</v>
      </c>
      <c r="C1099" t="s">
        <v>26</v>
      </c>
      <c r="D1099" t="s">
        <v>69</v>
      </c>
      <c r="E1099" t="s">
        <v>78</v>
      </c>
      <c r="F1099" t="s">
        <v>28</v>
      </c>
      <c r="G1099" t="s">
        <v>95</v>
      </c>
      <c r="H1099">
        <v>25</v>
      </c>
      <c r="I1099">
        <v>75000</v>
      </c>
      <c r="J1099">
        <v>0</v>
      </c>
      <c r="K1099">
        <v>1875000</v>
      </c>
      <c r="L1099">
        <v>1031250</v>
      </c>
      <c r="M1099">
        <v>843750</v>
      </c>
      <c r="N1099" t="s">
        <v>49</v>
      </c>
      <c r="O1099" t="s">
        <v>67</v>
      </c>
      <c r="P1099" t="s">
        <v>24</v>
      </c>
    </row>
    <row r="1100" spans="1:16" x14ac:dyDescent="0.3">
      <c r="A1100" t="s">
        <v>1172</v>
      </c>
      <c r="B1100" s="1">
        <v>44702</v>
      </c>
      <c r="C1100" t="s">
        <v>26</v>
      </c>
      <c r="D1100" t="s">
        <v>27</v>
      </c>
      <c r="E1100" t="s">
        <v>70</v>
      </c>
      <c r="F1100" t="s">
        <v>20</v>
      </c>
      <c r="G1100" t="s">
        <v>74</v>
      </c>
      <c r="H1100">
        <v>35</v>
      </c>
      <c r="I1100">
        <v>4200</v>
      </c>
      <c r="J1100">
        <v>15</v>
      </c>
      <c r="K1100">
        <v>124950</v>
      </c>
      <c r="L1100">
        <v>49980</v>
      </c>
      <c r="M1100">
        <v>74970</v>
      </c>
      <c r="N1100" t="s">
        <v>49</v>
      </c>
      <c r="O1100" t="s">
        <v>44</v>
      </c>
      <c r="P1100" t="s">
        <v>24</v>
      </c>
    </row>
    <row r="1101" spans="1:16" x14ac:dyDescent="0.3">
      <c r="A1101" t="s">
        <v>1173</v>
      </c>
      <c r="B1101" s="1">
        <v>45271</v>
      </c>
      <c r="C1101" t="s">
        <v>58</v>
      </c>
      <c r="D1101" t="s">
        <v>84</v>
      </c>
      <c r="E1101" t="s">
        <v>111</v>
      </c>
      <c r="F1101" t="s">
        <v>20</v>
      </c>
      <c r="G1101" t="s">
        <v>21</v>
      </c>
      <c r="H1101">
        <v>3</v>
      </c>
      <c r="I1101">
        <v>3500</v>
      </c>
      <c r="J1101">
        <v>0</v>
      </c>
      <c r="K1101">
        <v>10500</v>
      </c>
      <c r="L1101">
        <v>4200</v>
      </c>
      <c r="M1101">
        <v>6300</v>
      </c>
      <c r="N1101" t="s">
        <v>30</v>
      </c>
      <c r="O1101" t="s">
        <v>67</v>
      </c>
      <c r="P1101" t="s">
        <v>40</v>
      </c>
    </row>
    <row r="1102" spans="1:16" x14ac:dyDescent="0.3">
      <c r="A1102" t="s">
        <v>1174</v>
      </c>
      <c r="B1102" s="1">
        <v>45348</v>
      </c>
      <c r="C1102" t="s">
        <v>58</v>
      </c>
      <c r="D1102" t="s">
        <v>84</v>
      </c>
      <c r="E1102" t="s">
        <v>78</v>
      </c>
      <c r="F1102" t="s">
        <v>33</v>
      </c>
      <c r="G1102" t="s">
        <v>34</v>
      </c>
      <c r="H1102">
        <v>2</v>
      </c>
      <c r="I1102">
        <v>25000</v>
      </c>
      <c r="J1102">
        <v>5</v>
      </c>
      <c r="K1102">
        <v>47500</v>
      </c>
      <c r="L1102">
        <v>23750</v>
      </c>
      <c r="M1102">
        <v>23750</v>
      </c>
      <c r="N1102" t="s">
        <v>30</v>
      </c>
      <c r="O1102" t="s">
        <v>50</v>
      </c>
      <c r="P1102" t="s">
        <v>24</v>
      </c>
    </row>
    <row r="1103" spans="1:16" x14ac:dyDescent="0.3">
      <c r="A1103" t="s">
        <v>1175</v>
      </c>
      <c r="B1103" s="1">
        <v>44800</v>
      </c>
      <c r="C1103" t="s">
        <v>58</v>
      </c>
      <c r="D1103" t="s">
        <v>64</v>
      </c>
      <c r="E1103" t="s">
        <v>32</v>
      </c>
      <c r="F1103" t="s">
        <v>20</v>
      </c>
      <c r="G1103" t="s">
        <v>61</v>
      </c>
      <c r="H1103">
        <v>6</v>
      </c>
      <c r="I1103">
        <v>800</v>
      </c>
      <c r="J1103">
        <v>0</v>
      </c>
      <c r="K1103">
        <v>4800</v>
      </c>
      <c r="L1103">
        <v>1920</v>
      </c>
      <c r="M1103">
        <v>2880</v>
      </c>
      <c r="N1103" t="s">
        <v>22</v>
      </c>
      <c r="O1103" t="s">
        <v>23</v>
      </c>
      <c r="P1103" t="s">
        <v>24</v>
      </c>
    </row>
    <row r="1104" spans="1:16" x14ac:dyDescent="0.3">
      <c r="A1104" t="s">
        <v>1176</v>
      </c>
      <c r="B1104" s="1">
        <v>44593</v>
      </c>
      <c r="C1104" t="s">
        <v>46</v>
      </c>
      <c r="D1104" t="s">
        <v>47</v>
      </c>
      <c r="E1104" t="s">
        <v>38</v>
      </c>
      <c r="F1104" t="s">
        <v>65</v>
      </c>
      <c r="G1104" t="s">
        <v>104</v>
      </c>
      <c r="H1104">
        <v>39</v>
      </c>
      <c r="I1104">
        <v>3000</v>
      </c>
      <c r="J1104">
        <v>10</v>
      </c>
      <c r="K1104">
        <v>105300</v>
      </c>
      <c r="L1104">
        <v>47385</v>
      </c>
      <c r="M1104">
        <v>57915</v>
      </c>
      <c r="N1104" t="s">
        <v>49</v>
      </c>
      <c r="O1104" t="s">
        <v>67</v>
      </c>
      <c r="P1104" t="s">
        <v>24</v>
      </c>
    </row>
    <row r="1105" spans="1:16" x14ac:dyDescent="0.3">
      <c r="A1105" t="s">
        <v>1177</v>
      </c>
      <c r="B1105" s="1">
        <v>44602</v>
      </c>
      <c r="C1105" t="s">
        <v>17</v>
      </c>
      <c r="D1105" t="s">
        <v>37</v>
      </c>
      <c r="E1105" t="s">
        <v>19</v>
      </c>
      <c r="F1105" t="s">
        <v>28</v>
      </c>
      <c r="G1105" t="s">
        <v>71</v>
      </c>
      <c r="H1105">
        <v>42</v>
      </c>
      <c r="I1105">
        <v>35000</v>
      </c>
      <c r="J1105">
        <v>20</v>
      </c>
      <c r="K1105">
        <v>1176000</v>
      </c>
      <c r="L1105">
        <v>646800</v>
      </c>
      <c r="M1105">
        <v>529200</v>
      </c>
      <c r="N1105" t="s">
        <v>49</v>
      </c>
      <c r="O1105" t="s">
        <v>50</v>
      </c>
      <c r="P1105" t="s">
        <v>24</v>
      </c>
    </row>
    <row r="1106" spans="1:16" x14ac:dyDescent="0.3">
      <c r="A1106" t="s">
        <v>1178</v>
      </c>
      <c r="B1106" s="1">
        <v>45385</v>
      </c>
      <c r="C1106" t="s">
        <v>46</v>
      </c>
      <c r="D1106" t="s">
        <v>55</v>
      </c>
      <c r="E1106" t="s">
        <v>111</v>
      </c>
      <c r="F1106" t="s">
        <v>33</v>
      </c>
      <c r="G1106" t="s">
        <v>48</v>
      </c>
      <c r="H1106">
        <v>19</v>
      </c>
      <c r="I1106">
        <v>1500</v>
      </c>
      <c r="J1106">
        <v>20</v>
      </c>
      <c r="K1106">
        <v>22800</v>
      </c>
      <c r="L1106">
        <v>11400</v>
      </c>
      <c r="M1106">
        <v>11400</v>
      </c>
      <c r="N1106" t="s">
        <v>30</v>
      </c>
      <c r="O1106" t="s">
        <v>23</v>
      </c>
      <c r="P1106" t="s">
        <v>40</v>
      </c>
    </row>
    <row r="1107" spans="1:16" x14ac:dyDescent="0.3">
      <c r="A1107" t="s">
        <v>1179</v>
      </c>
      <c r="B1107" s="1">
        <v>44608</v>
      </c>
      <c r="C1107" t="s">
        <v>58</v>
      </c>
      <c r="D1107" t="s">
        <v>59</v>
      </c>
      <c r="E1107" t="s">
        <v>111</v>
      </c>
      <c r="F1107" t="s">
        <v>28</v>
      </c>
      <c r="G1107" t="s">
        <v>85</v>
      </c>
      <c r="H1107">
        <v>15</v>
      </c>
      <c r="I1107">
        <v>8000</v>
      </c>
      <c r="J1107">
        <v>20</v>
      </c>
      <c r="K1107">
        <v>96000</v>
      </c>
      <c r="L1107">
        <v>52800</v>
      </c>
      <c r="M1107">
        <v>43200</v>
      </c>
      <c r="N1107" t="s">
        <v>49</v>
      </c>
      <c r="O1107" t="s">
        <v>44</v>
      </c>
      <c r="P1107" t="s">
        <v>24</v>
      </c>
    </row>
    <row r="1108" spans="1:16" x14ac:dyDescent="0.3">
      <c r="A1108" t="s">
        <v>1180</v>
      </c>
      <c r="B1108" s="1">
        <v>45424</v>
      </c>
      <c r="C1108" t="s">
        <v>58</v>
      </c>
      <c r="D1108" t="s">
        <v>64</v>
      </c>
      <c r="E1108" t="s">
        <v>52</v>
      </c>
      <c r="F1108" t="s">
        <v>33</v>
      </c>
      <c r="G1108" t="s">
        <v>34</v>
      </c>
      <c r="H1108">
        <v>10</v>
      </c>
      <c r="I1108">
        <v>25000</v>
      </c>
      <c r="J1108">
        <v>0</v>
      </c>
      <c r="K1108">
        <v>250000</v>
      </c>
      <c r="L1108">
        <v>125000</v>
      </c>
      <c r="M1108">
        <v>125000</v>
      </c>
      <c r="N1108" t="s">
        <v>22</v>
      </c>
      <c r="O1108" t="s">
        <v>44</v>
      </c>
      <c r="P1108" t="s">
        <v>24</v>
      </c>
    </row>
    <row r="1109" spans="1:16" x14ac:dyDescent="0.3">
      <c r="A1109" t="s">
        <v>1181</v>
      </c>
      <c r="B1109" s="1">
        <v>44985</v>
      </c>
      <c r="C1109" t="s">
        <v>58</v>
      </c>
      <c r="D1109" t="s">
        <v>64</v>
      </c>
      <c r="E1109" t="s">
        <v>19</v>
      </c>
      <c r="F1109" t="s">
        <v>28</v>
      </c>
      <c r="G1109" t="s">
        <v>87</v>
      </c>
      <c r="H1109">
        <v>26</v>
      </c>
      <c r="I1109">
        <v>45000</v>
      </c>
      <c r="J1109">
        <v>20</v>
      </c>
      <c r="K1109">
        <v>936000</v>
      </c>
      <c r="L1109">
        <v>514800</v>
      </c>
      <c r="M1109">
        <v>421200</v>
      </c>
      <c r="N1109" t="s">
        <v>22</v>
      </c>
      <c r="O1109" t="s">
        <v>67</v>
      </c>
      <c r="P1109" t="s">
        <v>24</v>
      </c>
    </row>
    <row r="1110" spans="1:16" x14ac:dyDescent="0.3">
      <c r="A1110" t="s">
        <v>1182</v>
      </c>
      <c r="B1110" s="1">
        <v>44987</v>
      </c>
      <c r="C1110" t="s">
        <v>58</v>
      </c>
      <c r="D1110" t="s">
        <v>59</v>
      </c>
      <c r="E1110" t="s">
        <v>32</v>
      </c>
      <c r="F1110" t="s">
        <v>33</v>
      </c>
      <c r="G1110" t="s">
        <v>34</v>
      </c>
      <c r="H1110">
        <v>10</v>
      </c>
      <c r="I1110">
        <v>25000</v>
      </c>
      <c r="J1110">
        <v>0</v>
      </c>
      <c r="K1110">
        <v>250000</v>
      </c>
      <c r="L1110">
        <v>125000</v>
      </c>
      <c r="M1110">
        <v>125000</v>
      </c>
      <c r="N1110" t="s">
        <v>22</v>
      </c>
      <c r="O1110" t="s">
        <v>67</v>
      </c>
      <c r="P1110" t="s">
        <v>24</v>
      </c>
    </row>
    <row r="1111" spans="1:16" x14ac:dyDescent="0.3">
      <c r="A1111" t="s">
        <v>1183</v>
      </c>
      <c r="B1111" s="1">
        <v>45379</v>
      </c>
      <c r="C1111" t="s">
        <v>26</v>
      </c>
      <c r="D1111" t="s">
        <v>69</v>
      </c>
      <c r="E1111" t="s">
        <v>19</v>
      </c>
      <c r="F1111" t="s">
        <v>65</v>
      </c>
      <c r="G1111" t="s">
        <v>79</v>
      </c>
      <c r="H1111">
        <v>32</v>
      </c>
      <c r="I1111">
        <v>900</v>
      </c>
      <c r="J1111">
        <v>10</v>
      </c>
      <c r="K1111">
        <v>25920</v>
      </c>
      <c r="L1111">
        <v>11664</v>
      </c>
      <c r="M1111">
        <v>14256</v>
      </c>
      <c r="N1111" t="s">
        <v>49</v>
      </c>
      <c r="O1111" t="s">
        <v>23</v>
      </c>
      <c r="P1111" t="s">
        <v>24</v>
      </c>
    </row>
    <row r="1112" spans="1:16" x14ac:dyDescent="0.3">
      <c r="A1112" t="s">
        <v>1184</v>
      </c>
      <c r="B1112" s="1">
        <v>45490</v>
      </c>
      <c r="C1112" t="s">
        <v>26</v>
      </c>
      <c r="D1112" t="s">
        <v>27</v>
      </c>
      <c r="E1112" t="s">
        <v>32</v>
      </c>
      <c r="F1112" t="s">
        <v>28</v>
      </c>
      <c r="G1112" t="s">
        <v>85</v>
      </c>
      <c r="H1112">
        <v>9</v>
      </c>
      <c r="I1112">
        <v>8000</v>
      </c>
      <c r="J1112">
        <v>0</v>
      </c>
      <c r="K1112">
        <v>72000</v>
      </c>
      <c r="L1112">
        <v>39600</v>
      </c>
      <c r="M1112">
        <v>32400</v>
      </c>
      <c r="N1112" t="s">
        <v>22</v>
      </c>
      <c r="O1112" t="s">
        <v>35</v>
      </c>
      <c r="P1112" t="s">
        <v>24</v>
      </c>
    </row>
    <row r="1113" spans="1:16" x14ac:dyDescent="0.3">
      <c r="A1113" t="s">
        <v>1185</v>
      </c>
      <c r="B1113" s="1">
        <v>44872</v>
      </c>
      <c r="C1113" t="s">
        <v>58</v>
      </c>
      <c r="D1113" t="s">
        <v>84</v>
      </c>
      <c r="E1113" t="s">
        <v>56</v>
      </c>
      <c r="F1113" t="s">
        <v>65</v>
      </c>
      <c r="G1113" t="s">
        <v>66</v>
      </c>
      <c r="H1113">
        <v>11</v>
      </c>
      <c r="I1113">
        <v>5500</v>
      </c>
      <c r="J1113">
        <v>20</v>
      </c>
      <c r="K1113">
        <v>48400</v>
      </c>
      <c r="L1113">
        <v>21780</v>
      </c>
      <c r="M1113">
        <v>26620</v>
      </c>
      <c r="N1113" t="s">
        <v>30</v>
      </c>
      <c r="O1113" t="s">
        <v>67</v>
      </c>
      <c r="P1113" t="s">
        <v>24</v>
      </c>
    </row>
    <row r="1114" spans="1:16" x14ac:dyDescent="0.3">
      <c r="A1114" t="s">
        <v>1186</v>
      </c>
      <c r="B1114" s="1">
        <v>45364</v>
      </c>
      <c r="C1114" t="s">
        <v>26</v>
      </c>
      <c r="D1114" t="s">
        <v>69</v>
      </c>
      <c r="E1114" t="s">
        <v>52</v>
      </c>
      <c r="F1114" t="s">
        <v>65</v>
      </c>
      <c r="G1114" t="s">
        <v>124</v>
      </c>
      <c r="H1114">
        <v>47</v>
      </c>
      <c r="I1114">
        <v>18000</v>
      </c>
      <c r="J1114">
        <v>10</v>
      </c>
      <c r="K1114">
        <v>761400</v>
      </c>
      <c r="L1114">
        <v>342630</v>
      </c>
      <c r="M1114">
        <v>418770</v>
      </c>
      <c r="N1114" t="s">
        <v>49</v>
      </c>
      <c r="O1114" t="s">
        <v>67</v>
      </c>
      <c r="P1114" t="s">
        <v>40</v>
      </c>
    </row>
    <row r="1115" spans="1:16" x14ac:dyDescent="0.3">
      <c r="A1115" t="s">
        <v>1187</v>
      </c>
      <c r="B1115" s="1">
        <v>45279</v>
      </c>
      <c r="C1115" t="s">
        <v>46</v>
      </c>
      <c r="D1115" t="s">
        <v>47</v>
      </c>
      <c r="E1115" t="s">
        <v>73</v>
      </c>
      <c r="F1115" t="s">
        <v>20</v>
      </c>
      <c r="G1115" t="s">
        <v>53</v>
      </c>
      <c r="H1115">
        <v>46</v>
      </c>
      <c r="I1115">
        <v>600</v>
      </c>
      <c r="J1115">
        <v>10</v>
      </c>
      <c r="K1115">
        <v>24840</v>
      </c>
      <c r="L1115">
        <v>9936</v>
      </c>
      <c r="M1115">
        <v>14904</v>
      </c>
      <c r="N1115" t="s">
        <v>22</v>
      </c>
      <c r="O1115" t="s">
        <v>50</v>
      </c>
      <c r="P1115" t="s">
        <v>40</v>
      </c>
    </row>
    <row r="1116" spans="1:16" x14ac:dyDescent="0.3">
      <c r="A1116" t="s">
        <v>1188</v>
      </c>
      <c r="B1116" s="1">
        <v>45488</v>
      </c>
      <c r="C1116" t="s">
        <v>46</v>
      </c>
      <c r="D1116" t="s">
        <v>55</v>
      </c>
      <c r="E1116" t="s">
        <v>78</v>
      </c>
      <c r="F1116" t="s">
        <v>20</v>
      </c>
      <c r="G1116" t="s">
        <v>53</v>
      </c>
      <c r="H1116">
        <v>46</v>
      </c>
      <c r="I1116">
        <v>600</v>
      </c>
      <c r="J1116">
        <v>15</v>
      </c>
      <c r="K1116">
        <v>23460</v>
      </c>
      <c r="L1116">
        <v>9384</v>
      </c>
      <c r="M1116">
        <v>14076</v>
      </c>
      <c r="N1116" t="s">
        <v>49</v>
      </c>
      <c r="O1116" t="s">
        <v>23</v>
      </c>
      <c r="P1116" t="s">
        <v>24</v>
      </c>
    </row>
    <row r="1117" spans="1:16" x14ac:dyDescent="0.3">
      <c r="A1117" t="s">
        <v>1189</v>
      </c>
      <c r="B1117" s="1">
        <v>44900</v>
      </c>
      <c r="C1117" t="s">
        <v>58</v>
      </c>
      <c r="D1117" t="s">
        <v>84</v>
      </c>
      <c r="E1117" t="s">
        <v>56</v>
      </c>
      <c r="F1117" t="s">
        <v>33</v>
      </c>
      <c r="G1117" t="s">
        <v>76</v>
      </c>
      <c r="H1117">
        <v>13</v>
      </c>
      <c r="I1117">
        <v>8500</v>
      </c>
      <c r="J1117">
        <v>0</v>
      </c>
      <c r="K1117">
        <v>110500</v>
      </c>
      <c r="L1117">
        <v>55250</v>
      </c>
      <c r="M1117">
        <v>55250</v>
      </c>
      <c r="N1117" t="s">
        <v>49</v>
      </c>
      <c r="O1117" t="s">
        <v>50</v>
      </c>
      <c r="P1117" t="s">
        <v>40</v>
      </c>
    </row>
    <row r="1118" spans="1:16" x14ac:dyDescent="0.3">
      <c r="A1118" t="s">
        <v>1190</v>
      </c>
      <c r="B1118" s="1">
        <v>44744</v>
      </c>
      <c r="C1118" t="s">
        <v>58</v>
      </c>
      <c r="D1118" t="s">
        <v>64</v>
      </c>
      <c r="E1118" t="s">
        <v>78</v>
      </c>
      <c r="F1118" t="s">
        <v>28</v>
      </c>
      <c r="G1118" t="s">
        <v>71</v>
      </c>
      <c r="H1118">
        <v>41</v>
      </c>
      <c r="I1118">
        <v>35000</v>
      </c>
      <c r="J1118">
        <v>20</v>
      </c>
      <c r="K1118">
        <v>1148000</v>
      </c>
      <c r="L1118">
        <v>631400</v>
      </c>
      <c r="M1118">
        <v>516600</v>
      </c>
      <c r="N1118" t="s">
        <v>49</v>
      </c>
      <c r="O1118" t="s">
        <v>35</v>
      </c>
      <c r="P1118" t="s">
        <v>24</v>
      </c>
    </row>
    <row r="1119" spans="1:16" x14ac:dyDescent="0.3">
      <c r="A1119" t="s">
        <v>1191</v>
      </c>
      <c r="B1119" s="1">
        <v>44935</v>
      </c>
      <c r="C1119" t="s">
        <v>17</v>
      </c>
      <c r="D1119" t="s">
        <v>37</v>
      </c>
      <c r="E1119" t="s">
        <v>38</v>
      </c>
      <c r="F1119" t="s">
        <v>33</v>
      </c>
      <c r="G1119" t="s">
        <v>34</v>
      </c>
      <c r="H1119">
        <v>40</v>
      </c>
      <c r="I1119">
        <v>25000</v>
      </c>
      <c r="J1119">
        <v>15</v>
      </c>
      <c r="K1119">
        <v>850000</v>
      </c>
      <c r="L1119">
        <v>425000</v>
      </c>
      <c r="M1119">
        <v>425000</v>
      </c>
      <c r="N1119" t="s">
        <v>22</v>
      </c>
      <c r="O1119" t="s">
        <v>67</v>
      </c>
      <c r="P1119" t="s">
        <v>24</v>
      </c>
    </row>
    <row r="1120" spans="1:16" x14ac:dyDescent="0.3">
      <c r="A1120" t="s">
        <v>1192</v>
      </c>
      <c r="B1120" s="1">
        <v>44929</v>
      </c>
      <c r="C1120" t="s">
        <v>46</v>
      </c>
      <c r="D1120" t="s">
        <v>47</v>
      </c>
      <c r="E1120" t="s">
        <v>19</v>
      </c>
      <c r="F1120" t="s">
        <v>33</v>
      </c>
      <c r="G1120" t="s">
        <v>76</v>
      </c>
      <c r="H1120">
        <v>17</v>
      </c>
      <c r="I1120">
        <v>8500</v>
      </c>
      <c r="J1120">
        <v>20</v>
      </c>
      <c r="K1120">
        <v>115600</v>
      </c>
      <c r="L1120">
        <v>57800</v>
      </c>
      <c r="M1120">
        <v>57800</v>
      </c>
      <c r="N1120" t="s">
        <v>30</v>
      </c>
      <c r="O1120" t="s">
        <v>67</v>
      </c>
      <c r="P1120" t="s">
        <v>24</v>
      </c>
    </row>
    <row r="1121" spans="1:16" x14ac:dyDescent="0.3">
      <c r="A1121" t="s">
        <v>1193</v>
      </c>
      <c r="B1121" s="1">
        <v>45302</v>
      </c>
      <c r="C1121" t="s">
        <v>17</v>
      </c>
      <c r="D1121" t="s">
        <v>42</v>
      </c>
      <c r="E1121" t="s">
        <v>38</v>
      </c>
      <c r="F1121" t="s">
        <v>65</v>
      </c>
      <c r="G1121" t="s">
        <v>104</v>
      </c>
      <c r="H1121">
        <v>11</v>
      </c>
      <c r="I1121">
        <v>3000</v>
      </c>
      <c r="J1121">
        <v>0</v>
      </c>
      <c r="K1121">
        <v>33000</v>
      </c>
      <c r="L1121">
        <v>14850</v>
      </c>
      <c r="M1121">
        <v>18150</v>
      </c>
      <c r="N1121" t="s">
        <v>30</v>
      </c>
      <c r="O1121" t="s">
        <v>35</v>
      </c>
      <c r="P1121" t="s">
        <v>24</v>
      </c>
    </row>
    <row r="1122" spans="1:16" x14ac:dyDescent="0.3">
      <c r="A1122" t="s">
        <v>1194</v>
      </c>
      <c r="B1122" s="1">
        <v>44839</v>
      </c>
      <c r="C1122" t="s">
        <v>46</v>
      </c>
      <c r="D1122" t="s">
        <v>55</v>
      </c>
      <c r="E1122" t="s">
        <v>56</v>
      </c>
      <c r="F1122" t="s">
        <v>33</v>
      </c>
      <c r="G1122" t="s">
        <v>39</v>
      </c>
      <c r="H1122">
        <v>4</v>
      </c>
      <c r="I1122">
        <v>5000</v>
      </c>
      <c r="J1122">
        <v>5</v>
      </c>
      <c r="K1122">
        <v>19000</v>
      </c>
      <c r="L1122">
        <v>9500</v>
      </c>
      <c r="M1122">
        <v>9500</v>
      </c>
      <c r="N1122" t="s">
        <v>49</v>
      </c>
      <c r="O1122" t="s">
        <v>23</v>
      </c>
      <c r="P1122" t="s">
        <v>40</v>
      </c>
    </row>
    <row r="1123" spans="1:16" x14ac:dyDescent="0.3">
      <c r="A1123" t="s">
        <v>1195</v>
      </c>
      <c r="B1123" s="1">
        <v>45484</v>
      </c>
      <c r="C1123" t="s">
        <v>17</v>
      </c>
      <c r="D1123" t="s">
        <v>42</v>
      </c>
      <c r="E1123" t="s">
        <v>52</v>
      </c>
      <c r="F1123" t="s">
        <v>20</v>
      </c>
      <c r="G1123" t="s">
        <v>53</v>
      </c>
      <c r="H1123">
        <v>26</v>
      </c>
      <c r="I1123">
        <v>600</v>
      </c>
      <c r="J1123">
        <v>15</v>
      </c>
      <c r="K1123">
        <v>13260</v>
      </c>
      <c r="L1123">
        <v>5304</v>
      </c>
      <c r="M1123">
        <v>7956</v>
      </c>
      <c r="N1123" t="s">
        <v>22</v>
      </c>
      <c r="O1123" t="s">
        <v>23</v>
      </c>
      <c r="P1123" t="s">
        <v>24</v>
      </c>
    </row>
    <row r="1124" spans="1:16" x14ac:dyDescent="0.3">
      <c r="A1124" t="s">
        <v>1196</v>
      </c>
      <c r="B1124" s="1">
        <v>45240</v>
      </c>
      <c r="C1124" t="s">
        <v>17</v>
      </c>
      <c r="D1124" t="s">
        <v>42</v>
      </c>
      <c r="E1124" t="s">
        <v>52</v>
      </c>
      <c r="F1124" t="s">
        <v>20</v>
      </c>
      <c r="G1124" t="s">
        <v>74</v>
      </c>
      <c r="H1124">
        <v>41</v>
      </c>
      <c r="I1124">
        <v>4200</v>
      </c>
      <c r="J1124">
        <v>10</v>
      </c>
      <c r="K1124">
        <v>154980</v>
      </c>
      <c r="L1124">
        <v>61992</v>
      </c>
      <c r="M1124">
        <v>92988</v>
      </c>
      <c r="N1124" t="s">
        <v>49</v>
      </c>
      <c r="O1124" t="s">
        <v>67</v>
      </c>
      <c r="P1124" t="s">
        <v>24</v>
      </c>
    </row>
    <row r="1125" spans="1:16" x14ac:dyDescent="0.3">
      <c r="A1125" t="s">
        <v>1197</v>
      </c>
      <c r="B1125" s="1">
        <v>45428</v>
      </c>
      <c r="C1125" t="s">
        <v>17</v>
      </c>
      <c r="D1125" t="s">
        <v>42</v>
      </c>
      <c r="E1125" t="s">
        <v>52</v>
      </c>
      <c r="F1125" t="s">
        <v>65</v>
      </c>
      <c r="G1125" t="s">
        <v>124</v>
      </c>
      <c r="H1125">
        <v>12</v>
      </c>
      <c r="I1125">
        <v>18000</v>
      </c>
      <c r="J1125">
        <v>0</v>
      </c>
      <c r="K1125">
        <v>216000</v>
      </c>
      <c r="L1125">
        <v>97200</v>
      </c>
      <c r="M1125">
        <v>118800</v>
      </c>
      <c r="N1125" t="s">
        <v>49</v>
      </c>
      <c r="O1125" t="s">
        <v>50</v>
      </c>
      <c r="P1125" t="s">
        <v>24</v>
      </c>
    </row>
    <row r="1126" spans="1:16" x14ac:dyDescent="0.3">
      <c r="A1126" t="s">
        <v>1198</v>
      </c>
      <c r="B1126" s="1">
        <v>45389</v>
      </c>
      <c r="C1126" t="s">
        <v>46</v>
      </c>
      <c r="D1126" t="s">
        <v>55</v>
      </c>
      <c r="E1126" t="s">
        <v>70</v>
      </c>
      <c r="F1126" t="s">
        <v>20</v>
      </c>
      <c r="G1126" t="s">
        <v>21</v>
      </c>
      <c r="H1126">
        <v>13</v>
      </c>
      <c r="I1126">
        <v>3500</v>
      </c>
      <c r="J1126">
        <v>15</v>
      </c>
      <c r="K1126">
        <v>38675</v>
      </c>
      <c r="L1126">
        <v>15470</v>
      </c>
      <c r="M1126">
        <v>23205</v>
      </c>
      <c r="N1126" t="s">
        <v>22</v>
      </c>
      <c r="O1126" t="s">
        <v>44</v>
      </c>
      <c r="P1126" t="s">
        <v>24</v>
      </c>
    </row>
    <row r="1127" spans="1:16" x14ac:dyDescent="0.3">
      <c r="A1127" t="s">
        <v>1199</v>
      </c>
      <c r="B1127" s="1">
        <v>44580</v>
      </c>
      <c r="C1127" t="s">
        <v>17</v>
      </c>
      <c r="D1127" t="s">
        <v>37</v>
      </c>
      <c r="E1127" t="s">
        <v>52</v>
      </c>
      <c r="F1127" t="s">
        <v>33</v>
      </c>
      <c r="G1127" t="s">
        <v>34</v>
      </c>
      <c r="H1127">
        <v>33</v>
      </c>
      <c r="I1127">
        <v>25000</v>
      </c>
      <c r="J1127">
        <v>0</v>
      </c>
      <c r="K1127">
        <v>825000</v>
      </c>
      <c r="L1127">
        <v>412500</v>
      </c>
      <c r="M1127">
        <v>412500</v>
      </c>
      <c r="N1127" t="s">
        <v>49</v>
      </c>
      <c r="O1127" t="s">
        <v>35</v>
      </c>
      <c r="P1127" t="s">
        <v>40</v>
      </c>
    </row>
    <row r="1128" spans="1:16" x14ac:dyDescent="0.3">
      <c r="A1128" t="s">
        <v>1200</v>
      </c>
      <c r="B1128" s="1">
        <v>45098</v>
      </c>
      <c r="C1128" t="s">
        <v>58</v>
      </c>
      <c r="D1128" t="s">
        <v>59</v>
      </c>
      <c r="E1128" t="s">
        <v>56</v>
      </c>
      <c r="F1128" t="s">
        <v>33</v>
      </c>
      <c r="G1128" t="s">
        <v>34</v>
      </c>
      <c r="H1128">
        <v>41</v>
      </c>
      <c r="I1128">
        <v>25000</v>
      </c>
      <c r="J1128">
        <v>0</v>
      </c>
      <c r="K1128">
        <v>1025000</v>
      </c>
      <c r="L1128">
        <v>512500</v>
      </c>
      <c r="M1128">
        <v>512500</v>
      </c>
      <c r="N1128" t="s">
        <v>30</v>
      </c>
      <c r="O1128" t="s">
        <v>23</v>
      </c>
      <c r="P1128" t="s">
        <v>40</v>
      </c>
    </row>
    <row r="1129" spans="1:16" x14ac:dyDescent="0.3">
      <c r="A1129" t="s">
        <v>1201</v>
      </c>
      <c r="B1129" s="1">
        <v>45459</v>
      </c>
      <c r="C1129" t="s">
        <v>46</v>
      </c>
      <c r="D1129" t="s">
        <v>55</v>
      </c>
      <c r="E1129" t="s">
        <v>111</v>
      </c>
      <c r="F1129" t="s">
        <v>28</v>
      </c>
      <c r="G1129" t="s">
        <v>95</v>
      </c>
      <c r="H1129">
        <v>24</v>
      </c>
      <c r="I1129">
        <v>75000</v>
      </c>
      <c r="J1129">
        <v>0</v>
      </c>
      <c r="K1129">
        <v>1800000</v>
      </c>
      <c r="L1129">
        <v>990000</v>
      </c>
      <c r="M1129">
        <v>810000</v>
      </c>
      <c r="N1129" t="s">
        <v>22</v>
      </c>
      <c r="O1129" t="s">
        <v>44</v>
      </c>
      <c r="P1129" t="s">
        <v>40</v>
      </c>
    </row>
    <row r="1130" spans="1:16" x14ac:dyDescent="0.3">
      <c r="A1130" t="s">
        <v>1202</v>
      </c>
      <c r="B1130" s="1">
        <v>44923</v>
      </c>
      <c r="C1130" t="s">
        <v>46</v>
      </c>
      <c r="D1130" t="s">
        <v>47</v>
      </c>
      <c r="E1130" t="s">
        <v>32</v>
      </c>
      <c r="F1130" t="s">
        <v>28</v>
      </c>
      <c r="G1130" t="s">
        <v>95</v>
      </c>
      <c r="H1130">
        <v>29</v>
      </c>
      <c r="I1130">
        <v>75000</v>
      </c>
      <c r="J1130">
        <v>0</v>
      </c>
      <c r="K1130">
        <v>2175000</v>
      </c>
      <c r="L1130">
        <v>1196250</v>
      </c>
      <c r="M1130">
        <v>978750</v>
      </c>
      <c r="N1130" t="s">
        <v>30</v>
      </c>
      <c r="O1130" t="s">
        <v>67</v>
      </c>
      <c r="P1130" t="s">
        <v>24</v>
      </c>
    </row>
    <row r="1131" spans="1:16" x14ac:dyDescent="0.3">
      <c r="A1131" t="s">
        <v>1203</v>
      </c>
      <c r="B1131" s="1">
        <v>45105</v>
      </c>
      <c r="C1131" t="s">
        <v>46</v>
      </c>
      <c r="D1131" t="s">
        <v>47</v>
      </c>
      <c r="E1131" t="s">
        <v>70</v>
      </c>
      <c r="F1131" t="s">
        <v>33</v>
      </c>
      <c r="G1131" t="s">
        <v>76</v>
      </c>
      <c r="H1131">
        <v>38</v>
      </c>
      <c r="I1131">
        <v>8500</v>
      </c>
      <c r="J1131">
        <v>10</v>
      </c>
      <c r="K1131">
        <v>290700</v>
      </c>
      <c r="L1131">
        <v>145350</v>
      </c>
      <c r="M1131">
        <v>145350</v>
      </c>
      <c r="N1131" t="s">
        <v>30</v>
      </c>
      <c r="O1131" t="s">
        <v>23</v>
      </c>
      <c r="P1131" t="s">
        <v>40</v>
      </c>
    </row>
    <row r="1132" spans="1:16" x14ac:dyDescent="0.3">
      <c r="A1132" t="s">
        <v>1204</v>
      </c>
      <c r="B1132" s="1">
        <v>45378</v>
      </c>
      <c r="C1132" t="s">
        <v>26</v>
      </c>
      <c r="D1132" t="s">
        <v>27</v>
      </c>
      <c r="E1132" t="s">
        <v>19</v>
      </c>
      <c r="F1132" t="s">
        <v>20</v>
      </c>
      <c r="G1132" t="s">
        <v>61</v>
      </c>
      <c r="H1132">
        <v>6</v>
      </c>
      <c r="I1132">
        <v>800</v>
      </c>
      <c r="J1132">
        <v>5</v>
      </c>
      <c r="K1132">
        <v>4560</v>
      </c>
      <c r="L1132">
        <v>1824</v>
      </c>
      <c r="M1132">
        <v>2736</v>
      </c>
      <c r="N1132" t="s">
        <v>30</v>
      </c>
      <c r="O1132" t="s">
        <v>50</v>
      </c>
      <c r="P1132" t="s">
        <v>24</v>
      </c>
    </row>
    <row r="1133" spans="1:16" x14ac:dyDescent="0.3">
      <c r="A1133" t="s">
        <v>1205</v>
      </c>
      <c r="B1133" s="1">
        <v>44949</v>
      </c>
      <c r="C1133" t="s">
        <v>58</v>
      </c>
      <c r="D1133" t="s">
        <v>84</v>
      </c>
      <c r="E1133" t="s">
        <v>56</v>
      </c>
      <c r="F1133" t="s">
        <v>33</v>
      </c>
      <c r="G1133" t="s">
        <v>34</v>
      </c>
      <c r="H1133">
        <v>36</v>
      </c>
      <c r="I1133">
        <v>25000</v>
      </c>
      <c r="J1133">
        <v>10</v>
      </c>
      <c r="K1133">
        <v>810000</v>
      </c>
      <c r="L1133">
        <v>405000</v>
      </c>
      <c r="M1133">
        <v>405000</v>
      </c>
      <c r="N1133" t="s">
        <v>49</v>
      </c>
      <c r="O1133" t="s">
        <v>23</v>
      </c>
      <c r="P1133" t="s">
        <v>24</v>
      </c>
    </row>
    <row r="1134" spans="1:16" x14ac:dyDescent="0.3">
      <c r="A1134" t="s">
        <v>1206</v>
      </c>
      <c r="B1134" s="1">
        <v>44731</v>
      </c>
      <c r="C1134" t="s">
        <v>58</v>
      </c>
      <c r="D1134" t="s">
        <v>84</v>
      </c>
      <c r="E1134" t="s">
        <v>52</v>
      </c>
      <c r="F1134" t="s">
        <v>28</v>
      </c>
      <c r="G1134" t="s">
        <v>87</v>
      </c>
      <c r="H1134">
        <v>47</v>
      </c>
      <c r="I1134">
        <v>45000</v>
      </c>
      <c r="J1134">
        <v>0</v>
      </c>
      <c r="K1134">
        <v>2115000</v>
      </c>
      <c r="L1134">
        <v>1163250</v>
      </c>
      <c r="M1134">
        <v>951750</v>
      </c>
      <c r="N1134" t="s">
        <v>49</v>
      </c>
      <c r="O1134" t="s">
        <v>67</v>
      </c>
      <c r="P1134" t="s">
        <v>24</v>
      </c>
    </row>
    <row r="1135" spans="1:16" x14ac:dyDescent="0.3">
      <c r="A1135" t="s">
        <v>1207</v>
      </c>
      <c r="B1135" s="1">
        <v>44617</v>
      </c>
      <c r="C1135" t="s">
        <v>46</v>
      </c>
      <c r="D1135" t="s">
        <v>47</v>
      </c>
      <c r="E1135" t="s">
        <v>19</v>
      </c>
      <c r="F1135" t="s">
        <v>33</v>
      </c>
      <c r="G1135" t="s">
        <v>48</v>
      </c>
      <c r="H1135">
        <v>6</v>
      </c>
      <c r="I1135">
        <v>1500</v>
      </c>
      <c r="J1135">
        <v>5</v>
      </c>
      <c r="K1135">
        <v>8550</v>
      </c>
      <c r="L1135">
        <v>4275</v>
      </c>
      <c r="M1135">
        <v>4275</v>
      </c>
      <c r="N1135" t="s">
        <v>22</v>
      </c>
      <c r="O1135" t="s">
        <v>44</v>
      </c>
      <c r="P1135" t="s">
        <v>24</v>
      </c>
    </row>
    <row r="1136" spans="1:16" x14ac:dyDescent="0.3">
      <c r="A1136" t="s">
        <v>1208</v>
      </c>
      <c r="B1136" s="1">
        <v>44814</v>
      </c>
      <c r="C1136" t="s">
        <v>26</v>
      </c>
      <c r="D1136" t="s">
        <v>69</v>
      </c>
      <c r="E1136" t="s">
        <v>73</v>
      </c>
      <c r="F1136" t="s">
        <v>20</v>
      </c>
      <c r="G1136" t="s">
        <v>61</v>
      </c>
      <c r="H1136">
        <v>9</v>
      </c>
      <c r="I1136">
        <v>800</v>
      </c>
      <c r="J1136">
        <v>20</v>
      </c>
      <c r="K1136">
        <v>5760</v>
      </c>
      <c r="L1136">
        <v>2304</v>
      </c>
      <c r="M1136">
        <v>3456</v>
      </c>
      <c r="N1136" t="s">
        <v>49</v>
      </c>
      <c r="O1136" t="s">
        <v>44</v>
      </c>
      <c r="P1136" t="s">
        <v>24</v>
      </c>
    </row>
    <row r="1137" spans="1:16" x14ac:dyDescent="0.3">
      <c r="A1137" t="s">
        <v>1209</v>
      </c>
      <c r="B1137" s="1">
        <v>44935</v>
      </c>
      <c r="C1137" t="s">
        <v>46</v>
      </c>
      <c r="D1137" t="s">
        <v>47</v>
      </c>
      <c r="E1137" t="s">
        <v>73</v>
      </c>
      <c r="F1137" t="s">
        <v>33</v>
      </c>
      <c r="G1137" t="s">
        <v>48</v>
      </c>
      <c r="H1137">
        <v>17</v>
      </c>
      <c r="I1137">
        <v>1500</v>
      </c>
      <c r="J1137">
        <v>0</v>
      </c>
      <c r="K1137">
        <v>25500</v>
      </c>
      <c r="L1137">
        <v>12750</v>
      </c>
      <c r="M1137">
        <v>12750</v>
      </c>
      <c r="N1137" t="s">
        <v>49</v>
      </c>
      <c r="O1137" t="s">
        <v>67</v>
      </c>
      <c r="P1137" t="s">
        <v>24</v>
      </c>
    </row>
    <row r="1138" spans="1:16" x14ac:dyDescent="0.3">
      <c r="A1138" t="s">
        <v>1210</v>
      </c>
      <c r="B1138" s="1">
        <v>45272</v>
      </c>
      <c r="C1138" t="s">
        <v>58</v>
      </c>
      <c r="D1138" t="s">
        <v>64</v>
      </c>
      <c r="E1138" t="s">
        <v>78</v>
      </c>
      <c r="F1138" t="s">
        <v>28</v>
      </c>
      <c r="G1138" t="s">
        <v>29</v>
      </c>
      <c r="H1138">
        <v>25</v>
      </c>
      <c r="I1138">
        <v>15000</v>
      </c>
      <c r="J1138">
        <v>5</v>
      </c>
      <c r="K1138">
        <v>356250</v>
      </c>
      <c r="L1138">
        <v>195937.5</v>
      </c>
      <c r="M1138">
        <v>160312.5</v>
      </c>
      <c r="N1138" t="s">
        <v>22</v>
      </c>
      <c r="O1138" t="s">
        <v>44</v>
      </c>
      <c r="P1138" t="s">
        <v>40</v>
      </c>
    </row>
    <row r="1139" spans="1:16" x14ac:dyDescent="0.3">
      <c r="A1139" t="s">
        <v>1211</v>
      </c>
      <c r="B1139" s="1">
        <v>45394</v>
      </c>
      <c r="C1139" t="s">
        <v>17</v>
      </c>
      <c r="D1139" t="s">
        <v>18</v>
      </c>
      <c r="E1139" t="s">
        <v>70</v>
      </c>
      <c r="F1139" t="s">
        <v>33</v>
      </c>
      <c r="G1139" t="s">
        <v>39</v>
      </c>
      <c r="H1139">
        <v>33</v>
      </c>
      <c r="I1139">
        <v>5000</v>
      </c>
      <c r="J1139">
        <v>5</v>
      </c>
      <c r="K1139">
        <v>156750</v>
      </c>
      <c r="L1139">
        <v>78375</v>
      </c>
      <c r="M1139">
        <v>78375</v>
      </c>
      <c r="N1139" t="s">
        <v>30</v>
      </c>
      <c r="O1139" t="s">
        <v>23</v>
      </c>
      <c r="P1139" t="s">
        <v>24</v>
      </c>
    </row>
    <row r="1140" spans="1:16" x14ac:dyDescent="0.3">
      <c r="A1140" t="s">
        <v>1212</v>
      </c>
      <c r="B1140" s="1">
        <v>45048</v>
      </c>
      <c r="C1140" t="s">
        <v>26</v>
      </c>
      <c r="D1140" t="s">
        <v>27</v>
      </c>
      <c r="E1140" t="s">
        <v>60</v>
      </c>
      <c r="F1140" t="s">
        <v>20</v>
      </c>
      <c r="G1140" t="s">
        <v>115</v>
      </c>
      <c r="H1140">
        <v>38</v>
      </c>
      <c r="I1140">
        <v>2500</v>
      </c>
      <c r="J1140">
        <v>10</v>
      </c>
      <c r="K1140">
        <v>85500</v>
      </c>
      <c r="L1140">
        <v>34200</v>
      </c>
      <c r="M1140">
        <v>51300</v>
      </c>
      <c r="N1140" t="s">
        <v>22</v>
      </c>
      <c r="O1140" t="s">
        <v>23</v>
      </c>
      <c r="P1140" t="s">
        <v>24</v>
      </c>
    </row>
    <row r="1141" spans="1:16" x14ac:dyDescent="0.3">
      <c r="A1141" t="s">
        <v>1213</v>
      </c>
      <c r="B1141" s="1">
        <v>44631</v>
      </c>
      <c r="C1141" t="s">
        <v>26</v>
      </c>
      <c r="D1141" t="s">
        <v>69</v>
      </c>
      <c r="E1141" t="s">
        <v>56</v>
      </c>
      <c r="F1141" t="s">
        <v>20</v>
      </c>
      <c r="G1141" t="s">
        <v>115</v>
      </c>
      <c r="H1141">
        <v>31</v>
      </c>
      <c r="I1141">
        <v>2500</v>
      </c>
      <c r="J1141">
        <v>10</v>
      </c>
      <c r="K1141">
        <v>69750</v>
      </c>
      <c r="L1141">
        <v>27900</v>
      </c>
      <c r="M1141">
        <v>41850</v>
      </c>
      <c r="N1141" t="s">
        <v>22</v>
      </c>
      <c r="O1141" t="s">
        <v>35</v>
      </c>
      <c r="P1141" t="s">
        <v>24</v>
      </c>
    </row>
    <row r="1142" spans="1:16" x14ac:dyDescent="0.3">
      <c r="A1142" t="s">
        <v>1214</v>
      </c>
      <c r="B1142" s="1">
        <v>44907</v>
      </c>
      <c r="C1142" t="s">
        <v>17</v>
      </c>
      <c r="D1142" t="s">
        <v>18</v>
      </c>
      <c r="E1142" t="s">
        <v>60</v>
      </c>
      <c r="F1142" t="s">
        <v>20</v>
      </c>
      <c r="G1142" t="s">
        <v>21</v>
      </c>
      <c r="H1142">
        <v>29</v>
      </c>
      <c r="I1142">
        <v>3500</v>
      </c>
      <c r="J1142">
        <v>20</v>
      </c>
      <c r="K1142">
        <v>81200</v>
      </c>
      <c r="L1142">
        <v>32480</v>
      </c>
      <c r="M1142">
        <v>48720</v>
      </c>
      <c r="N1142" t="s">
        <v>22</v>
      </c>
      <c r="O1142" t="s">
        <v>67</v>
      </c>
      <c r="P1142" t="s">
        <v>24</v>
      </c>
    </row>
    <row r="1143" spans="1:16" x14ac:dyDescent="0.3">
      <c r="A1143" t="s">
        <v>1215</v>
      </c>
      <c r="B1143" s="1">
        <v>45406</v>
      </c>
      <c r="C1143" t="s">
        <v>58</v>
      </c>
      <c r="D1143" t="s">
        <v>59</v>
      </c>
      <c r="E1143" t="s">
        <v>19</v>
      </c>
      <c r="F1143" t="s">
        <v>33</v>
      </c>
      <c r="G1143" t="s">
        <v>34</v>
      </c>
      <c r="H1143">
        <v>39</v>
      </c>
      <c r="I1143">
        <v>25000</v>
      </c>
      <c r="J1143">
        <v>10</v>
      </c>
      <c r="K1143">
        <v>877500</v>
      </c>
      <c r="L1143">
        <v>438750</v>
      </c>
      <c r="M1143">
        <v>438750</v>
      </c>
      <c r="N1143" t="s">
        <v>22</v>
      </c>
      <c r="O1143" t="s">
        <v>23</v>
      </c>
      <c r="P1143" t="s">
        <v>24</v>
      </c>
    </row>
    <row r="1144" spans="1:16" x14ac:dyDescent="0.3">
      <c r="A1144" t="s">
        <v>1216</v>
      </c>
      <c r="B1144" s="1">
        <v>45140</v>
      </c>
      <c r="C1144" t="s">
        <v>46</v>
      </c>
      <c r="D1144" t="s">
        <v>47</v>
      </c>
      <c r="E1144" t="s">
        <v>32</v>
      </c>
      <c r="F1144" t="s">
        <v>65</v>
      </c>
      <c r="G1144" t="s">
        <v>124</v>
      </c>
      <c r="H1144">
        <v>37</v>
      </c>
      <c r="I1144">
        <v>18000</v>
      </c>
      <c r="J1144">
        <v>15</v>
      </c>
      <c r="K1144">
        <v>566100</v>
      </c>
      <c r="L1144">
        <v>254745</v>
      </c>
      <c r="M1144">
        <v>311355</v>
      </c>
      <c r="N1144" t="s">
        <v>30</v>
      </c>
      <c r="O1144" t="s">
        <v>44</v>
      </c>
      <c r="P1144" t="s">
        <v>40</v>
      </c>
    </row>
    <row r="1145" spans="1:16" x14ac:dyDescent="0.3">
      <c r="A1145" t="s">
        <v>1217</v>
      </c>
      <c r="B1145" s="1">
        <v>45541</v>
      </c>
      <c r="C1145" t="s">
        <v>17</v>
      </c>
      <c r="D1145" t="s">
        <v>42</v>
      </c>
      <c r="E1145" t="s">
        <v>111</v>
      </c>
      <c r="F1145" t="s">
        <v>20</v>
      </c>
      <c r="G1145" t="s">
        <v>53</v>
      </c>
      <c r="H1145">
        <v>49</v>
      </c>
      <c r="I1145">
        <v>600</v>
      </c>
      <c r="J1145">
        <v>5</v>
      </c>
      <c r="K1145">
        <v>27930</v>
      </c>
      <c r="L1145">
        <v>11172</v>
      </c>
      <c r="M1145">
        <v>16758</v>
      </c>
      <c r="N1145" t="s">
        <v>22</v>
      </c>
      <c r="O1145" t="s">
        <v>50</v>
      </c>
      <c r="P1145" t="s">
        <v>24</v>
      </c>
    </row>
    <row r="1146" spans="1:16" x14ac:dyDescent="0.3">
      <c r="A1146" t="s">
        <v>1218</v>
      </c>
      <c r="B1146" s="1">
        <v>44654</v>
      </c>
      <c r="C1146" t="s">
        <v>17</v>
      </c>
      <c r="D1146" t="s">
        <v>18</v>
      </c>
      <c r="E1146" t="s">
        <v>70</v>
      </c>
      <c r="F1146" t="s">
        <v>65</v>
      </c>
      <c r="G1146" t="s">
        <v>66</v>
      </c>
      <c r="H1146">
        <v>11</v>
      </c>
      <c r="I1146">
        <v>5500</v>
      </c>
      <c r="J1146">
        <v>15</v>
      </c>
      <c r="K1146">
        <v>51425</v>
      </c>
      <c r="L1146">
        <v>23141.25</v>
      </c>
      <c r="M1146">
        <v>28283.75</v>
      </c>
      <c r="N1146" t="s">
        <v>22</v>
      </c>
      <c r="O1146" t="s">
        <v>44</v>
      </c>
      <c r="P1146" t="s">
        <v>24</v>
      </c>
    </row>
    <row r="1147" spans="1:16" x14ac:dyDescent="0.3">
      <c r="A1147" t="s">
        <v>1219</v>
      </c>
      <c r="B1147" s="1">
        <v>44932</v>
      </c>
      <c r="C1147" t="s">
        <v>17</v>
      </c>
      <c r="D1147" t="s">
        <v>37</v>
      </c>
      <c r="E1147" t="s">
        <v>52</v>
      </c>
      <c r="F1147" t="s">
        <v>20</v>
      </c>
      <c r="G1147" t="s">
        <v>74</v>
      </c>
      <c r="H1147">
        <v>14</v>
      </c>
      <c r="I1147">
        <v>4200</v>
      </c>
      <c r="J1147">
        <v>15</v>
      </c>
      <c r="K1147">
        <v>49980</v>
      </c>
      <c r="L1147">
        <v>19992</v>
      </c>
      <c r="M1147">
        <v>29988</v>
      </c>
      <c r="N1147" t="s">
        <v>22</v>
      </c>
      <c r="O1147" t="s">
        <v>44</v>
      </c>
      <c r="P1147" t="s">
        <v>24</v>
      </c>
    </row>
    <row r="1148" spans="1:16" x14ac:dyDescent="0.3">
      <c r="A1148" t="s">
        <v>1220</v>
      </c>
      <c r="B1148" s="1">
        <v>44856</v>
      </c>
      <c r="C1148" t="s">
        <v>17</v>
      </c>
      <c r="D1148" t="s">
        <v>18</v>
      </c>
      <c r="E1148" t="s">
        <v>60</v>
      </c>
      <c r="F1148" t="s">
        <v>20</v>
      </c>
      <c r="G1148" t="s">
        <v>61</v>
      </c>
      <c r="H1148">
        <v>7</v>
      </c>
      <c r="I1148">
        <v>800</v>
      </c>
      <c r="J1148">
        <v>15</v>
      </c>
      <c r="K1148">
        <v>4760</v>
      </c>
      <c r="L1148">
        <v>1904</v>
      </c>
      <c r="M1148">
        <v>2856</v>
      </c>
      <c r="N1148" t="s">
        <v>22</v>
      </c>
      <c r="O1148" t="s">
        <v>23</v>
      </c>
      <c r="P1148" t="s">
        <v>40</v>
      </c>
    </row>
    <row r="1149" spans="1:16" x14ac:dyDescent="0.3">
      <c r="A1149" t="s">
        <v>1221</v>
      </c>
      <c r="B1149" s="1">
        <v>44973</v>
      </c>
      <c r="C1149" t="s">
        <v>58</v>
      </c>
      <c r="D1149" t="s">
        <v>59</v>
      </c>
      <c r="E1149" t="s">
        <v>19</v>
      </c>
      <c r="F1149" t="s">
        <v>28</v>
      </c>
      <c r="G1149" t="s">
        <v>85</v>
      </c>
      <c r="H1149">
        <v>9</v>
      </c>
      <c r="I1149">
        <v>8000</v>
      </c>
      <c r="J1149">
        <v>10</v>
      </c>
      <c r="K1149">
        <v>64800</v>
      </c>
      <c r="L1149">
        <v>35640</v>
      </c>
      <c r="M1149">
        <v>29160</v>
      </c>
      <c r="N1149" t="s">
        <v>49</v>
      </c>
      <c r="O1149" t="s">
        <v>50</v>
      </c>
      <c r="P1149" t="s">
        <v>24</v>
      </c>
    </row>
    <row r="1150" spans="1:16" x14ac:dyDescent="0.3">
      <c r="A1150" t="s">
        <v>1222</v>
      </c>
      <c r="B1150" s="1">
        <v>45134</v>
      </c>
      <c r="C1150" t="s">
        <v>58</v>
      </c>
      <c r="D1150" t="s">
        <v>64</v>
      </c>
      <c r="E1150" t="s">
        <v>32</v>
      </c>
      <c r="F1150" t="s">
        <v>28</v>
      </c>
      <c r="G1150" t="s">
        <v>71</v>
      </c>
      <c r="H1150">
        <v>32</v>
      </c>
      <c r="I1150">
        <v>35000</v>
      </c>
      <c r="J1150">
        <v>20</v>
      </c>
      <c r="K1150">
        <v>896000</v>
      </c>
      <c r="L1150">
        <v>492800</v>
      </c>
      <c r="M1150">
        <v>403200</v>
      </c>
      <c r="N1150" t="s">
        <v>30</v>
      </c>
      <c r="O1150" t="s">
        <v>67</v>
      </c>
      <c r="P1150" t="s">
        <v>24</v>
      </c>
    </row>
    <row r="1151" spans="1:16" x14ac:dyDescent="0.3">
      <c r="A1151" t="s">
        <v>1223</v>
      </c>
      <c r="B1151" s="1">
        <v>44920</v>
      </c>
      <c r="C1151" t="s">
        <v>46</v>
      </c>
      <c r="D1151" t="s">
        <v>55</v>
      </c>
      <c r="E1151" t="s">
        <v>70</v>
      </c>
      <c r="F1151" t="s">
        <v>33</v>
      </c>
      <c r="G1151" t="s">
        <v>43</v>
      </c>
      <c r="H1151">
        <v>1</v>
      </c>
      <c r="I1151">
        <v>4000</v>
      </c>
      <c r="J1151">
        <v>20</v>
      </c>
      <c r="K1151">
        <v>3200</v>
      </c>
      <c r="L1151">
        <v>1600</v>
      </c>
      <c r="M1151">
        <v>1600</v>
      </c>
      <c r="N1151" t="s">
        <v>49</v>
      </c>
      <c r="O1151" t="s">
        <v>35</v>
      </c>
      <c r="P1151" t="s">
        <v>40</v>
      </c>
    </row>
    <row r="1152" spans="1:16" x14ac:dyDescent="0.3">
      <c r="A1152" t="s">
        <v>1224</v>
      </c>
      <c r="B1152" s="1">
        <v>44990</v>
      </c>
      <c r="C1152" t="s">
        <v>58</v>
      </c>
      <c r="D1152" t="s">
        <v>84</v>
      </c>
      <c r="E1152" t="s">
        <v>56</v>
      </c>
      <c r="F1152" t="s">
        <v>20</v>
      </c>
      <c r="G1152" t="s">
        <v>61</v>
      </c>
      <c r="H1152">
        <v>28</v>
      </c>
      <c r="I1152">
        <v>800</v>
      </c>
      <c r="J1152">
        <v>0</v>
      </c>
      <c r="K1152">
        <v>22400</v>
      </c>
      <c r="L1152">
        <v>8960</v>
      </c>
      <c r="M1152">
        <v>13440</v>
      </c>
      <c r="N1152" t="s">
        <v>49</v>
      </c>
      <c r="O1152" t="s">
        <v>44</v>
      </c>
      <c r="P1152" t="s">
        <v>24</v>
      </c>
    </row>
    <row r="1153" spans="1:16" x14ac:dyDescent="0.3">
      <c r="A1153" t="s">
        <v>1225</v>
      </c>
      <c r="B1153" s="1">
        <v>45387</v>
      </c>
      <c r="C1153" t="s">
        <v>17</v>
      </c>
      <c r="D1153" t="s">
        <v>37</v>
      </c>
      <c r="E1153" t="s">
        <v>32</v>
      </c>
      <c r="F1153" t="s">
        <v>65</v>
      </c>
      <c r="G1153" t="s">
        <v>117</v>
      </c>
      <c r="H1153">
        <v>17</v>
      </c>
      <c r="I1153">
        <v>1200</v>
      </c>
      <c r="J1153">
        <v>15</v>
      </c>
      <c r="K1153">
        <v>17340</v>
      </c>
      <c r="L1153">
        <v>7803</v>
      </c>
      <c r="M1153">
        <v>9537</v>
      </c>
      <c r="N1153" t="s">
        <v>30</v>
      </c>
      <c r="O1153" t="s">
        <v>23</v>
      </c>
      <c r="P1153" t="s">
        <v>24</v>
      </c>
    </row>
    <row r="1154" spans="1:16" x14ac:dyDescent="0.3">
      <c r="A1154" t="s">
        <v>1226</v>
      </c>
      <c r="B1154" s="1">
        <v>45592</v>
      </c>
      <c r="C1154" t="s">
        <v>26</v>
      </c>
      <c r="D1154" t="s">
        <v>69</v>
      </c>
      <c r="E1154" t="s">
        <v>52</v>
      </c>
      <c r="F1154" t="s">
        <v>33</v>
      </c>
      <c r="G1154" t="s">
        <v>39</v>
      </c>
      <c r="H1154">
        <v>42</v>
      </c>
      <c r="I1154">
        <v>5000</v>
      </c>
      <c r="J1154">
        <v>15</v>
      </c>
      <c r="K1154">
        <v>178500</v>
      </c>
      <c r="L1154">
        <v>89250</v>
      </c>
      <c r="M1154">
        <v>89250</v>
      </c>
      <c r="N1154" t="s">
        <v>30</v>
      </c>
      <c r="O1154" t="s">
        <v>50</v>
      </c>
      <c r="P1154" t="s">
        <v>24</v>
      </c>
    </row>
    <row r="1155" spans="1:16" x14ac:dyDescent="0.3">
      <c r="A1155" t="s">
        <v>1227</v>
      </c>
      <c r="B1155" s="1">
        <v>44823</v>
      </c>
      <c r="C1155" t="s">
        <v>58</v>
      </c>
      <c r="D1155" t="s">
        <v>64</v>
      </c>
      <c r="E1155" t="s">
        <v>60</v>
      </c>
      <c r="F1155" t="s">
        <v>28</v>
      </c>
      <c r="G1155" t="s">
        <v>85</v>
      </c>
      <c r="H1155">
        <v>42</v>
      </c>
      <c r="I1155">
        <v>8000</v>
      </c>
      <c r="J1155">
        <v>15</v>
      </c>
      <c r="K1155">
        <v>285600</v>
      </c>
      <c r="L1155">
        <v>157080</v>
      </c>
      <c r="M1155">
        <v>128520</v>
      </c>
      <c r="N1155" t="s">
        <v>30</v>
      </c>
      <c r="O1155" t="s">
        <v>50</v>
      </c>
      <c r="P1155" t="s">
        <v>24</v>
      </c>
    </row>
    <row r="1156" spans="1:16" x14ac:dyDescent="0.3">
      <c r="A1156" t="s">
        <v>1228</v>
      </c>
      <c r="B1156" s="1">
        <v>45391</v>
      </c>
      <c r="C1156" t="s">
        <v>26</v>
      </c>
      <c r="D1156" t="s">
        <v>69</v>
      </c>
      <c r="E1156" t="s">
        <v>111</v>
      </c>
      <c r="F1156" t="s">
        <v>33</v>
      </c>
      <c r="G1156" t="s">
        <v>48</v>
      </c>
      <c r="H1156">
        <v>46</v>
      </c>
      <c r="I1156">
        <v>1500</v>
      </c>
      <c r="J1156">
        <v>10</v>
      </c>
      <c r="K1156">
        <v>62100</v>
      </c>
      <c r="L1156">
        <v>31050</v>
      </c>
      <c r="M1156">
        <v>31050</v>
      </c>
      <c r="N1156" t="s">
        <v>49</v>
      </c>
      <c r="O1156" t="s">
        <v>35</v>
      </c>
      <c r="P1156" t="s">
        <v>40</v>
      </c>
    </row>
    <row r="1157" spans="1:16" x14ac:dyDescent="0.3">
      <c r="A1157" t="s">
        <v>1229</v>
      </c>
      <c r="B1157" s="1">
        <v>44909</v>
      </c>
      <c r="C1157" t="s">
        <v>58</v>
      </c>
      <c r="D1157" t="s">
        <v>64</v>
      </c>
      <c r="E1157" t="s">
        <v>52</v>
      </c>
      <c r="F1157" t="s">
        <v>20</v>
      </c>
      <c r="G1157" t="s">
        <v>21</v>
      </c>
      <c r="H1157">
        <v>22</v>
      </c>
      <c r="I1157">
        <v>3500</v>
      </c>
      <c r="J1157">
        <v>20</v>
      </c>
      <c r="K1157">
        <v>61600</v>
      </c>
      <c r="L1157">
        <v>24640</v>
      </c>
      <c r="M1157">
        <v>36960</v>
      </c>
      <c r="N1157" t="s">
        <v>30</v>
      </c>
      <c r="O1157" t="s">
        <v>67</v>
      </c>
      <c r="P1157" t="s">
        <v>24</v>
      </c>
    </row>
    <row r="1158" spans="1:16" x14ac:dyDescent="0.3">
      <c r="A1158" t="s">
        <v>1230</v>
      </c>
      <c r="B1158" s="1">
        <v>45457</v>
      </c>
      <c r="C1158" t="s">
        <v>26</v>
      </c>
      <c r="D1158" t="s">
        <v>69</v>
      </c>
      <c r="E1158" t="s">
        <v>73</v>
      </c>
      <c r="F1158" t="s">
        <v>28</v>
      </c>
      <c r="G1158" t="s">
        <v>95</v>
      </c>
      <c r="H1158">
        <v>32</v>
      </c>
      <c r="I1158">
        <v>75000</v>
      </c>
      <c r="J1158">
        <v>15</v>
      </c>
      <c r="K1158">
        <v>2040000</v>
      </c>
      <c r="L1158">
        <v>1122000</v>
      </c>
      <c r="M1158">
        <v>918000</v>
      </c>
      <c r="N1158" t="s">
        <v>30</v>
      </c>
      <c r="O1158" t="s">
        <v>67</v>
      </c>
      <c r="P1158" t="s">
        <v>24</v>
      </c>
    </row>
    <row r="1159" spans="1:16" x14ac:dyDescent="0.3">
      <c r="A1159" t="s">
        <v>1231</v>
      </c>
      <c r="B1159" s="1">
        <v>45269</v>
      </c>
      <c r="C1159" t="s">
        <v>58</v>
      </c>
      <c r="D1159" t="s">
        <v>59</v>
      </c>
      <c r="E1159" t="s">
        <v>73</v>
      </c>
      <c r="F1159" t="s">
        <v>28</v>
      </c>
      <c r="G1159" t="s">
        <v>29</v>
      </c>
      <c r="H1159">
        <v>18</v>
      </c>
      <c r="I1159">
        <v>15000</v>
      </c>
      <c r="J1159">
        <v>5</v>
      </c>
      <c r="K1159">
        <v>256500</v>
      </c>
      <c r="L1159">
        <v>141075</v>
      </c>
      <c r="M1159">
        <v>115425</v>
      </c>
      <c r="N1159" t="s">
        <v>49</v>
      </c>
      <c r="O1159" t="s">
        <v>23</v>
      </c>
      <c r="P1159" t="s">
        <v>24</v>
      </c>
    </row>
    <row r="1160" spans="1:16" x14ac:dyDescent="0.3">
      <c r="A1160" t="s">
        <v>1232</v>
      </c>
      <c r="B1160" s="1">
        <v>44607</v>
      </c>
      <c r="C1160" t="s">
        <v>17</v>
      </c>
      <c r="D1160" t="s">
        <v>37</v>
      </c>
      <c r="E1160" t="s">
        <v>56</v>
      </c>
      <c r="F1160" t="s">
        <v>28</v>
      </c>
      <c r="G1160" t="s">
        <v>71</v>
      </c>
      <c r="H1160">
        <v>47</v>
      </c>
      <c r="I1160">
        <v>35000</v>
      </c>
      <c r="J1160">
        <v>0</v>
      </c>
      <c r="K1160">
        <v>1645000</v>
      </c>
      <c r="L1160">
        <v>904750</v>
      </c>
      <c r="M1160">
        <v>740250</v>
      </c>
      <c r="N1160" t="s">
        <v>22</v>
      </c>
      <c r="O1160" t="s">
        <v>23</v>
      </c>
      <c r="P1160" t="s">
        <v>40</v>
      </c>
    </row>
    <row r="1161" spans="1:16" x14ac:dyDescent="0.3">
      <c r="A1161" t="s">
        <v>1233</v>
      </c>
      <c r="B1161" s="1">
        <v>45022</v>
      </c>
      <c r="C1161" t="s">
        <v>26</v>
      </c>
      <c r="D1161" t="s">
        <v>27</v>
      </c>
      <c r="E1161" t="s">
        <v>78</v>
      </c>
      <c r="F1161" t="s">
        <v>20</v>
      </c>
      <c r="G1161" t="s">
        <v>115</v>
      </c>
      <c r="H1161">
        <v>28</v>
      </c>
      <c r="I1161">
        <v>2500</v>
      </c>
      <c r="J1161">
        <v>10</v>
      </c>
      <c r="K1161">
        <v>63000</v>
      </c>
      <c r="L1161">
        <v>25200</v>
      </c>
      <c r="M1161">
        <v>37800</v>
      </c>
      <c r="N1161" t="s">
        <v>49</v>
      </c>
      <c r="O1161" t="s">
        <v>67</v>
      </c>
      <c r="P1161" t="s">
        <v>24</v>
      </c>
    </row>
    <row r="1162" spans="1:16" x14ac:dyDescent="0.3">
      <c r="A1162" t="s">
        <v>1234</v>
      </c>
      <c r="B1162" s="1">
        <v>45043</v>
      </c>
      <c r="C1162" t="s">
        <v>58</v>
      </c>
      <c r="D1162" t="s">
        <v>84</v>
      </c>
      <c r="E1162" t="s">
        <v>52</v>
      </c>
      <c r="F1162" t="s">
        <v>33</v>
      </c>
      <c r="G1162" t="s">
        <v>34</v>
      </c>
      <c r="H1162">
        <v>3</v>
      </c>
      <c r="I1162">
        <v>25000</v>
      </c>
      <c r="J1162">
        <v>5</v>
      </c>
      <c r="K1162">
        <v>71250</v>
      </c>
      <c r="L1162">
        <v>35625</v>
      </c>
      <c r="M1162">
        <v>35625</v>
      </c>
      <c r="N1162" t="s">
        <v>22</v>
      </c>
      <c r="O1162" t="s">
        <v>35</v>
      </c>
      <c r="P1162" t="s">
        <v>40</v>
      </c>
    </row>
    <row r="1163" spans="1:16" x14ac:dyDescent="0.3">
      <c r="A1163" t="s">
        <v>1235</v>
      </c>
      <c r="B1163" s="1">
        <v>45308</v>
      </c>
      <c r="C1163" t="s">
        <v>26</v>
      </c>
      <c r="D1163" t="s">
        <v>69</v>
      </c>
      <c r="E1163" t="s">
        <v>73</v>
      </c>
      <c r="F1163" t="s">
        <v>65</v>
      </c>
      <c r="G1163" t="s">
        <v>66</v>
      </c>
      <c r="H1163">
        <v>2</v>
      </c>
      <c r="I1163">
        <v>5500</v>
      </c>
      <c r="J1163">
        <v>5</v>
      </c>
      <c r="K1163">
        <v>10450</v>
      </c>
      <c r="L1163">
        <v>4702.5</v>
      </c>
      <c r="M1163">
        <v>5747.5</v>
      </c>
      <c r="N1163" t="s">
        <v>22</v>
      </c>
      <c r="O1163" t="s">
        <v>35</v>
      </c>
      <c r="P1163" t="s">
        <v>24</v>
      </c>
    </row>
    <row r="1164" spans="1:16" x14ac:dyDescent="0.3">
      <c r="A1164" t="s">
        <v>1236</v>
      </c>
      <c r="B1164" s="1">
        <v>45386</v>
      </c>
      <c r="C1164" t="s">
        <v>46</v>
      </c>
      <c r="D1164" t="s">
        <v>55</v>
      </c>
      <c r="E1164" t="s">
        <v>73</v>
      </c>
      <c r="F1164" t="s">
        <v>20</v>
      </c>
      <c r="G1164" t="s">
        <v>21</v>
      </c>
      <c r="H1164">
        <v>24</v>
      </c>
      <c r="I1164">
        <v>3500</v>
      </c>
      <c r="J1164">
        <v>20</v>
      </c>
      <c r="K1164">
        <v>67200</v>
      </c>
      <c r="L1164">
        <v>26880</v>
      </c>
      <c r="M1164">
        <v>40320</v>
      </c>
      <c r="N1164" t="s">
        <v>30</v>
      </c>
      <c r="O1164" t="s">
        <v>23</v>
      </c>
      <c r="P1164" t="s">
        <v>24</v>
      </c>
    </row>
    <row r="1165" spans="1:16" x14ac:dyDescent="0.3">
      <c r="A1165" t="s">
        <v>1237</v>
      </c>
      <c r="B1165" s="1">
        <v>45101</v>
      </c>
      <c r="C1165" t="s">
        <v>46</v>
      </c>
      <c r="D1165" t="s">
        <v>55</v>
      </c>
      <c r="E1165" t="s">
        <v>111</v>
      </c>
      <c r="F1165" t="s">
        <v>28</v>
      </c>
      <c r="G1165" t="s">
        <v>29</v>
      </c>
      <c r="H1165">
        <v>26</v>
      </c>
      <c r="I1165">
        <v>15000</v>
      </c>
      <c r="J1165">
        <v>5</v>
      </c>
      <c r="K1165">
        <v>370500</v>
      </c>
      <c r="L1165">
        <v>203775</v>
      </c>
      <c r="M1165">
        <v>166725</v>
      </c>
      <c r="N1165" t="s">
        <v>49</v>
      </c>
      <c r="O1165" t="s">
        <v>35</v>
      </c>
      <c r="P1165" t="s">
        <v>24</v>
      </c>
    </row>
    <row r="1166" spans="1:16" x14ac:dyDescent="0.3">
      <c r="A1166" t="s">
        <v>1238</v>
      </c>
      <c r="B1166" s="1">
        <v>45358</v>
      </c>
      <c r="C1166" t="s">
        <v>26</v>
      </c>
      <c r="D1166" t="s">
        <v>69</v>
      </c>
      <c r="E1166" t="s">
        <v>78</v>
      </c>
      <c r="F1166" t="s">
        <v>33</v>
      </c>
      <c r="G1166" t="s">
        <v>34</v>
      </c>
      <c r="H1166">
        <v>30</v>
      </c>
      <c r="I1166">
        <v>25000</v>
      </c>
      <c r="J1166">
        <v>20</v>
      </c>
      <c r="K1166">
        <v>600000</v>
      </c>
      <c r="L1166">
        <v>300000</v>
      </c>
      <c r="M1166">
        <v>300000</v>
      </c>
      <c r="N1166" t="s">
        <v>30</v>
      </c>
      <c r="O1166" t="s">
        <v>44</v>
      </c>
      <c r="P1166" t="s">
        <v>24</v>
      </c>
    </row>
    <row r="1167" spans="1:16" x14ac:dyDescent="0.3">
      <c r="A1167" t="s">
        <v>1239</v>
      </c>
      <c r="B1167" s="1">
        <v>44986</v>
      </c>
      <c r="C1167" t="s">
        <v>17</v>
      </c>
      <c r="D1167" t="s">
        <v>18</v>
      </c>
      <c r="E1167" t="s">
        <v>52</v>
      </c>
      <c r="F1167" t="s">
        <v>33</v>
      </c>
      <c r="G1167" t="s">
        <v>43</v>
      </c>
      <c r="H1167">
        <v>30</v>
      </c>
      <c r="I1167">
        <v>4000</v>
      </c>
      <c r="J1167">
        <v>20</v>
      </c>
      <c r="K1167">
        <v>96000</v>
      </c>
      <c r="L1167">
        <v>48000</v>
      </c>
      <c r="M1167">
        <v>48000</v>
      </c>
      <c r="N1167" t="s">
        <v>22</v>
      </c>
      <c r="O1167" t="s">
        <v>67</v>
      </c>
      <c r="P1167" t="s">
        <v>24</v>
      </c>
    </row>
    <row r="1168" spans="1:16" x14ac:dyDescent="0.3">
      <c r="A1168" t="s">
        <v>1240</v>
      </c>
      <c r="B1168" s="1">
        <v>45217</v>
      </c>
      <c r="C1168" t="s">
        <v>58</v>
      </c>
      <c r="D1168" t="s">
        <v>59</v>
      </c>
      <c r="E1168" t="s">
        <v>111</v>
      </c>
      <c r="F1168" t="s">
        <v>28</v>
      </c>
      <c r="G1168" t="s">
        <v>71</v>
      </c>
      <c r="H1168">
        <v>22</v>
      </c>
      <c r="I1168">
        <v>35000</v>
      </c>
      <c r="J1168">
        <v>10</v>
      </c>
      <c r="K1168">
        <v>693000</v>
      </c>
      <c r="L1168">
        <v>381150</v>
      </c>
      <c r="M1168">
        <v>311850</v>
      </c>
      <c r="N1168" t="s">
        <v>49</v>
      </c>
      <c r="O1168" t="s">
        <v>44</v>
      </c>
      <c r="P1168" t="s">
        <v>24</v>
      </c>
    </row>
    <row r="1169" spans="1:16" x14ac:dyDescent="0.3">
      <c r="A1169" t="s">
        <v>1241</v>
      </c>
      <c r="B1169" s="1">
        <v>45471</v>
      </c>
      <c r="C1169" t="s">
        <v>58</v>
      </c>
      <c r="D1169" t="s">
        <v>84</v>
      </c>
      <c r="E1169" t="s">
        <v>111</v>
      </c>
      <c r="F1169" t="s">
        <v>20</v>
      </c>
      <c r="G1169" t="s">
        <v>115</v>
      </c>
      <c r="H1169">
        <v>17</v>
      </c>
      <c r="I1169">
        <v>2500</v>
      </c>
      <c r="J1169">
        <v>15</v>
      </c>
      <c r="K1169">
        <v>36125</v>
      </c>
      <c r="L1169">
        <v>14450</v>
      </c>
      <c r="M1169">
        <v>21675</v>
      </c>
      <c r="N1169" t="s">
        <v>22</v>
      </c>
      <c r="O1169" t="s">
        <v>67</v>
      </c>
      <c r="P1169" t="s">
        <v>24</v>
      </c>
    </row>
    <row r="1170" spans="1:16" x14ac:dyDescent="0.3">
      <c r="A1170" t="s">
        <v>1242</v>
      </c>
      <c r="B1170" s="1">
        <v>44733</v>
      </c>
      <c r="C1170" t="s">
        <v>58</v>
      </c>
      <c r="D1170" t="s">
        <v>64</v>
      </c>
      <c r="E1170" t="s">
        <v>70</v>
      </c>
      <c r="F1170" t="s">
        <v>28</v>
      </c>
      <c r="G1170" t="s">
        <v>87</v>
      </c>
      <c r="H1170">
        <v>48</v>
      </c>
      <c r="I1170">
        <v>45000</v>
      </c>
      <c r="J1170">
        <v>20</v>
      </c>
      <c r="K1170">
        <v>1728000</v>
      </c>
      <c r="L1170">
        <v>950400</v>
      </c>
      <c r="M1170">
        <v>777600</v>
      </c>
      <c r="N1170" t="s">
        <v>49</v>
      </c>
      <c r="O1170" t="s">
        <v>50</v>
      </c>
      <c r="P1170" t="s">
        <v>24</v>
      </c>
    </row>
    <row r="1171" spans="1:16" x14ac:dyDescent="0.3">
      <c r="A1171" t="s">
        <v>1243</v>
      </c>
      <c r="B1171" s="1">
        <v>45184</v>
      </c>
      <c r="C1171" t="s">
        <v>58</v>
      </c>
      <c r="D1171" t="s">
        <v>84</v>
      </c>
      <c r="E1171" t="s">
        <v>78</v>
      </c>
      <c r="F1171" t="s">
        <v>20</v>
      </c>
      <c r="G1171" t="s">
        <v>53</v>
      </c>
      <c r="H1171">
        <v>23</v>
      </c>
      <c r="I1171">
        <v>600</v>
      </c>
      <c r="J1171">
        <v>20</v>
      </c>
      <c r="K1171">
        <v>11040</v>
      </c>
      <c r="L1171">
        <v>4416</v>
      </c>
      <c r="M1171">
        <v>6624</v>
      </c>
      <c r="N1171" t="s">
        <v>49</v>
      </c>
      <c r="O1171" t="s">
        <v>35</v>
      </c>
      <c r="P1171" t="s">
        <v>24</v>
      </c>
    </row>
    <row r="1172" spans="1:16" x14ac:dyDescent="0.3">
      <c r="A1172" t="s">
        <v>1244</v>
      </c>
      <c r="B1172" s="1">
        <v>45125</v>
      </c>
      <c r="C1172" t="s">
        <v>58</v>
      </c>
      <c r="D1172" t="s">
        <v>84</v>
      </c>
      <c r="E1172" t="s">
        <v>32</v>
      </c>
      <c r="F1172" t="s">
        <v>20</v>
      </c>
      <c r="G1172" t="s">
        <v>115</v>
      </c>
      <c r="H1172">
        <v>39</v>
      </c>
      <c r="I1172">
        <v>2500</v>
      </c>
      <c r="J1172">
        <v>0</v>
      </c>
      <c r="K1172">
        <v>97500</v>
      </c>
      <c r="L1172">
        <v>39000</v>
      </c>
      <c r="M1172">
        <v>58500</v>
      </c>
      <c r="N1172" t="s">
        <v>49</v>
      </c>
      <c r="O1172" t="s">
        <v>44</v>
      </c>
      <c r="P1172" t="s">
        <v>24</v>
      </c>
    </row>
    <row r="1173" spans="1:16" x14ac:dyDescent="0.3">
      <c r="A1173" t="s">
        <v>1245</v>
      </c>
      <c r="B1173" s="1">
        <v>44961</v>
      </c>
      <c r="C1173" t="s">
        <v>17</v>
      </c>
      <c r="D1173" t="s">
        <v>18</v>
      </c>
      <c r="E1173" t="s">
        <v>78</v>
      </c>
      <c r="F1173" t="s">
        <v>65</v>
      </c>
      <c r="G1173" t="s">
        <v>79</v>
      </c>
      <c r="H1173">
        <v>27</v>
      </c>
      <c r="I1173">
        <v>900</v>
      </c>
      <c r="J1173">
        <v>10</v>
      </c>
      <c r="K1173">
        <v>21870</v>
      </c>
      <c r="L1173">
        <v>9841.5</v>
      </c>
      <c r="M1173">
        <v>12028.5</v>
      </c>
      <c r="N1173" t="s">
        <v>49</v>
      </c>
      <c r="O1173" t="s">
        <v>67</v>
      </c>
      <c r="P1173" t="s">
        <v>24</v>
      </c>
    </row>
    <row r="1174" spans="1:16" x14ac:dyDescent="0.3">
      <c r="A1174" t="s">
        <v>1246</v>
      </c>
      <c r="B1174" s="1">
        <v>45088</v>
      </c>
      <c r="C1174" t="s">
        <v>17</v>
      </c>
      <c r="D1174" t="s">
        <v>42</v>
      </c>
      <c r="E1174" t="s">
        <v>52</v>
      </c>
      <c r="F1174" t="s">
        <v>33</v>
      </c>
      <c r="G1174" t="s">
        <v>43</v>
      </c>
      <c r="H1174">
        <v>35</v>
      </c>
      <c r="I1174">
        <v>4000</v>
      </c>
      <c r="J1174">
        <v>20</v>
      </c>
      <c r="K1174">
        <v>112000</v>
      </c>
      <c r="L1174">
        <v>56000</v>
      </c>
      <c r="M1174">
        <v>56000</v>
      </c>
      <c r="N1174" t="s">
        <v>30</v>
      </c>
      <c r="O1174" t="s">
        <v>23</v>
      </c>
      <c r="P1174" t="s">
        <v>24</v>
      </c>
    </row>
    <row r="1175" spans="1:16" x14ac:dyDescent="0.3">
      <c r="A1175" t="s">
        <v>1247</v>
      </c>
      <c r="B1175" s="1">
        <v>45529</v>
      </c>
      <c r="C1175" t="s">
        <v>58</v>
      </c>
      <c r="D1175" t="s">
        <v>59</v>
      </c>
      <c r="E1175" t="s">
        <v>60</v>
      </c>
      <c r="F1175" t="s">
        <v>20</v>
      </c>
      <c r="G1175" t="s">
        <v>74</v>
      </c>
      <c r="H1175">
        <v>26</v>
      </c>
      <c r="I1175">
        <v>4200</v>
      </c>
      <c r="J1175">
        <v>10</v>
      </c>
      <c r="K1175">
        <v>98280</v>
      </c>
      <c r="L1175">
        <v>39312</v>
      </c>
      <c r="M1175">
        <v>58968</v>
      </c>
      <c r="N1175" t="s">
        <v>22</v>
      </c>
      <c r="O1175" t="s">
        <v>50</v>
      </c>
      <c r="P1175" t="s">
        <v>24</v>
      </c>
    </row>
    <row r="1176" spans="1:16" x14ac:dyDescent="0.3">
      <c r="A1176" t="s">
        <v>1248</v>
      </c>
      <c r="B1176" s="1">
        <v>45464</v>
      </c>
      <c r="C1176" t="s">
        <v>46</v>
      </c>
      <c r="D1176" t="s">
        <v>47</v>
      </c>
      <c r="E1176" t="s">
        <v>32</v>
      </c>
      <c r="F1176" t="s">
        <v>65</v>
      </c>
      <c r="G1176" t="s">
        <v>66</v>
      </c>
      <c r="H1176">
        <v>27</v>
      </c>
      <c r="I1176">
        <v>5500</v>
      </c>
      <c r="J1176">
        <v>5</v>
      </c>
      <c r="K1176">
        <v>141075</v>
      </c>
      <c r="L1176">
        <v>63483.75</v>
      </c>
      <c r="M1176">
        <v>77591.25</v>
      </c>
      <c r="N1176" t="s">
        <v>22</v>
      </c>
      <c r="O1176" t="s">
        <v>44</v>
      </c>
      <c r="P1176" t="s">
        <v>24</v>
      </c>
    </row>
    <row r="1177" spans="1:16" x14ac:dyDescent="0.3">
      <c r="A1177" t="s">
        <v>1249</v>
      </c>
      <c r="B1177" s="1">
        <v>44824</v>
      </c>
      <c r="C1177" t="s">
        <v>26</v>
      </c>
      <c r="D1177" t="s">
        <v>69</v>
      </c>
      <c r="E1177" t="s">
        <v>56</v>
      </c>
      <c r="F1177" t="s">
        <v>33</v>
      </c>
      <c r="G1177" t="s">
        <v>43</v>
      </c>
      <c r="H1177">
        <v>16</v>
      </c>
      <c r="I1177">
        <v>4000</v>
      </c>
      <c r="J1177">
        <v>5</v>
      </c>
      <c r="K1177">
        <v>60800</v>
      </c>
      <c r="L1177">
        <v>30400</v>
      </c>
      <c r="M1177">
        <v>30400</v>
      </c>
      <c r="N1177" t="s">
        <v>22</v>
      </c>
      <c r="O1177" t="s">
        <v>23</v>
      </c>
      <c r="P1177" t="s">
        <v>40</v>
      </c>
    </row>
    <row r="1178" spans="1:16" x14ac:dyDescent="0.3">
      <c r="A1178" t="s">
        <v>1250</v>
      </c>
      <c r="B1178" s="1">
        <v>44724</v>
      </c>
      <c r="C1178" t="s">
        <v>26</v>
      </c>
      <c r="D1178" t="s">
        <v>69</v>
      </c>
      <c r="E1178" t="s">
        <v>111</v>
      </c>
      <c r="F1178" t="s">
        <v>20</v>
      </c>
      <c r="G1178" t="s">
        <v>74</v>
      </c>
      <c r="H1178">
        <v>30</v>
      </c>
      <c r="I1178">
        <v>4200</v>
      </c>
      <c r="J1178">
        <v>10</v>
      </c>
      <c r="K1178">
        <v>113400</v>
      </c>
      <c r="L1178">
        <v>45360</v>
      </c>
      <c r="M1178">
        <v>68040</v>
      </c>
      <c r="N1178" t="s">
        <v>30</v>
      </c>
      <c r="O1178" t="s">
        <v>23</v>
      </c>
      <c r="P1178" t="s">
        <v>24</v>
      </c>
    </row>
    <row r="1179" spans="1:16" x14ac:dyDescent="0.3">
      <c r="A1179" t="s">
        <v>1251</v>
      </c>
      <c r="B1179" s="1">
        <v>44937</v>
      </c>
      <c r="C1179" t="s">
        <v>46</v>
      </c>
      <c r="D1179" t="s">
        <v>55</v>
      </c>
      <c r="E1179" t="s">
        <v>52</v>
      </c>
      <c r="F1179" t="s">
        <v>28</v>
      </c>
      <c r="G1179" t="s">
        <v>87</v>
      </c>
      <c r="H1179">
        <v>37</v>
      </c>
      <c r="I1179">
        <v>45000</v>
      </c>
      <c r="J1179">
        <v>15</v>
      </c>
      <c r="K1179">
        <v>1415250</v>
      </c>
      <c r="L1179">
        <v>778387.5</v>
      </c>
      <c r="M1179">
        <v>636862.5</v>
      </c>
      <c r="N1179" t="s">
        <v>30</v>
      </c>
      <c r="O1179" t="s">
        <v>67</v>
      </c>
      <c r="P1179" t="s">
        <v>24</v>
      </c>
    </row>
    <row r="1180" spans="1:16" x14ac:dyDescent="0.3">
      <c r="A1180" t="s">
        <v>1252</v>
      </c>
      <c r="B1180" s="1">
        <v>45420</v>
      </c>
      <c r="C1180" t="s">
        <v>46</v>
      </c>
      <c r="D1180" t="s">
        <v>55</v>
      </c>
      <c r="E1180" t="s">
        <v>111</v>
      </c>
      <c r="F1180" t="s">
        <v>28</v>
      </c>
      <c r="G1180" t="s">
        <v>29</v>
      </c>
      <c r="H1180">
        <v>22</v>
      </c>
      <c r="I1180">
        <v>15000</v>
      </c>
      <c r="J1180">
        <v>5</v>
      </c>
      <c r="K1180">
        <v>313500</v>
      </c>
      <c r="L1180">
        <v>172425</v>
      </c>
      <c r="M1180">
        <v>141075</v>
      </c>
      <c r="N1180" t="s">
        <v>49</v>
      </c>
      <c r="O1180" t="s">
        <v>35</v>
      </c>
      <c r="P1180" t="s">
        <v>24</v>
      </c>
    </row>
    <row r="1181" spans="1:16" x14ac:dyDescent="0.3">
      <c r="A1181" t="s">
        <v>1253</v>
      </c>
      <c r="B1181" s="1">
        <v>44585</v>
      </c>
      <c r="C1181" t="s">
        <v>26</v>
      </c>
      <c r="D1181" t="s">
        <v>69</v>
      </c>
      <c r="E1181" t="s">
        <v>111</v>
      </c>
      <c r="F1181" t="s">
        <v>65</v>
      </c>
      <c r="G1181" t="s">
        <v>66</v>
      </c>
      <c r="H1181">
        <v>5</v>
      </c>
      <c r="I1181">
        <v>5500</v>
      </c>
      <c r="J1181">
        <v>15</v>
      </c>
      <c r="K1181">
        <v>23375</v>
      </c>
      <c r="L1181">
        <v>10518.75</v>
      </c>
      <c r="M1181">
        <v>12856.25</v>
      </c>
      <c r="N1181" t="s">
        <v>22</v>
      </c>
      <c r="O1181" t="s">
        <v>67</v>
      </c>
      <c r="P1181" t="s">
        <v>24</v>
      </c>
    </row>
    <row r="1182" spans="1:16" x14ac:dyDescent="0.3">
      <c r="A1182" t="s">
        <v>1254</v>
      </c>
      <c r="B1182" s="1">
        <v>44796</v>
      </c>
      <c r="C1182" t="s">
        <v>26</v>
      </c>
      <c r="D1182" t="s">
        <v>69</v>
      </c>
      <c r="E1182" t="s">
        <v>60</v>
      </c>
      <c r="F1182" t="s">
        <v>28</v>
      </c>
      <c r="G1182" t="s">
        <v>71</v>
      </c>
      <c r="H1182">
        <v>26</v>
      </c>
      <c r="I1182">
        <v>35000</v>
      </c>
      <c r="J1182">
        <v>0</v>
      </c>
      <c r="K1182">
        <v>910000</v>
      </c>
      <c r="L1182">
        <v>500500</v>
      </c>
      <c r="M1182">
        <v>409500</v>
      </c>
      <c r="N1182" t="s">
        <v>49</v>
      </c>
      <c r="O1182" t="s">
        <v>67</v>
      </c>
      <c r="P1182" t="s">
        <v>24</v>
      </c>
    </row>
    <row r="1183" spans="1:16" x14ac:dyDescent="0.3">
      <c r="A1183" t="s">
        <v>1255</v>
      </c>
      <c r="B1183" s="1">
        <v>45426</v>
      </c>
      <c r="C1183" t="s">
        <v>26</v>
      </c>
      <c r="D1183" t="s">
        <v>27</v>
      </c>
      <c r="E1183" t="s">
        <v>78</v>
      </c>
      <c r="F1183" t="s">
        <v>33</v>
      </c>
      <c r="G1183" t="s">
        <v>43</v>
      </c>
      <c r="H1183">
        <v>49</v>
      </c>
      <c r="I1183">
        <v>4000</v>
      </c>
      <c r="J1183">
        <v>0</v>
      </c>
      <c r="K1183">
        <v>196000</v>
      </c>
      <c r="L1183">
        <v>98000</v>
      </c>
      <c r="M1183">
        <v>98000</v>
      </c>
      <c r="N1183" t="s">
        <v>49</v>
      </c>
      <c r="O1183" t="s">
        <v>23</v>
      </c>
      <c r="P1183" t="s">
        <v>24</v>
      </c>
    </row>
    <row r="1184" spans="1:16" x14ac:dyDescent="0.3">
      <c r="A1184" t="s">
        <v>1256</v>
      </c>
      <c r="B1184" s="1">
        <v>45204</v>
      </c>
      <c r="C1184" t="s">
        <v>46</v>
      </c>
      <c r="D1184" t="s">
        <v>55</v>
      </c>
      <c r="E1184" t="s">
        <v>19</v>
      </c>
      <c r="F1184" t="s">
        <v>33</v>
      </c>
      <c r="G1184" t="s">
        <v>39</v>
      </c>
      <c r="H1184">
        <v>22</v>
      </c>
      <c r="I1184">
        <v>5000</v>
      </c>
      <c r="J1184">
        <v>0</v>
      </c>
      <c r="K1184">
        <v>110000</v>
      </c>
      <c r="L1184">
        <v>55000</v>
      </c>
      <c r="M1184">
        <v>55000</v>
      </c>
      <c r="N1184" t="s">
        <v>22</v>
      </c>
      <c r="O1184" t="s">
        <v>23</v>
      </c>
      <c r="P1184" t="s">
        <v>24</v>
      </c>
    </row>
    <row r="1185" spans="1:16" x14ac:dyDescent="0.3">
      <c r="A1185" t="s">
        <v>1257</v>
      </c>
      <c r="B1185" s="1">
        <v>45041</v>
      </c>
      <c r="C1185" t="s">
        <v>17</v>
      </c>
      <c r="D1185" t="s">
        <v>37</v>
      </c>
      <c r="E1185" t="s">
        <v>73</v>
      </c>
      <c r="F1185" t="s">
        <v>65</v>
      </c>
      <c r="G1185" t="s">
        <v>124</v>
      </c>
      <c r="H1185">
        <v>29</v>
      </c>
      <c r="I1185">
        <v>18000</v>
      </c>
      <c r="J1185">
        <v>10</v>
      </c>
      <c r="K1185">
        <v>469800</v>
      </c>
      <c r="L1185">
        <v>211410</v>
      </c>
      <c r="M1185">
        <v>258390</v>
      </c>
      <c r="N1185" t="s">
        <v>49</v>
      </c>
      <c r="O1185" t="s">
        <v>67</v>
      </c>
      <c r="P1185" t="s">
        <v>40</v>
      </c>
    </row>
    <row r="1186" spans="1:16" x14ac:dyDescent="0.3">
      <c r="A1186" t="s">
        <v>1258</v>
      </c>
      <c r="B1186" s="1">
        <v>44645</v>
      </c>
      <c r="C1186" t="s">
        <v>46</v>
      </c>
      <c r="D1186" t="s">
        <v>47</v>
      </c>
      <c r="E1186" t="s">
        <v>111</v>
      </c>
      <c r="F1186" t="s">
        <v>33</v>
      </c>
      <c r="G1186" t="s">
        <v>39</v>
      </c>
      <c r="H1186">
        <v>15</v>
      </c>
      <c r="I1186">
        <v>5000</v>
      </c>
      <c r="J1186">
        <v>10</v>
      </c>
      <c r="K1186">
        <v>67500</v>
      </c>
      <c r="L1186">
        <v>33750</v>
      </c>
      <c r="M1186">
        <v>33750</v>
      </c>
      <c r="N1186" t="s">
        <v>49</v>
      </c>
      <c r="O1186" t="s">
        <v>50</v>
      </c>
      <c r="P1186" t="s">
        <v>40</v>
      </c>
    </row>
    <row r="1187" spans="1:16" x14ac:dyDescent="0.3">
      <c r="A1187" t="s">
        <v>1259</v>
      </c>
      <c r="B1187" s="1">
        <v>45161</v>
      </c>
      <c r="C1187" t="s">
        <v>46</v>
      </c>
      <c r="D1187" t="s">
        <v>55</v>
      </c>
      <c r="E1187" t="s">
        <v>60</v>
      </c>
      <c r="F1187" t="s">
        <v>65</v>
      </c>
      <c r="G1187" t="s">
        <v>124</v>
      </c>
      <c r="H1187">
        <v>10</v>
      </c>
      <c r="I1187">
        <v>18000</v>
      </c>
      <c r="J1187">
        <v>5</v>
      </c>
      <c r="K1187">
        <v>171000</v>
      </c>
      <c r="L1187">
        <v>76950</v>
      </c>
      <c r="M1187">
        <v>94050</v>
      </c>
      <c r="N1187" t="s">
        <v>22</v>
      </c>
      <c r="O1187" t="s">
        <v>50</v>
      </c>
      <c r="P1187" t="s">
        <v>24</v>
      </c>
    </row>
    <row r="1188" spans="1:16" x14ac:dyDescent="0.3">
      <c r="A1188" t="s">
        <v>1260</v>
      </c>
      <c r="B1188" s="1">
        <v>45300</v>
      </c>
      <c r="C1188" t="s">
        <v>46</v>
      </c>
      <c r="D1188" t="s">
        <v>47</v>
      </c>
      <c r="E1188" t="s">
        <v>19</v>
      </c>
      <c r="F1188" t="s">
        <v>33</v>
      </c>
      <c r="G1188" t="s">
        <v>76</v>
      </c>
      <c r="H1188">
        <v>38</v>
      </c>
      <c r="I1188">
        <v>8500</v>
      </c>
      <c r="J1188">
        <v>0</v>
      </c>
      <c r="K1188">
        <v>323000</v>
      </c>
      <c r="L1188">
        <v>161500</v>
      </c>
      <c r="M1188">
        <v>161500</v>
      </c>
      <c r="N1188" t="s">
        <v>49</v>
      </c>
      <c r="O1188" t="s">
        <v>67</v>
      </c>
      <c r="P1188" t="s">
        <v>24</v>
      </c>
    </row>
    <row r="1189" spans="1:16" x14ac:dyDescent="0.3">
      <c r="A1189" t="s">
        <v>1261</v>
      </c>
      <c r="B1189" s="1">
        <v>45578</v>
      </c>
      <c r="C1189" t="s">
        <v>58</v>
      </c>
      <c r="D1189" t="s">
        <v>64</v>
      </c>
      <c r="E1189" t="s">
        <v>78</v>
      </c>
      <c r="F1189" t="s">
        <v>33</v>
      </c>
      <c r="G1189" t="s">
        <v>76</v>
      </c>
      <c r="H1189">
        <v>38</v>
      </c>
      <c r="I1189">
        <v>8500</v>
      </c>
      <c r="J1189">
        <v>20</v>
      </c>
      <c r="K1189">
        <v>258400</v>
      </c>
      <c r="L1189">
        <v>129200</v>
      </c>
      <c r="M1189">
        <v>129200</v>
      </c>
      <c r="N1189" t="s">
        <v>22</v>
      </c>
      <c r="O1189" t="s">
        <v>50</v>
      </c>
      <c r="P1189" t="s">
        <v>24</v>
      </c>
    </row>
    <row r="1190" spans="1:16" x14ac:dyDescent="0.3">
      <c r="A1190" t="s">
        <v>1262</v>
      </c>
      <c r="B1190" s="1">
        <v>45319</v>
      </c>
      <c r="C1190" t="s">
        <v>58</v>
      </c>
      <c r="D1190" t="s">
        <v>64</v>
      </c>
      <c r="E1190" t="s">
        <v>78</v>
      </c>
      <c r="F1190" t="s">
        <v>65</v>
      </c>
      <c r="G1190" t="s">
        <v>104</v>
      </c>
      <c r="H1190">
        <v>31</v>
      </c>
      <c r="I1190">
        <v>3000</v>
      </c>
      <c r="J1190">
        <v>15</v>
      </c>
      <c r="K1190">
        <v>79050</v>
      </c>
      <c r="L1190">
        <v>35572.5</v>
      </c>
      <c r="M1190">
        <v>43477.5</v>
      </c>
      <c r="N1190" t="s">
        <v>22</v>
      </c>
      <c r="O1190" t="s">
        <v>35</v>
      </c>
      <c r="P1190" t="s">
        <v>24</v>
      </c>
    </row>
    <row r="1191" spans="1:16" x14ac:dyDescent="0.3">
      <c r="A1191" t="s">
        <v>1263</v>
      </c>
      <c r="B1191" s="1">
        <v>45207</v>
      </c>
      <c r="C1191" t="s">
        <v>17</v>
      </c>
      <c r="D1191" t="s">
        <v>18</v>
      </c>
      <c r="E1191" t="s">
        <v>19</v>
      </c>
      <c r="F1191" t="s">
        <v>20</v>
      </c>
      <c r="G1191" t="s">
        <v>61</v>
      </c>
      <c r="H1191">
        <v>39</v>
      </c>
      <c r="I1191">
        <v>800</v>
      </c>
      <c r="J1191">
        <v>0</v>
      </c>
      <c r="K1191">
        <v>31200</v>
      </c>
      <c r="L1191">
        <v>12480</v>
      </c>
      <c r="M1191">
        <v>18720</v>
      </c>
      <c r="N1191" t="s">
        <v>49</v>
      </c>
      <c r="O1191" t="s">
        <v>23</v>
      </c>
      <c r="P1191" t="s">
        <v>24</v>
      </c>
    </row>
    <row r="1192" spans="1:16" x14ac:dyDescent="0.3">
      <c r="A1192" t="s">
        <v>1264</v>
      </c>
      <c r="B1192" s="1">
        <v>45462</v>
      </c>
      <c r="C1192" t="s">
        <v>26</v>
      </c>
      <c r="D1192" t="s">
        <v>27</v>
      </c>
      <c r="E1192" t="s">
        <v>19</v>
      </c>
      <c r="F1192" t="s">
        <v>33</v>
      </c>
      <c r="G1192" t="s">
        <v>39</v>
      </c>
      <c r="H1192">
        <v>26</v>
      </c>
      <c r="I1192">
        <v>5000</v>
      </c>
      <c r="J1192">
        <v>0</v>
      </c>
      <c r="K1192">
        <v>130000</v>
      </c>
      <c r="L1192">
        <v>65000</v>
      </c>
      <c r="M1192">
        <v>65000</v>
      </c>
      <c r="N1192" t="s">
        <v>22</v>
      </c>
      <c r="O1192" t="s">
        <v>35</v>
      </c>
      <c r="P1192" t="s">
        <v>24</v>
      </c>
    </row>
    <row r="1193" spans="1:16" x14ac:dyDescent="0.3">
      <c r="A1193" t="s">
        <v>1265</v>
      </c>
      <c r="B1193" s="1">
        <v>45095</v>
      </c>
      <c r="C1193" t="s">
        <v>26</v>
      </c>
      <c r="D1193" t="s">
        <v>27</v>
      </c>
      <c r="E1193" t="s">
        <v>60</v>
      </c>
      <c r="F1193" t="s">
        <v>20</v>
      </c>
      <c r="G1193" t="s">
        <v>74</v>
      </c>
      <c r="H1193">
        <v>17</v>
      </c>
      <c r="I1193">
        <v>4200</v>
      </c>
      <c r="J1193">
        <v>5</v>
      </c>
      <c r="K1193">
        <v>67830</v>
      </c>
      <c r="L1193">
        <v>27132</v>
      </c>
      <c r="M1193">
        <v>40698</v>
      </c>
      <c r="N1193" t="s">
        <v>30</v>
      </c>
      <c r="O1193" t="s">
        <v>23</v>
      </c>
      <c r="P1193" t="s">
        <v>24</v>
      </c>
    </row>
    <row r="1194" spans="1:16" x14ac:dyDescent="0.3">
      <c r="A1194" t="s">
        <v>1266</v>
      </c>
      <c r="B1194" s="1">
        <v>44897</v>
      </c>
      <c r="C1194" t="s">
        <v>17</v>
      </c>
      <c r="D1194" t="s">
        <v>42</v>
      </c>
      <c r="E1194" t="s">
        <v>73</v>
      </c>
      <c r="F1194" t="s">
        <v>28</v>
      </c>
      <c r="G1194" t="s">
        <v>87</v>
      </c>
      <c r="H1194">
        <v>47</v>
      </c>
      <c r="I1194">
        <v>45000</v>
      </c>
      <c r="J1194">
        <v>0</v>
      </c>
      <c r="K1194">
        <v>2115000</v>
      </c>
      <c r="L1194">
        <v>1163250</v>
      </c>
      <c r="M1194">
        <v>951750</v>
      </c>
      <c r="N1194" t="s">
        <v>22</v>
      </c>
      <c r="O1194" t="s">
        <v>50</v>
      </c>
      <c r="P1194" t="s">
        <v>24</v>
      </c>
    </row>
    <row r="1195" spans="1:16" x14ac:dyDescent="0.3">
      <c r="A1195" t="s">
        <v>1267</v>
      </c>
      <c r="B1195" s="1">
        <v>44658</v>
      </c>
      <c r="C1195" t="s">
        <v>46</v>
      </c>
      <c r="D1195" t="s">
        <v>47</v>
      </c>
      <c r="E1195" t="s">
        <v>38</v>
      </c>
      <c r="F1195" t="s">
        <v>65</v>
      </c>
      <c r="G1195" t="s">
        <v>66</v>
      </c>
      <c r="H1195">
        <v>7</v>
      </c>
      <c r="I1195">
        <v>5500</v>
      </c>
      <c r="J1195">
        <v>20</v>
      </c>
      <c r="K1195">
        <v>30800</v>
      </c>
      <c r="L1195">
        <v>13860</v>
      </c>
      <c r="M1195">
        <v>16940</v>
      </c>
      <c r="N1195" t="s">
        <v>49</v>
      </c>
      <c r="O1195" t="s">
        <v>35</v>
      </c>
      <c r="P1195" t="s">
        <v>24</v>
      </c>
    </row>
    <row r="1196" spans="1:16" x14ac:dyDescent="0.3">
      <c r="A1196" t="s">
        <v>1268</v>
      </c>
      <c r="B1196" s="1">
        <v>44942</v>
      </c>
      <c r="C1196" t="s">
        <v>26</v>
      </c>
      <c r="D1196" t="s">
        <v>69</v>
      </c>
      <c r="E1196" t="s">
        <v>52</v>
      </c>
      <c r="F1196" t="s">
        <v>65</v>
      </c>
      <c r="G1196" t="s">
        <v>104</v>
      </c>
      <c r="H1196">
        <v>7</v>
      </c>
      <c r="I1196">
        <v>3000</v>
      </c>
      <c r="J1196">
        <v>20</v>
      </c>
      <c r="K1196">
        <v>16800</v>
      </c>
      <c r="L1196">
        <v>7560</v>
      </c>
      <c r="M1196">
        <v>9240</v>
      </c>
      <c r="N1196" t="s">
        <v>30</v>
      </c>
      <c r="O1196" t="s">
        <v>67</v>
      </c>
      <c r="P1196" t="s">
        <v>40</v>
      </c>
    </row>
    <row r="1197" spans="1:16" x14ac:dyDescent="0.3">
      <c r="A1197" t="s">
        <v>1269</v>
      </c>
      <c r="B1197" s="1">
        <v>45514</v>
      </c>
      <c r="C1197" t="s">
        <v>26</v>
      </c>
      <c r="D1197" t="s">
        <v>69</v>
      </c>
      <c r="E1197" t="s">
        <v>52</v>
      </c>
      <c r="F1197" t="s">
        <v>65</v>
      </c>
      <c r="G1197" t="s">
        <v>104</v>
      </c>
      <c r="H1197">
        <v>38</v>
      </c>
      <c r="I1197">
        <v>3000</v>
      </c>
      <c r="J1197">
        <v>20</v>
      </c>
      <c r="K1197">
        <v>91200</v>
      </c>
      <c r="L1197">
        <v>41040</v>
      </c>
      <c r="M1197">
        <v>50160</v>
      </c>
      <c r="N1197" t="s">
        <v>30</v>
      </c>
      <c r="O1197" t="s">
        <v>50</v>
      </c>
      <c r="P1197" t="s">
        <v>24</v>
      </c>
    </row>
    <row r="1198" spans="1:16" x14ac:dyDescent="0.3">
      <c r="A1198" t="s">
        <v>1270</v>
      </c>
      <c r="B1198" s="1">
        <v>45371</v>
      </c>
      <c r="C1198" t="s">
        <v>17</v>
      </c>
      <c r="D1198" t="s">
        <v>37</v>
      </c>
      <c r="E1198" t="s">
        <v>78</v>
      </c>
      <c r="F1198" t="s">
        <v>33</v>
      </c>
      <c r="G1198" t="s">
        <v>43</v>
      </c>
      <c r="H1198">
        <v>31</v>
      </c>
      <c r="I1198">
        <v>4000</v>
      </c>
      <c r="J1198">
        <v>20</v>
      </c>
      <c r="K1198">
        <v>99200</v>
      </c>
      <c r="L1198">
        <v>49600</v>
      </c>
      <c r="M1198">
        <v>49600</v>
      </c>
      <c r="N1198" t="s">
        <v>22</v>
      </c>
      <c r="O1198" t="s">
        <v>50</v>
      </c>
      <c r="P1198" t="s">
        <v>24</v>
      </c>
    </row>
    <row r="1199" spans="1:16" x14ac:dyDescent="0.3">
      <c r="A1199" t="s">
        <v>1271</v>
      </c>
      <c r="B1199" s="1">
        <v>45074</v>
      </c>
      <c r="C1199" t="s">
        <v>46</v>
      </c>
      <c r="D1199" t="s">
        <v>55</v>
      </c>
      <c r="E1199" t="s">
        <v>73</v>
      </c>
      <c r="F1199" t="s">
        <v>33</v>
      </c>
      <c r="G1199" t="s">
        <v>48</v>
      </c>
      <c r="H1199">
        <v>8</v>
      </c>
      <c r="I1199">
        <v>1500</v>
      </c>
      <c r="J1199">
        <v>5</v>
      </c>
      <c r="K1199">
        <v>11400</v>
      </c>
      <c r="L1199">
        <v>5700</v>
      </c>
      <c r="M1199">
        <v>5700</v>
      </c>
      <c r="N1199" t="s">
        <v>30</v>
      </c>
      <c r="O1199" t="s">
        <v>50</v>
      </c>
      <c r="P1199" t="s">
        <v>24</v>
      </c>
    </row>
    <row r="1200" spans="1:16" x14ac:dyDescent="0.3">
      <c r="A1200" t="s">
        <v>1272</v>
      </c>
      <c r="B1200" s="1">
        <v>45551</v>
      </c>
      <c r="C1200" t="s">
        <v>58</v>
      </c>
      <c r="D1200" t="s">
        <v>84</v>
      </c>
      <c r="E1200" t="s">
        <v>78</v>
      </c>
      <c r="F1200" t="s">
        <v>28</v>
      </c>
      <c r="G1200" t="s">
        <v>85</v>
      </c>
      <c r="H1200">
        <v>44</v>
      </c>
      <c r="I1200">
        <v>8000</v>
      </c>
      <c r="J1200">
        <v>10</v>
      </c>
      <c r="K1200">
        <v>316800</v>
      </c>
      <c r="L1200">
        <v>174240</v>
      </c>
      <c r="M1200">
        <v>142560</v>
      </c>
      <c r="N1200" t="s">
        <v>49</v>
      </c>
      <c r="O1200" t="s">
        <v>50</v>
      </c>
      <c r="P1200" t="s">
        <v>24</v>
      </c>
    </row>
    <row r="1201" spans="1:16" x14ac:dyDescent="0.3">
      <c r="A1201" t="s">
        <v>1273</v>
      </c>
      <c r="B1201" s="1">
        <v>45623</v>
      </c>
      <c r="C1201" t="s">
        <v>46</v>
      </c>
      <c r="D1201" t="s">
        <v>47</v>
      </c>
      <c r="E1201" t="s">
        <v>52</v>
      </c>
      <c r="F1201" t="s">
        <v>20</v>
      </c>
      <c r="G1201" t="s">
        <v>74</v>
      </c>
      <c r="H1201">
        <v>20</v>
      </c>
      <c r="I1201">
        <v>4200</v>
      </c>
      <c r="J1201">
        <v>20</v>
      </c>
      <c r="K1201">
        <v>67200</v>
      </c>
      <c r="L1201">
        <v>26880</v>
      </c>
      <c r="M1201">
        <v>40320</v>
      </c>
      <c r="N1201" t="s">
        <v>49</v>
      </c>
      <c r="O1201" t="s">
        <v>67</v>
      </c>
      <c r="P120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BEB1A2-FECF-46B4-BFF6-607B730B61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chart1</vt:lpstr>
      <vt:lpstr>chart2</vt:lpstr>
      <vt:lpstr>chart3</vt:lpstr>
      <vt:lpstr>clean_data</vt:lpstr>
      <vt:lpstr>KPI</vt:lpstr>
      <vt:lpstr>Raw_Sales_Data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rai</dc:creator>
  <cp:lastModifiedBy>Devansh rai</cp:lastModifiedBy>
  <dcterms:created xsi:type="dcterms:W3CDTF">2026-02-27T07:03:36Z</dcterms:created>
  <dcterms:modified xsi:type="dcterms:W3CDTF">2026-02-27T17:58:00Z</dcterms:modified>
</cp:coreProperties>
</file>